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seecadmin-my.sharepoint.com/personal/bfaye_inseec_com/Documents/Documents/ARTICLES ACADEMIQUES/ART viticulteurs indépendants/Submission Tourism Management/"/>
    </mc:Choice>
  </mc:AlternateContent>
  <xr:revisionPtr revIDLastSave="0" documentId="8_{C37E17CF-B675-4BE1-894C-2E7F95DF52B8}" xr6:coauthVersionLast="47" xr6:coauthVersionMax="47" xr10:uidLastSave="{00000000-0000-0000-0000-000000000000}"/>
  <bookViews>
    <workbookView xWindow="-110" yWindow="-110" windowWidth="19420" windowHeight="10300" firstSheet="6" activeTab="12" xr2:uid="{A1C81D07-F3C2-423F-8FE3-9BD5F1B19AE6}"/>
  </bookViews>
  <sheets>
    <sheet name="File comments" sheetId="14" r:id="rId1"/>
    <sheet name="DATAOP3" sheetId="1" r:id="rId2"/>
    <sheet name="Wine Reputation data" sheetId="2" r:id="rId3"/>
    <sheet name="Wine tourism services data" sheetId="4" r:id="rId4"/>
    <sheet name="Distances" sheetId="6" r:id="rId5"/>
    <sheet name="Territorial data&amp; scale" sheetId="3" r:id="rId6"/>
    <sheet name="Motivation scales" sheetId="5" r:id="rId7"/>
    <sheet name="Descriptive stat" sheetId="11" r:id="rId8"/>
    <sheet name="Results step 1 to 3" sheetId="7" r:id="rId9"/>
    <sheet name="Step 4 latent classes" sheetId="8" r:id="rId10"/>
    <sheet name="MAP" sheetId="10" r:id="rId11"/>
    <sheet name="Robustness" sheetId="9" r:id="rId12"/>
    <sheet name="M1K2 M2K3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7" l="1"/>
  <c r="H29" i="7"/>
</calcChain>
</file>

<file path=xl/sharedStrings.xml><?xml version="1.0" encoding="utf-8"?>
<sst xmlns="http://schemas.openxmlformats.org/spreadsheetml/2006/main" count="9740" uniqueCount="847">
  <si>
    <t>ID</t>
  </si>
  <si>
    <t>Age centre</t>
  </si>
  <si>
    <t>Sexe</t>
  </si>
  <si>
    <t>csp</t>
  </si>
  <si>
    <t>Nationalité</t>
  </si>
  <si>
    <t>Groupe</t>
  </si>
  <si>
    <t>Expertize</t>
  </si>
  <si>
    <t>Expertize2</t>
  </si>
  <si>
    <t>Freqconso</t>
  </si>
  <si>
    <t>Freqoeno</t>
  </si>
  <si>
    <t>Achat</t>
  </si>
  <si>
    <t>Subregion</t>
  </si>
  <si>
    <t>Straightdist</t>
  </si>
  <si>
    <t>roaddist</t>
  </si>
  <si>
    <t>timeauto</t>
  </si>
  <si>
    <t>timerail</t>
  </si>
  <si>
    <t>ln100PARK</t>
  </si>
  <si>
    <t>lnWS95</t>
  </si>
  <si>
    <t>lnWS90</t>
  </si>
  <si>
    <t>WSMean</t>
  </si>
  <si>
    <t>WSsd</t>
  </si>
  <si>
    <t>TERRcom</t>
  </si>
  <si>
    <t>TERRspec</t>
  </si>
  <si>
    <t>TERRherit</t>
  </si>
  <si>
    <t>TERRsport</t>
  </si>
  <si>
    <t>TERRspa</t>
  </si>
  <si>
    <t>Unesco</t>
  </si>
  <si>
    <t>SPED1</t>
  </si>
  <si>
    <t>SPED2</t>
  </si>
  <si>
    <t>SPED3</t>
  </si>
  <si>
    <t>GEND1</t>
  </si>
  <si>
    <t>GEND2</t>
  </si>
  <si>
    <t>VisiteDegust</t>
  </si>
  <si>
    <t>IntegratedAct</t>
  </si>
  <si>
    <t>AncilAct</t>
  </si>
  <si>
    <t>COMPETITIVITYD1</t>
  </si>
  <si>
    <t>Lat_visit</t>
  </si>
  <si>
    <t>Long_visit</t>
  </si>
  <si>
    <t>Lat_resid</t>
  </si>
  <si>
    <t>Long_resid</t>
  </si>
  <si>
    <t>Homme</t>
  </si>
  <si>
    <t>Cadre</t>
  </si>
  <si>
    <t>France</t>
  </si>
  <si>
    <t>Seul</t>
  </si>
  <si>
    <t>Non</t>
  </si>
  <si>
    <t>rare</t>
  </si>
  <si>
    <t>Oui</t>
  </si>
  <si>
    <t>Languedoc</t>
  </si>
  <si>
    <t>Femme</t>
  </si>
  <si>
    <t>Couple</t>
  </si>
  <si>
    <t>régulier</t>
  </si>
  <si>
    <t>Chablis</t>
  </si>
  <si>
    <t>Retraité</t>
  </si>
  <si>
    <t>Amis</t>
  </si>
  <si>
    <t>Libournais</t>
  </si>
  <si>
    <t>Alsace</t>
  </si>
  <si>
    <t>occasionnel</t>
  </si>
  <si>
    <t>Beaune</t>
  </si>
  <si>
    <t>Medoc</t>
  </si>
  <si>
    <t>Touraine</t>
  </si>
  <si>
    <t>Rhonemer</t>
  </si>
  <si>
    <t>Famille</t>
  </si>
  <si>
    <t>Champagne</t>
  </si>
  <si>
    <t>Blaye</t>
  </si>
  <si>
    <t>Entre2mer</t>
  </si>
  <si>
    <t>Provence</t>
  </si>
  <si>
    <t>Autre</t>
  </si>
  <si>
    <t>Macon</t>
  </si>
  <si>
    <t>Belgique</t>
  </si>
  <si>
    <t>Cotenuits</t>
  </si>
  <si>
    <t>Beaujolais</t>
  </si>
  <si>
    <t>Rhonesept</t>
  </si>
  <si>
    <t>Sudwest</t>
  </si>
  <si>
    <t>Graves</t>
  </si>
  <si>
    <t>Jura</t>
  </si>
  <si>
    <t>Paysnantais</t>
  </si>
  <si>
    <t>Centreloire</t>
  </si>
  <si>
    <t>Anjousaumur</t>
  </si>
  <si>
    <t>Corse</t>
  </si>
  <si>
    <t>Rousillon</t>
  </si>
  <si>
    <t>Auvergne</t>
  </si>
  <si>
    <t>Savoie</t>
  </si>
  <si>
    <t>Suisse et Luxemboug</t>
  </si>
  <si>
    <t>Cotechalonnaise</t>
  </si>
  <si>
    <t>Bugey</t>
  </si>
  <si>
    <t>Superficie (douane 2023)</t>
  </si>
  <si>
    <t>Morgon</t>
  </si>
  <si>
    <t>Rhône</t>
  </si>
  <si>
    <t>Chiroubles</t>
  </si>
  <si>
    <t>Fleurie</t>
  </si>
  <si>
    <t>Moulin à vent</t>
  </si>
  <si>
    <t>Brouilly</t>
  </si>
  <si>
    <t>Côte de Brouilly</t>
  </si>
  <si>
    <t>Juliénas</t>
  </si>
  <si>
    <t>Chenas</t>
  </si>
  <si>
    <t>Saint Amour</t>
  </si>
  <si>
    <t>Régnier</t>
  </si>
  <si>
    <t>Patrimonio</t>
  </si>
  <si>
    <t>Ajaccio</t>
  </si>
  <si>
    <t>Calvi</t>
  </si>
  <si>
    <t>Côteaux Cap Corse</t>
  </si>
  <si>
    <t>Figari</t>
  </si>
  <si>
    <t>Portovechhio</t>
  </si>
  <si>
    <t>Muscat Cap Corse</t>
  </si>
  <si>
    <t>Sartene</t>
  </si>
  <si>
    <t>Loire Anjou</t>
  </si>
  <si>
    <t>Anjou</t>
  </si>
  <si>
    <t>Coteaux du Layon</t>
  </si>
  <si>
    <t>Saumur</t>
  </si>
  <si>
    <t>Saumur Champigny</t>
  </si>
  <si>
    <t>Quart de Chaume</t>
  </si>
  <si>
    <t>Anjou village</t>
  </si>
  <si>
    <t>Anjou Brisac</t>
  </si>
  <si>
    <t>Bonnezeaux</t>
  </si>
  <si>
    <t>Coteaux de l'Aubance</t>
  </si>
  <si>
    <t>Coulee de Serrant</t>
  </si>
  <si>
    <t>Coteaux de Saumur</t>
  </si>
  <si>
    <t>Rosé d'Anjou</t>
  </si>
  <si>
    <t>Savennieres</t>
  </si>
  <si>
    <t>Savennieres La Roche aux Moines</t>
  </si>
  <si>
    <t>Cabernet de Saumur</t>
  </si>
  <si>
    <t>Cabernet d'Anjou</t>
  </si>
  <si>
    <t>Loire Pays Nantais</t>
  </si>
  <si>
    <t>Muscadet Sèvres et maine</t>
  </si>
  <si>
    <t>Loire-Atlantique</t>
  </si>
  <si>
    <t>Coteaux d'Ancenis</t>
  </si>
  <si>
    <t>Muscadet</t>
  </si>
  <si>
    <t>Côte de Grandieux</t>
  </si>
  <si>
    <t>Côtes de Loire</t>
  </si>
  <si>
    <t>Gros Plan</t>
  </si>
  <si>
    <t>Loire Touraine</t>
  </si>
  <si>
    <t>Chinon</t>
  </si>
  <si>
    <t>Bourgueil</t>
  </si>
  <si>
    <t>Montlouis</t>
  </si>
  <si>
    <t>Vouvray</t>
  </si>
  <si>
    <t>Cheverny</t>
  </si>
  <si>
    <t>Court Cheverny</t>
  </si>
  <si>
    <t>Saint Nicolas Bourgueil</t>
  </si>
  <si>
    <t>Tourraine Amboise</t>
  </si>
  <si>
    <t>Chenonceux</t>
  </si>
  <si>
    <t>Valencay</t>
  </si>
  <si>
    <t>Indre</t>
  </si>
  <si>
    <t>Touraine Oisly</t>
  </si>
  <si>
    <t>Azay le rideau</t>
  </si>
  <si>
    <t>Pouilly Fumé</t>
  </si>
  <si>
    <t>Nièvre</t>
  </si>
  <si>
    <t>Sancerre</t>
  </si>
  <si>
    <t>Cher</t>
  </si>
  <si>
    <t>Menetou-Salon</t>
  </si>
  <si>
    <t>Orléans-Clery</t>
  </si>
  <si>
    <t>Loiret</t>
  </si>
  <si>
    <t>Pouilly sur Loire</t>
  </si>
  <si>
    <t>Upper Loire</t>
  </si>
  <si>
    <t>Quincy</t>
  </si>
  <si>
    <t>Reuilly</t>
  </si>
  <si>
    <t>Côtes Roannaises</t>
  </si>
  <si>
    <t>Loire</t>
  </si>
  <si>
    <t>Coteaux Giennois</t>
  </si>
  <si>
    <t>Forez</t>
  </si>
  <si>
    <t>Orléans</t>
  </si>
  <si>
    <t>Chateaumeillant</t>
  </si>
  <si>
    <t>Saint Pourçain</t>
  </si>
  <si>
    <t>Allier</t>
  </si>
  <si>
    <t>Côte d'Auvergne</t>
  </si>
  <si>
    <t>Puy-de-Dôme</t>
  </si>
  <si>
    <t>Arbois</t>
  </si>
  <si>
    <t>Arbois pupillin</t>
  </si>
  <si>
    <t>Château Challon</t>
  </si>
  <si>
    <t>Côte du jura</t>
  </si>
  <si>
    <t>L'Etoile</t>
  </si>
  <si>
    <t>Macvin</t>
  </si>
  <si>
    <t>Bordeaux</t>
  </si>
  <si>
    <t>Entre-deux-mers</t>
  </si>
  <si>
    <t>Gironde</t>
  </si>
  <si>
    <t>Bourg</t>
  </si>
  <si>
    <t>Pessac Léognan</t>
  </si>
  <si>
    <t>Sauterne</t>
  </si>
  <si>
    <t>Barsac</t>
  </si>
  <si>
    <t>Saint Emilion</t>
  </si>
  <si>
    <t>Pomerol</t>
  </si>
  <si>
    <t>Fronsac</t>
  </si>
  <si>
    <t>Pauillac</t>
  </si>
  <si>
    <t>Margaux</t>
  </si>
  <si>
    <t>Saint Estèphe</t>
  </si>
  <si>
    <t>Saint Julien</t>
  </si>
  <si>
    <t>Moulis</t>
  </si>
  <si>
    <t>Listrac</t>
  </si>
  <si>
    <t>Haut Médoc</t>
  </si>
  <si>
    <t>Côtes de Provence</t>
  </si>
  <si>
    <t>Bandol</t>
  </si>
  <si>
    <t>Var</t>
  </si>
  <si>
    <t>Bellet</t>
  </si>
  <si>
    <t>Cassis</t>
  </si>
  <si>
    <t>Coteaux Aix en Provence</t>
  </si>
  <si>
    <t>Pierre vert</t>
  </si>
  <si>
    <t>Alpes-de-Haute-Provence</t>
  </si>
  <si>
    <t>Coteaux Varois</t>
  </si>
  <si>
    <t>Baux de Provence</t>
  </si>
  <si>
    <t>Palette</t>
  </si>
  <si>
    <t>Alsace Grands Crus</t>
  </si>
  <si>
    <t>Haut Rhin</t>
  </si>
  <si>
    <t>Yonne</t>
  </si>
  <si>
    <t>Chablis Grands Crus</t>
  </si>
  <si>
    <t>Chablis Premiers crus</t>
  </si>
  <si>
    <t>Petits Chablis</t>
  </si>
  <si>
    <t>Côte Chalonnaise</t>
  </si>
  <si>
    <t>Bourzeron</t>
  </si>
  <si>
    <t>Givry</t>
  </si>
  <si>
    <t>Mercurey</t>
  </si>
  <si>
    <t>Montagny</t>
  </si>
  <si>
    <t>Rully</t>
  </si>
  <si>
    <t>Côte de Beaune</t>
  </si>
  <si>
    <t>Pommard</t>
  </si>
  <si>
    <t>Meursault</t>
  </si>
  <si>
    <t>Puligny Montrachet</t>
  </si>
  <si>
    <t>Chassagne Montrachet</t>
  </si>
  <si>
    <t>Aloxe Corton</t>
  </si>
  <si>
    <t>Auxey Duresses</t>
  </si>
  <si>
    <t>Blagny</t>
  </si>
  <si>
    <t>Chorey</t>
  </si>
  <si>
    <t>Ladoix</t>
  </si>
  <si>
    <t>Maranges</t>
  </si>
  <si>
    <t>Monthélie</t>
  </si>
  <si>
    <t>Pernand</t>
  </si>
  <si>
    <t>Saint Aubin</t>
  </si>
  <si>
    <t>Saint Romain</t>
  </si>
  <si>
    <t>Santenay</t>
  </si>
  <si>
    <t>Savigny</t>
  </si>
  <si>
    <t>Côtes de Beaune Village</t>
  </si>
  <si>
    <t>Volnay</t>
  </si>
  <si>
    <t>Côte de nuits</t>
  </si>
  <si>
    <t>Chambolle</t>
  </si>
  <si>
    <t>Côte de nuits Villages</t>
  </si>
  <si>
    <t>Fixin</t>
  </si>
  <si>
    <t>Flaget Echezeaux</t>
  </si>
  <si>
    <t>Gevrey Chambertin</t>
  </si>
  <si>
    <t>Marsannay</t>
  </si>
  <si>
    <t>Morey Saint Denis</t>
  </si>
  <si>
    <t>Nuits Saint Georges</t>
  </si>
  <si>
    <t>Vosne Romané</t>
  </si>
  <si>
    <t>Vougeot</t>
  </si>
  <si>
    <t>Sud ouest</t>
  </si>
  <si>
    <t>Bergerac</t>
  </si>
  <si>
    <t>Dordogne</t>
  </si>
  <si>
    <t>Jurançon</t>
  </si>
  <si>
    <t>Cahors</t>
  </si>
  <si>
    <t>Lot</t>
  </si>
  <si>
    <t>Madiran</t>
  </si>
  <si>
    <t>Fronton</t>
  </si>
  <si>
    <t>Buzet</t>
  </si>
  <si>
    <t>Montbazillac</t>
  </si>
  <si>
    <t>Gaillac</t>
  </si>
  <si>
    <t>Tarn</t>
  </si>
  <si>
    <t>Iroulégy</t>
  </si>
  <si>
    <t>Buget</t>
  </si>
  <si>
    <t>Ain</t>
  </si>
  <si>
    <t>Crémant</t>
  </si>
  <si>
    <t>Roussette</t>
  </si>
  <si>
    <t>Abymes</t>
  </si>
  <si>
    <t>Apremont</t>
  </si>
  <si>
    <t>Arbin</t>
  </si>
  <si>
    <t>Jongieux</t>
  </si>
  <si>
    <t>Saint-Jean-de-la-Porte</t>
  </si>
  <si>
    <t>Chignin Bergeron</t>
  </si>
  <si>
    <t>Roussillon</t>
  </si>
  <si>
    <t>Côtes de Roussillon</t>
  </si>
  <si>
    <t>Collioure</t>
  </si>
  <si>
    <t>Banyuls</t>
  </si>
  <si>
    <t>Maury</t>
  </si>
  <si>
    <t>Maconnais</t>
  </si>
  <si>
    <t>Macon village</t>
  </si>
  <si>
    <t>Pugny-Fuissé</t>
  </si>
  <si>
    <t>Saint Véran</t>
  </si>
  <si>
    <t>Pouilly Loche</t>
  </si>
  <si>
    <t>Poully Vinzelles</t>
  </si>
  <si>
    <t>Rhône méridional</t>
  </si>
  <si>
    <t>Beaumes de Venise</t>
  </si>
  <si>
    <t>Vaucluse</t>
  </si>
  <si>
    <t>Cairanne</t>
  </si>
  <si>
    <t>Châteauneuf du Pape</t>
  </si>
  <si>
    <t>Costières de Nîmes</t>
  </si>
  <si>
    <t>Gard</t>
  </si>
  <si>
    <t>Côte du Rhône</t>
  </si>
  <si>
    <t>Côte du Rhône Brezenne</t>
  </si>
  <si>
    <t>Drôme</t>
  </si>
  <si>
    <t>Côte du Rhône Villages</t>
  </si>
  <si>
    <t>Côtes du Vivarais</t>
  </si>
  <si>
    <t>Ardèche</t>
  </si>
  <si>
    <t>Duche D'Uzes</t>
  </si>
  <si>
    <t>Gigondas</t>
  </si>
  <si>
    <t>Grignan-les-Adhémar</t>
  </si>
  <si>
    <t>Laudun</t>
  </si>
  <si>
    <t>Lirac</t>
  </si>
  <si>
    <t>Luberon</t>
  </si>
  <si>
    <t>Tavel</t>
  </si>
  <si>
    <t>Vacqueras</t>
  </si>
  <si>
    <t>Ventoux</t>
  </si>
  <si>
    <t>Rasteau</t>
  </si>
  <si>
    <t>Rhône septentrional</t>
  </si>
  <si>
    <t>Château Grillet</t>
  </si>
  <si>
    <t>Condrieu</t>
  </si>
  <si>
    <t>Cornas</t>
  </si>
  <si>
    <t>Côtes Roties</t>
  </si>
  <si>
    <t>Crozes Hermitage</t>
  </si>
  <si>
    <t>Hermitage</t>
  </si>
  <si>
    <t>Saint Joseph</t>
  </si>
  <si>
    <t>Saint Peray</t>
  </si>
  <si>
    <t xml:space="preserve">Cabrieres </t>
  </si>
  <si>
    <t>Hérault</t>
  </si>
  <si>
    <t xml:space="preserve">Gres de Montpellier </t>
  </si>
  <si>
    <t xml:space="preserve">La Clape </t>
  </si>
  <si>
    <t>Aude</t>
  </si>
  <si>
    <t xml:space="preserve">La Mejanelle </t>
  </si>
  <si>
    <t xml:space="preserve">Montpeyroux </t>
  </si>
  <si>
    <t xml:space="preserve">Pezenas </t>
  </si>
  <si>
    <t xml:space="preserve">Pic Saint-Loup </t>
  </si>
  <si>
    <t xml:space="preserve">Picpoul de Pinet </t>
  </si>
  <si>
    <t xml:space="preserve">Saint-Christol </t>
  </si>
  <si>
    <t xml:space="preserve">Saint-Drezery </t>
  </si>
  <si>
    <t xml:space="preserve">Saint-Georges d'Orques </t>
  </si>
  <si>
    <t xml:space="preserve">Saint-Saturnin </t>
  </si>
  <si>
    <t xml:space="preserve">Sommieres </t>
  </si>
  <si>
    <t xml:space="preserve">Terrasses du Larzac </t>
  </si>
  <si>
    <t>Mean</t>
  </si>
  <si>
    <t>Sd</t>
  </si>
  <si>
    <t>No. 100 Parker</t>
  </si>
  <si>
    <t>No. Wines exceeding 90 WS points</t>
  </si>
  <si>
    <t>WS  mean</t>
  </si>
  <si>
    <t>Appellation</t>
  </si>
  <si>
    <t>Sub-regions</t>
  </si>
  <si>
    <t>Blaye Bourg</t>
  </si>
  <si>
    <t>Anjou-saumur</t>
  </si>
  <si>
    <t>No.Remarkable gardens and national monuments</t>
  </si>
  <si>
    <t>No.Historical monuments (protected buildings)</t>
  </si>
  <si>
    <t>No. Museum</t>
  </si>
  <si>
    <t>No. Festivals before summer</t>
  </si>
  <si>
    <t>No. Festivals during summer</t>
  </si>
  <si>
    <t>No. Festivals after summer</t>
  </si>
  <si>
    <t>No. Entertainment</t>
  </si>
  <si>
    <t>No. Restaurants</t>
  </si>
  <si>
    <t>No. Farmers' (street) market</t>
  </si>
  <si>
    <t>No. Shops</t>
  </si>
  <si>
    <t>No. Beauty salon</t>
  </si>
  <si>
    <t>No. Thermal estab.</t>
  </si>
  <si>
    <t>Equestrian center</t>
  </si>
  <si>
    <t>No. golf course</t>
  </si>
  <si>
    <t>No. Sport facilities</t>
  </si>
  <si>
    <t>No. hiking trails</t>
  </si>
  <si>
    <t>No. Drinking estab</t>
  </si>
  <si>
    <t>No. Casino</t>
  </si>
  <si>
    <t>No. Natural regional park included</t>
  </si>
  <si>
    <t>% of the area included in a natural national park</t>
  </si>
  <si>
    <t>Agence de voyage</t>
  </si>
  <si>
    <t>Hôtel</t>
  </si>
  <si>
    <t>Camping</t>
  </si>
  <si>
    <t>Information touristique</t>
  </si>
  <si>
    <t>Autres hébergements collectifs touristiques</t>
  </si>
  <si>
    <t>Languedoc Roussillon</t>
  </si>
  <si>
    <t>Pyrénées-orientales</t>
  </si>
  <si>
    <t>Alpes maritimes</t>
  </si>
  <si>
    <t>Bouches du Rhone</t>
  </si>
  <si>
    <t>Isère</t>
  </si>
  <si>
    <t>Haute Savoie</t>
  </si>
  <si>
    <t>Rhône Valley</t>
  </si>
  <si>
    <t>Burgundy</t>
  </si>
  <si>
    <t>Côte d'or</t>
  </si>
  <si>
    <t>Saone et Loire</t>
  </si>
  <si>
    <t>South West</t>
  </si>
  <si>
    <t>Gers</t>
  </si>
  <si>
    <t>Lot et Garonne</t>
  </si>
  <si>
    <t>Haute-Garonne</t>
  </si>
  <si>
    <t>Haute Pyrénées</t>
  </si>
  <si>
    <t>Tarn-et-Garonne</t>
  </si>
  <si>
    <t>Pyrénées Atlantique</t>
  </si>
  <si>
    <t>Loire Valley</t>
  </si>
  <si>
    <t>Indre et Loire</t>
  </si>
  <si>
    <t xml:space="preserve">Loire et cher </t>
  </si>
  <si>
    <t>Maine et Loire</t>
  </si>
  <si>
    <t>Vendée</t>
  </si>
  <si>
    <t>Bas rhin</t>
  </si>
  <si>
    <t>Corse du sud</t>
  </si>
  <si>
    <t>Haute Corse</t>
  </si>
  <si>
    <t>Aube (10)</t>
  </si>
  <si>
    <t>Aisne (02)</t>
  </si>
  <si>
    <r>
      <t>Champagne</t>
    </r>
    <r>
      <rPr>
        <sz val="10"/>
        <color rgb="FF000000"/>
        <rFont val="Aptos Narrow"/>
        <family val="2"/>
      </rPr>
      <t xml:space="preserve"> (Marne)</t>
    </r>
  </si>
  <si>
    <r>
      <t>Bordeaux</t>
    </r>
    <r>
      <rPr>
        <sz val="10"/>
        <color rgb="FF000000"/>
        <rFont val="Aptos Narrow"/>
        <family val="2"/>
      </rPr>
      <t xml:space="preserve"> (Gironde)</t>
    </r>
  </si>
  <si>
    <t>No. Spa Thermal estab.</t>
  </si>
  <si>
    <t>Dégustation</t>
  </si>
  <si>
    <t>Insolite</t>
  </si>
  <si>
    <t>Mets et vin</t>
  </si>
  <si>
    <t>Vignobles et art</t>
  </si>
  <si>
    <t>Vignoble et balades</t>
  </si>
  <si>
    <t>Vignobles et sport</t>
  </si>
  <si>
    <t>Visite</t>
  </si>
  <si>
    <t>Visite et dégustation</t>
  </si>
  <si>
    <t>Accueil camping car</t>
  </si>
  <si>
    <t>activité pourles enfants</t>
  </si>
  <si>
    <t>Aire de pique nique</t>
  </si>
  <si>
    <t>animaux</t>
  </si>
  <si>
    <t>Hébergemnet sur place</t>
  </si>
  <si>
    <t>hotels sur place</t>
  </si>
  <si>
    <t>accueil mobilité</t>
  </si>
  <si>
    <t>restauration sur place</t>
  </si>
  <si>
    <t>Haute Corse (56%) et Corse du sud (43%)</t>
  </si>
  <si>
    <t>Indre (2%), Indre-et-Loire (87%), Loir-et-Cher (10%)</t>
  </si>
  <si>
    <t>Cher (71%) Loiret (0.5%) Nièvre (28%)</t>
  </si>
  <si>
    <t>Cher (7%) Allier (65%) Puy-de-Dôme (27%)</t>
  </si>
  <si>
    <t>Bouches-du-Rhône (33%) Var (66%)</t>
  </si>
  <si>
    <t>Bas Rhin (43%) Haut Rhin (57%)</t>
  </si>
  <si>
    <t>Marne (67%) Aube (23%) Aisne (9%)</t>
  </si>
  <si>
    <t>Dordogne (37%) Tarn (24%) Haute Garonne (5%) Tarn et Garonne (3.5%) Lot et Garonne (7%) Gers (6%) Hautes Pyrénnées (2.1%) Pyrénées atlantiques (13%)</t>
  </si>
  <si>
    <t>Savoie (82%) Haute Savoie (6%) Ain (3%) Isère (7%)</t>
  </si>
  <si>
    <t>Drôme (14%) Gard (27%) Vaucluse (44.8%) Ardèche (11.5%) Loire (1.5%) Rhône (1.1%)</t>
  </si>
  <si>
    <t>Ardèche (38%) Drôme (50%) Rhône (11%)</t>
  </si>
  <si>
    <t>Aude(5%) Hérault (95%)</t>
  </si>
  <si>
    <t>Entre2Mers</t>
  </si>
  <si>
    <t>BlayeBourg</t>
  </si>
  <si>
    <t>Graves &amp; Sauternais</t>
  </si>
  <si>
    <t>Médoc</t>
  </si>
  <si>
    <t>CôteChalonnaise</t>
  </si>
  <si>
    <t>Côte de Nuits</t>
  </si>
  <si>
    <t xml:space="preserve">Distribution of wine-growing areas by department (Douanes 2023) </t>
  </si>
  <si>
    <t>Destination</t>
  </si>
  <si>
    <t>Wine Reputation variables by destination</t>
  </si>
  <si>
    <t>Vignoble et spa</t>
  </si>
  <si>
    <t>Base</t>
  </si>
  <si>
    <t>Interated</t>
  </si>
  <si>
    <t>Ancillary</t>
  </si>
  <si>
    <t>Component</t>
  </si>
  <si>
    <t>Uniqueness</t>
  </si>
  <si>
    <t>SPED3(terroir)</t>
  </si>
  <si>
    <t>KMO global</t>
  </si>
  <si>
    <r>
      <t xml:space="preserve">Cronbach </t>
    </r>
    <r>
      <rPr>
        <sz val="11"/>
        <color theme="1"/>
        <rFont val="Aptos Narrow"/>
        <family val="2"/>
      </rPr>
      <t>α</t>
    </r>
  </si>
  <si>
    <t>Alpha de Cronbach</t>
  </si>
  <si>
    <t>Bartlett Test</t>
  </si>
  <si>
    <t>1967***</t>
  </si>
  <si>
    <t>2239***</t>
  </si>
  <si>
    <t>Eigenvalue</t>
  </si>
  <si>
    <t>% of Variance</t>
  </si>
  <si>
    <t>Vineyard Tour</t>
  </si>
  <si>
    <t>Landscape</t>
  </si>
  <si>
    <t>Wine Cellar Tour</t>
  </si>
  <si>
    <t>Integrated activities</t>
  </si>
  <si>
    <t>Technical explanation</t>
  </si>
  <si>
    <t>Purchase</t>
  </si>
  <si>
    <t>Tasting</t>
  </si>
  <si>
    <t>General motivation for wine tourism</t>
  </si>
  <si>
    <t>Catering</t>
  </si>
  <si>
    <t>Delivery</t>
  </si>
  <si>
    <t>Promotion</t>
  </si>
  <si>
    <t>Booking</t>
  </si>
  <si>
    <t>Meet the winemaker</t>
  </si>
  <si>
    <t>Environment</t>
  </si>
  <si>
    <t>Statistics</t>
  </si>
  <si>
    <t>Min</t>
  </si>
  <si>
    <t>Max</t>
  </si>
  <si>
    <t>Median</t>
  </si>
  <si>
    <t>sd</t>
  </si>
  <si>
    <t>Skweness</t>
  </si>
  <si>
    <t>Kurtosis</t>
  </si>
  <si>
    <t>GEN-exp</t>
  </si>
  <si>
    <t>GEN-pdt</t>
  </si>
  <si>
    <t>SPE-hedo</t>
  </si>
  <si>
    <t>SPE-utility</t>
  </si>
  <si>
    <t>SPE-terroir</t>
  </si>
  <si>
    <t>Motivation (estate choice)</t>
  </si>
  <si>
    <t>SPED1(hedonic)</t>
  </si>
  <si>
    <t>SPED2 (utility)</t>
  </si>
  <si>
    <t>GEND1 (experience)</t>
  </si>
  <si>
    <t>GEND2 (product)</t>
  </si>
  <si>
    <t>Descriptive statistics for motivation measurement scales</t>
  </si>
  <si>
    <t>PCA : Motivation scales (Gen : motivations for wine tourism practice ; SPE: motivation for a specific estate visit)</t>
  </si>
  <si>
    <t>Onsite hotels</t>
  </si>
  <si>
    <t>KMO</t>
  </si>
  <si>
    <t>Bartlett test</t>
  </si>
  <si>
    <t>180***</t>
  </si>
  <si>
    <t>318***</t>
  </si>
  <si>
    <t>Alpha Cronbach</t>
  </si>
  <si>
    <t>%variance</t>
  </si>
  <si>
    <t xml:space="preserve">PCA: Reduction in the dimensionality of basic, integrated and auxiliary services </t>
  </si>
  <si>
    <t>Tour</t>
  </si>
  <si>
    <t>Tour and tasting</t>
  </si>
  <si>
    <t xml:space="preserve">Heritage </t>
  </si>
  <si>
    <t>Vineyards and walks</t>
  </si>
  <si>
    <t>Vineyards and sport</t>
  </si>
  <si>
    <t>Food and wine</t>
  </si>
  <si>
    <t>Vineyards and art</t>
  </si>
  <si>
    <t>Vineyards and spas</t>
  </si>
  <si>
    <t>Motorhome facilities</t>
  </si>
  <si>
    <t>Activities for children</t>
  </si>
  <si>
    <t>Picnic area</t>
  </si>
  <si>
    <t>Pets welcome</t>
  </si>
  <si>
    <t>On-site accommodation</t>
  </si>
  <si>
    <t>Mobility facilities</t>
  </si>
  <si>
    <t>On-site catering</t>
  </si>
  <si>
    <t>Ancillary services</t>
  </si>
  <si>
    <t>Integrated services</t>
  </si>
  <si>
    <t>Core services</t>
  </si>
  <si>
    <t>Descriptive statistics of scores for wine tourism service dimensions</t>
  </si>
  <si>
    <t>Wine tourism services : No. Wine tourism services offered at each destination (source oenotourism.com)</t>
  </si>
  <si>
    <t>Tourism competitivity</t>
  </si>
  <si>
    <t>Commercial density</t>
  </si>
  <si>
    <t>No. Exhibitions</t>
  </si>
  <si>
    <t>No.street market</t>
  </si>
  <si>
    <t>3994***</t>
  </si>
  <si>
    <t>11791***</t>
  </si>
  <si>
    <t>3074***</t>
  </si>
  <si>
    <t>5498***</t>
  </si>
  <si>
    <t>PCA: Reduction in the dimensionality of territorial attributes</t>
  </si>
  <si>
    <t>Art &amp; heritage</t>
  </si>
  <si>
    <t>Well being</t>
  </si>
  <si>
    <t>Spectacle</t>
  </si>
  <si>
    <t>Sport</t>
  </si>
  <si>
    <t>Art &amp; heritage Scale</t>
  </si>
  <si>
    <t>Spectacle Scale</t>
  </si>
  <si>
    <t>Commercial density Scale</t>
  </si>
  <si>
    <t>Descriptive statistics of scores for territorial dimensions and attributes</t>
  </si>
  <si>
    <t>Distance crow flies (km)</t>
  </si>
  <si>
    <t>Travel time by car (minutes)</t>
  </si>
  <si>
    <t>Road distance (km)</t>
  </si>
  <si>
    <t>Travel time by rail (minutes</t>
  </si>
  <si>
    <t>Distances between residence and visite coordinates (geodist-R package for crow files and OSRM-R package for other distances)</t>
  </si>
  <si>
    <t>Model1</t>
  </si>
  <si>
    <t>Model2</t>
  </si>
  <si>
    <t>Couple_Straightdist</t>
  </si>
  <si>
    <t>0.017**(0.008)</t>
  </si>
  <si>
    <t>Amis_Straightdist</t>
  </si>
  <si>
    <t>-0.03**(0.014)</t>
  </si>
  <si>
    <t>SPED2_Straightdist</t>
  </si>
  <si>
    <t>-0.019***(0.003)</t>
  </si>
  <si>
    <t>SPED3_Straightdist</t>
  </si>
  <si>
    <t>0.005*(0.003)</t>
  </si>
  <si>
    <t>Exp_Straightdist</t>
  </si>
  <si>
    <t>0.009***(0.002)</t>
  </si>
  <si>
    <t>-0.005**(0.002)</t>
  </si>
  <si>
    <t>-0.004**(0.002)</t>
  </si>
  <si>
    <t>-0.085***(0.018)</t>
  </si>
  <si>
    <t>SPED1_timeauto</t>
  </si>
  <si>
    <t>0.021***(0.004)</t>
  </si>
  <si>
    <t>SPED2_timeauto</t>
  </si>
  <si>
    <t>0.003*(0.002)</t>
  </si>
  <si>
    <t>0.023***(0.004)</t>
  </si>
  <si>
    <t>Couple_timeauto</t>
  </si>
  <si>
    <t>0.021**(0.01)</t>
  </si>
  <si>
    <t>Amis_timeauto</t>
  </si>
  <si>
    <t>0.05***(0.018)</t>
  </si>
  <si>
    <t>Fam_timeauto</t>
  </si>
  <si>
    <t>0.023*(0.013)</t>
  </si>
  <si>
    <t>GEND1_timeauto</t>
  </si>
  <si>
    <t>0.004*(0.002)</t>
  </si>
  <si>
    <t>SPED3_timeauto</t>
  </si>
  <si>
    <t>0.007*(0.004)</t>
  </si>
  <si>
    <t>Exp_timeauto</t>
  </si>
  <si>
    <t>-0.006(0.003)</t>
  </si>
  <si>
    <t>0.284***(0.053)</t>
  </si>
  <si>
    <t>0.204***(0.063)</t>
  </si>
  <si>
    <t>GEND1_ln100PARK</t>
  </si>
  <si>
    <t>-0.08**(0.037)</t>
  </si>
  <si>
    <t>GEND2_ln100PARK</t>
  </si>
  <si>
    <t>-0.222***(0.08)</t>
  </si>
  <si>
    <t>-0.726***(0.114)</t>
  </si>
  <si>
    <t>-0.446***(0.103)</t>
  </si>
  <si>
    <t>-0.569**(0.265)</t>
  </si>
  <si>
    <t>-1.531***(0.481)</t>
  </si>
  <si>
    <t>SPED1_lnWS90</t>
  </si>
  <si>
    <t>0.252***(0.096)</t>
  </si>
  <si>
    <t>GEND1_lnWS90</t>
  </si>
  <si>
    <t>0.112**(0.055)</t>
  </si>
  <si>
    <t>GEND2_lnWS90</t>
  </si>
  <si>
    <t>0.245***(0.092)</t>
  </si>
  <si>
    <t>Exp_lnWS90</t>
  </si>
  <si>
    <t>-0.251***(0.079)</t>
  </si>
  <si>
    <t>-0.142***(0.053)</t>
  </si>
  <si>
    <t>-0.204**(0.08)</t>
  </si>
  <si>
    <t>-0.55***(0.027)</t>
  </si>
  <si>
    <t>Exp_WSMean</t>
  </si>
  <si>
    <t>-0.123***(0.005)</t>
  </si>
  <si>
    <t>Amis_WSMean</t>
  </si>
  <si>
    <t>-0.286***(0.033)</t>
  </si>
  <si>
    <t>Couple_WSMean</t>
  </si>
  <si>
    <t>-0.367***(0.014)</t>
  </si>
  <si>
    <t>Fam_WSMean</t>
  </si>
  <si>
    <t>-0.49***(0.017)</t>
  </si>
  <si>
    <t>SPED1_WSMean</t>
  </si>
  <si>
    <t>0.041*(0.023)</t>
  </si>
  <si>
    <t>GEND1_WSMean</t>
  </si>
  <si>
    <t>0.097***(0.033)</t>
  </si>
  <si>
    <t>0.185***(0.005)</t>
  </si>
  <si>
    <t>GEND2_WSMean</t>
  </si>
  <si>
    <t>0.108***(0.005)</t>
  </si>
  <si>
    <t>0.01**(0.005)</t>
  </si>
  <si>
    <t>SPED2_WSMean</t>
  </si>
  <si>
    <t>0.024***(0.004)</t>
  </si>
  <si>
    <t>SPED3_WSMean</t>
  </si>
  <si>
    <t>-0.116***(0.005)</t>
  </si>
  <si>
    <t>-0.159**(0.07)</t>
  </si>
  <si>
    <t>Couple_WSsd</t>
  </si>
  <si>
    <t>GEND1_WSsd</t>
  </si>
  <si>
    <t>0.194***(0.05)</t>
  </si>
  <si>
    <t>0.376**(0.119)</t>
  </si>
  <si>
    <t>SPED3_WSsd</t>
  </si>
  <si>
    <t>-0.237**(0.119)</t>
  </si>
  <si>
    <t>-0.748**(0.294)</t>
  </si>
  <si>
    <t>-1.07***(0.224)</t>
  </si>
  <si>
    <t>-0.793**(0.31)</t>
  </si>
  <si>
    <t>0.841**(0.346)</t>
  </si>
  <si>
    <t>1.032***(0.286)</t>
  </si>
  <si>
    <t>1.381***(0.221)</t>
  </si>
  <si>
    <t>1.081***(0.302)</t>
  </si>
  <si>
    <t>-1.027***(0.319)</t>
  </si>
  <si>
    <t>0.824***(0.255)</t>
  </si>
  <si>
    <t>0.715**(0.295)</t>
  </si>
  <si>
    <t>0.97***(0.211)</t>
  </si>
  <si>
    <t>0.811***(0.231)</t>
  </si>
  <si>
    <t>0.844***(0.263)</t>
  </si>
  <si>
    <t>1.674***(0.513)</t>
  </si>
  <si>
    <t>-1.289***(0.163)</t>
  </si>
  <si>
    <t>-0.845***(0.142)</t>
  </si>
  <si>
    <t>-1.064***(0.141)</t>
  </si>
  <si>
    <t>-1.308***(0.172)</t>
  </si>
  <si>
    <t>-3.432***(0.749)</t>
  </si>
  <si>
    <t>0.602***(0.083)</t>
  </si>
  <si>
    <t>0.441***(0.075)</t>
  </si>
  <si>
    <t>0.368**(0.176)</t>
  </si>
  <si>
    <t>0.42**(0.207)</t>
  </si>
  <si>
    <t>2.268***(0.514)</t>
  </si>
  <si>
    <t>Fam_TERRherit</t>
  </si>
  <si>
    <t>0.228*(0.126)</t>
  </si>
  <si>
    <t>0.372**(0.172)</t>
  </si>
  <si>
    <t>0.249*(0.139)</t>
  </si>
  <si>
    <t>1.063***(0.365)</t>
  </si>
  <si>
    <t>Couple_TERRherit</t>
  </si>
  <si>
    <t>0.587**(0.268)</t>
  </si>
  <si>
    <t>GEND1_TERRherit</t>
  </si>
  <si>
    <t>SPED1_TERRherit</t>
  </si>
  <si>
    <t>-0.238**(0.111)</t>
  </si>
  <si>
    <t>0**(0)</t>
  </si>
  <si>
    <t>0.001***(0)</t>
  </si>
  <si>
    <t>0.27***(0.077)</t>
  </si>
  <si>
    <t>0.299***(0.093)</t>
  </si>
  <si>
    <t>0.246***(0.061)</t>
  </si>
  <si>
    <t>0.261***(0.072)</t>
  </si>
  <si>
    <t>0.273***(0.077)</t>
  </si>
  <si>
    <t>1.533***(0.129)</t>
  </si>
  <si>
    <t>0.146**(0.065)</t>
  </si>
  <si>
    <t>0.783***(0.098)</t>
  </si>
  <si>
    <t>-1.108**(0.55)</t>
  </si>
  <si>
    <t>sd.Straightdist</t>
  </si>
  <si>
    <t>0.005***(0.001)</t>
  </si>
  <si>
    <t>0.006***(0.001)</t>
  </si>
  <si>
    <t>-0.005***(0.001)</t>
  </si>
  <si>
    <t>0.006***(0.002)</t>
  </si>
  <si>
    <t>sd.timeauto</t>
  </si>
  <si>
    <t>-0.056***(0.001)</t>
  </si>
  <si>
    <t>sd.TERRherit</t>
  </si>
  <si>
    <t>0.759***(0.203)</t>
  </si>
  <si>
    <t>-1.685***(0.272)</t>
  </si>
  <si>
    <t>sd.lnWS90</t>
  </si>
  <si>
    <t>0.515***(0.147)</t>
  </si>
  <si>
    <t>0.52***(0.148)</t>
  </si>
  <si>
    <t>-1.231***(0.071)</t>
  </si>
  <si>
    <t>sd.ln100PARK</t>
  </si>
  <si>
    <t>0.262*(0.157)</t>
  </si>
  <si>
    <t>0.293*(0.157)</t>
  </si>
  <si>
    <t>4.118***(0.132)</t>
  </si>
  <si>
    <t>sd.WSMean</t>
  </si>
  <si>
    <t>1.849***(0.003)</t>
  </si>
  <si>
    <t>sd.WSsd</t>
  </si>
  <si>
    <t>4.029***(0.136)</t>
  </si>
  <si>
    <t>sd.TERRspec</t>
  </si>
  <si>
    <t>3.904***(0.3)</t>
  </si>
  <si>
    <t>Log-Lik</t>
  </si>
  <si>
    <t>AIC</t>
  </si>
  <si>
    <t>BIC</t>
  </si>
  <si>
    <t>R² Nagelkerke</t>
  </si>
  <si>
    <t>LR</t>
  </si>
  <si>
    <t>57.818(0.336)</t>
  </si>
  <si>
    <t>81.257(0.213)</t>
  </si>
  <si>
    <t>Mixed Logit (Step 1)</t>
  </si>
  <si>
    <t>Multinomial Logit with Interactions (Step 2)</t>
  </si>
  <si>
    <t>Mixed Logit with interactions (Step 3)</t>
  </si>
  <si>
    <t>Coeff (std error)</t>
  </si>
  <si>
    <t>-0.41*(0.211)</t>
  </si>
  <si>
    <t>-0.113*(0.059)</t>
  </si>
  <si>
    <t>-0.195*(0.103)</t>
  </si>
  <si>
    <t>-0.031*(0.018)</t>
  </si>
  <si>
    <t>-0.194*(0.1)</t>
  </si>
  <si>
    <t>-0.003*(0.001)</t>
  </si>
  <si>
    <t>-0.002*(0.001)</t>
  </si>
  <si>
    <t>-0.012*(0.006)</t>
  </si>
  <si>
    <t xml:space="preserve">Sig. 10% (*), 5% (**), 1% (***); Standard errors in brackets, </t>
  </si>
  <si>
    <t>Resullts step 1 to step 3 (in bold the direct effects, in italics the moderating effects). Note that the R output only provides significant coefficients.</t>
  </si>
  <si>
    <t>Standard deviation</t>
  </si>
  <si>
    <t>Crow flies distance (km)</t>
  </si>
  <si>
    <t>Travel time by rail (minutes)</t>
  </si>
  <si>
    <t>Mean and standard deviation of distances travelled  of respondents by destination</t>
  </si>
  <si>
    <t>Model 1</t>
  </si>
  <si>
    <t>Model 2</t>
  </si>
  <si>
    <t>K2</t>
  </si>
  <si>
    <t>K3</t>
  </si>
  <si>
    <t>K4</t>
  </si>
  <si>
    <t>Coefficients par classe :</t>
  </si>
  <si>
    <t xml:space="preserve">Les </t>
  </si>
  <si>
    <t>expérientiels</t>
  </si>
  <si>
    <t xml:space="preserve">Les Touristes </t>
  </si>
  <si>
    <t>de destination</t>
  </si>
  <si>
    <t>exigeants</t>
  </si>
  <si>
    <t>de la distinction</t>
  </si>
  <si>
    <t xml:space="preserve">Les Épicuriens </t>
  </si>
  <si>
    <t>de proximité</t>
  </si>
  <si>
    <t>Les Explorateurs</t>
  </si>
  <si>
    <t xml:space="preserve"> hédonistes</t>
  </si>
  <si>
    <t>k=1</t>
  </si>
  <si>
    <t>k=2</t>
  </si>
  <si>
    <t>k=3</t>
  </si>
  <si>
    <t>k=4</t>
  </si>
  <si>
    <t>Timeauto</t>
  </si>
  <si>
    <t>TERR-compet</t>
  </si>
  <si>
    <t>Parts de classes</t>
  </si>
  <si>
    <t xml:space="preserve">LL null      </t>
  </si>
  <si>
    <t xml:space="preserve">Log-Lik      </t>
  </si>
  <si>
    <t xml:space="preserve">AIC          </t>
  </si>
  <si>
    <t xml:space="preserve">BIC          </t>
  </si>
  <si>
    <t>LR-test LMNvsLC</t>
  </si>
  <si>
    <t>108.136***</t>
  </si>
  <si>
    <t>132.39***</t>
  </si>
  <si>
    <t>(Intercept)</t>
  </si>
  <si>
    <t xml:space="preserve">rules of thumb </t>
  </si>
  <si>
    <t>rules of thumb AIC (BIC)</t>
  </si>
  <si>
    <t>20.65(101.38)</t>
  </si>
  <si>
    <t>-1.494(79.23)</t>
  </si>
  <si>
    <t>-5.07(75.66)</t>
  </si>
  <si>
    <t>2.57(83.3)</t>
  </si>
  <si>
    <t>Informational criteria and class number selection</t>
  </si>
  <si>
    <t>Latent class- Logit estimates (model 1 &amp; model 2)</t>
  </si>
  <si>
    <t>14.393(95.12)</t>
  </si>
  <si>
    <t>-0.172(80.56)</t>
  </si>
  <si>
    <t>13.773(94.5)</t>
  </si>
  <si>
    <t>-5.01(75.72)</t>
  </si>
  <si>
    <t>102.07***</t>
  </si>
  <si>
    <t>135.49***</t>
  </si>
  <si>
    <t>N_vis</t>
  </si>
  <si>
    <t>W_k1</t>
  </si>
  <si>
    <t>W_k2</t>
  </si>
  <si>
    <t>W_k3</t>
  </si>
  <si>
    <t>W_k4</t>
  </si>
  <si>
    <t>Probabilité postérieure moyenne (W_ik) ---</t>
  </si>
  <si>
    <t>(Attraction moyenne de la classe k vers cette sub-région)</t>
  </si>
  <si>
    <t>GEN D1</t>
  </si>
  <si>
    <t>GEN D2</t>
  </si>
  <si>
    <t>SPE D1</t>
  </si>
  <si>
    <t>SPE D2</t>
  </si>
  <si>
    <t>SPE D3</t>
  </si>
  <si>
    <t>Iconic Wines</t>
  </si>
  <si>
    <t>Exceptionnal Wines</t>
  </si>
  <si>
    <t>Quality Wines</t>
  </si>
  <si>
    <t>Score of 25 best wines in each appellation of the subregion</t>
  </si>
  <si>
    <t>No.P100</t>
  </si>
  <si>
    <t>Ln No.P100</t>
  </si>
  <si>
    <t>No.WS95</t>
  </si>
  <si>
    <t>Ln No.WS95</t>
  </si>
  <si>
    <t>No.WS90</t>
  </si>
  <si>
    <t>Ln No.WS90</t>
  </si>
  <si>
    <t>meanWS</t>
  </si>
  <si>
    <t>SdWS</t>
  </si>
  <si>
    <t>Wine tourism estate services</t>
  </si>
  <si>
    <t>GENexp</t>
  </si>
  <si>
    <t>GENpdt</t>
  </si>
  <si>
    <t>SPEhedo</t>
  </si>
  <si>
    <t>SPEutil</t>
  </si>
  <si>
    <t>SPEterroir</t>
  </si>
  <si>
    <t xml:space="preserve">Commercial </t>
  </si>
  <si>
    <t>Road distance</t>
  </si>
  <si>
    <t xml:space="preserve">Travel time by rail </t>
  </si>
  <si>
    <t>Hotel</t>
  </si>
  <si>
    <t>Travel agency</t>
  </si>
  <si>
    <t>Tourist information office</t>
  </si>
  <si>
    <t>Campsite</t>
  </si>
  <si>
    <t>Other collective tourist accommodations</t>
  </si>
  <si>
    <t>-2.995(-2.873)</t>
  </si>
  <si>
    <t>-2.769(-2.279)</t>
  </si>
  <si>
    <t>0.635(2.51)</t>
  </si>
  <si>
    <t>0.462(1.824)</t>
  </si>
  <si>
    <t>0.527(2.005)</t>
  </si>
  <si>
    <t>1.393(2.627)</t>
  </si>
  <si>
    <t>-0.277(-1.747)</t>
  </si>
  <si>
    <t>-0.364(-1.741)</t>
  </si>
  <si>
    <t>-0.158(-1.918)</t>
  </si>
  <si>
    <t>0.223(2.692)</t>
  </si>
  <si>
    <t>0.203(1.859)</t>
  </si>
  <si>
    <t>0.15(1.674)</t>
  </si>
  <si>
    <t>-0.293(-3.713)</t>
  </si>
  <si>
    <t>-0.201(-1.954)</t>
  </si>
  <si>
    <t>-0.249(-2.219)</t>
  </si>
  <si>
    <t>Classe_1</t>
  </si>
  <si>
    <t>Classe_2</t>
  </si>
  <si>
    <t xml:space="preserve">LL null       </t>
  </si>
  <si>
    <t xml:space="preserve">Log-Lik       </t>
  </si>
  <si>
    <t xml:space="preserve">AIC           </t>
  </si>
  <si>
    <t xml:space="preserve">BIC           </t>
  </si>
  <si>
    <t xml:space="preserve">R² Nagelkerke </t>
  </si>
  <si>
    <t>Experientials</t>
  </si>
  <si>
    <t>Demanding connoisseurs</t>
  </si>
  <si>
    <t>Distinction tourists</t>
  </si>
  <si>
    <t>Proximity Epicureans</t>
  </si>
  <si>
    <t>Hedonistic Explorers</t>
  </si>
  <si>
    <t>Classe_3</t>
  </si>
  <si>
    <t xml:space="preserve">Model </t>
  </si>
  <si>
    <t>% of respondents per class</t>
  </si>
  <si>
    <t>Table. Latent Class Logit estimates (Model 1 for K=2;  and Model 2 for K=3) - rejected in the paper.</t>
  </si>
  <si>
    <t>Attractivity and competitivity attributes by departement</t>
  </si>
  <si>
    <t>Attractivity and competitivity attributes by destination</t>
  </si>
  <si>
    <t>Moyenne</t>
  </si>
  <si>
    <t>Ecart-type</t>
  </si>
  <si>
    <t>Average posterior probability (attraction W_ik)</t>
  </si>
  <si>
    <t>(Attraction of k towards each sub-region)</t>
  </si>
  <si>
    <t>Libournais*</t>
  </si>
  <si>
    <t>Macon*</t>
  </si>
  <si>
    <t>Cotechalonnaise*</t>
  </si>
  <si>
    <t>Paysnantais*</t>
  </si>
  <si>
    <t>The file contains the following sheets:</t>
  </si>
  <si>
    <t>"Wine reputation data": contains the construction of data relating to wine quality.</t>
  </si>
  <si>
    <t>"Wine tourism services data": contains data on the services offered by estates and the PCA used for dimensionality reduction.</t>
  </si>
  <si>
    <t>"Distance": contains the calculations of means and standard deviations of distances (spatial and temporal) between respondents' places of residence and the visited destination.</t>
  </si>
  <si>
    <t>"Territorial data &amp; scale": contains attribute data by department and by destination, the results of the dimensionality reduction PCAs, and the scores by sub-region.</t>
  </si>
  <si>
    <t>"Motivation scales": contains the PCAs of general motivations (wine tourism) and specific motivations (estate), along with descriptive statistics of the scores on each dimension.</t>
  </si>
  <si>
    <t>"Descriptive statistics": contains a summary table of the descriptive statistics of the variables used.</t>
  </si>
  <si>
    <t>"Results step 1 to 3": contains the estimation results for steps 1 (Mixed logit), 2 (Multinomial logit with interactions), and 3 (Mixed logit with interactions).</t>
  </si>
  <si>
    <t>"Step 4 latent class": contains the selection of the optimal number of classes (AIC, BIC) and the estimation of the Latent class logit.</t>
  </si>
  <si>
    <t>"Robustness": contains the results of step 4 for a maximum number of starting points (42); "M1K2 M2K3" contains the latent class logit estimation for k=2 and k=3 respectively for models 1 and 2 that were rejected in the study.</t>
  </si>
  <si>
    <t>"DATAOP3": the dataset from which the R-script can be applied.</t>
  </si>
  <si>
    <t>Male</t>
  </si>
  <si>
    <t>Managers</t>
  </si>
  <si>
    <t>0.496(1.630)</t>
  </si>
  <si>
    <t>Pensioners</t>
  </si>
  <si>
    <t>French</t>
  </si>
  <si>
    <t>Swiss</t>
  </si>
  <si>
    <t>-11.429(-4.82)</t>
  </si>
  <si>
    <t>Group</t>
  </si>
  <si>
    <t>-14.028(-6.39)</t>
  </si>
  <si>
    <t>-12.541(-8.45)</t>
  </si>
  <si>
    <t>Regular wine trip</t>
  </si>
  <si>
    <t>0.148(1.647)</t>
  </si>
  <si>
    <t>Model1. (ref. Destination tourists)</t>
  </si>
  <si>
    <t>Model2. (ref. Destination tourists)</t>
  </si>
  <si>
    <t>Segments ex-post characterization (log-odds; z-scores)</t>
  </si>
  <si>
    <t>Robustess: These results are derived from the Step 4 estimation using the maximum number of starting points.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</si>
</sst>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</font>
    <font>
      <sz val="10"/>
      <color theme="1"/>
      <name val="Aptos Narrow"/>
      <family val="2"/>
    </font>
    <font>
      <b/>
      <sz val="10"/>
      <color rgb="FF000000"/>
      <name val="Aptos Narrow"/>
      <family val="2"/>
    </font>
    <font>
      <b/>
      <sz val="10"/>
      <color theme="1"/>
      <name val="Aptos Narrow"/>
      <family val="2"/>
    </font>
    <font>
      <sz val="11"/>
      <color indexed="8"/>
      <name val="Aptos Narrow"/>
      <family val="2"/>
      <scheme val="minor"/>
    </font>
    <font>
      <sz val="10"/>
      <color theme="1"/>
      <name val="Times New Roman"/>
      <family val="1"/>
    </font>
    <font>
      <sz val="11"/>
      <color theme="1"/>
      <name val="Aptos Narrow"/>
      <family val="2"/>
    </font>
    <font>
      <sz val="11"/>
      <color theme="1"/>
      <name val="Aptos"/>
      <family val="2"/>
    </font>
    <font>
      <sz val="10"/>
      <color rgb="FF000000"/>
      <name val="Times New Roman"/>
      <family val="1"/>
    </font>
    <font>
      <sz val="10"/>
      <color rgb="FFEE0000"/>
      <name val="Times New Roman"/>
      <family val="1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EE0000"/>
      <name val="Times New Roman"/>
      <family val="1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b/>
      <sz val="10"/>
      <name val="Times New Roman"/>
      <family val="1"/>
    </font>
    <font>
      <sz val="11"/>
      <color theme="1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2"/>
      <color theme="1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32">
    <xf numFmtId="0" fontId="0" fillId="0" borderId="0" xfId="0"/>
    <xf numFmtId="0" fontId="0" fillId="0" borderId="1" xfId="0" applyBorder="1"/>
    <xf numFmtId="164" fontId="0" fillId="0" borderId="0" xfId="0" applyNumberFormat="1"/>
    <xf numFmtId="0" fontId="1" fillId="0" borderId="2" xfId="0" applyFont="1" applyBorder="1"/>
    <xf numFmtId="164" fontId="1" fillId="0" borderId="2" xfId="0" applyNumberFormat="1" applyFont="1" applyBorder="1"/>
    <xf numFmtId="0" fontId="1" fillId="0" borderId="3" xfId="0" applyFont="1" applyBorder="1"/>
    <xf numFmtId="164" fontId="1" fillId="0" borderId="3" xfId="0" applyNumberFormat="1" applyFont="1" applyBorder="1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164" fontId="0" fillId="0" borderId="1" xfId="0" applyNumberFormat="1" applyBorder="1"/>
    <xf numFmtId="164" fontId="1" fillId="0" borderId="0" xfId="0" applyNumberFormat="1" applyFont="1"/>
    <xf numFmtId="0" fontId="0" fillId="2" borderId="0" xfId="0" applyFill="1"/>
    <xf numFmtId="164" fontId="0" fillId="2" borderId="0" xfId="0" applyNumberFormat="1" applyFill="1"/>
    <xf numFmtId="0" fontId="0" fillId="2" borderId="1" xfId="0" applyFill="1" applyBorder="1"/>
    <xf numFmtId="164" fontId="0" fillId="2" borderId="1" xfId="0" applyNumberFormat="1" applyFill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0" xfId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0" xfId="0" applyNumberFormat="1"/>
    <xf numFmtId="0" fontId="0" fillId="0" borderId="2" xfId="0" applyBorder="1"/>
    <xf numFmtId="1" fontId="0" fillId="0" borderId="1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2" xfId="0" applyFill="1" applyBorder="1"/>
    <xf numFmtId="0" fontId="0" fillId="3" borderId="9" xfId="0" applyFill="1" applyBorder="1"/>
    <xf numFmtId="0" fontId="0" fillId="4" borderId="2" xfId="0" applyFill="1" applyBorder="1"/>
    <xf numFmtId="0" fontId="0" fillId="4" borderId="9" xfId="0" applyFill="1" applyBorder="1"/>
    <xf numFmtId="0" fontId="0" fillId="5" borderId="2" xfId="0" applyFill="1" applyBorder="1"/>
    <xf numFmtId="0" fontId="0" fillId="5" borderId="9" xfId="0" applyFill="1" applyBorder="1"/>
    <xf numFmtId="0" fontId="10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12" fillId="0" borderId="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/>
    <xf numFmtId="0" fontId="12" fillId="0" borderId="5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3" fillId="0" borderId="0" xfId="0" applyFont="1" applyAlignment="1">
      <alignment vertical="center"/>
    </xf>
    <xf numFmtId="0" fontId="9" fillId="0" borderId="6" xfId="0" applyFont="1" applyBorder="1"/>
    <xf numFmtId="0" fontId="10" fillId="0" borderId="6" xfId="0" applyFont="1" applyBorder="1" applyAlignment="1">
      <alignment horizontal="center" vertical="center"/>
    </xf>
    <xf numFmtId="0" fontId="9" fillId="0" borderId="5" xfId="0" applyFont="1" applyBorder="1"/>
    <xf numFmtId="0" fontId="14" fillId="0" borderId="0" xfId="0" applyFont="1" applyAlignment="1">
      <alignment vertical="center"/>
    </xf>
    <xf numFmtId="0" fontId="14" fillId="0" borderId="5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5" xfId="0" applyFont="1" applyBorder="1" applyAlignment="1">
      <alignment vertical="center"/>
    </xf>
    <xf numFmtId="0" fontId="10" fillId="0" borderId="0" xfId="0" applyFont="1" applyAlignment="1">
      <alignment horizontal="right" vertical="center"/>
    </xf>
    <xf numFmtId="0" fontId="16" fillId="0" borderId="0" xfId="0" applyFont="1"/>
    <xf numFmtId="0" fontId="14" fillId="0" borderId="5" xfId="0" quotePrefix="1" applyFont="1" applyBorder="1" applyAlignment="1">
      <alignment vertical="center"/>
    </xf>
    <xf numFmtId="0" fontId="18" fillId="0" borderId="0" xfId="0" quotePrefix="1" applyFont="1" applyAlignment="1">
      <alignment vertical="center"/>
    </xf>
    <xf numFmtId="0" fontId="10" fillId="0" borderId="0" xfId="0" quotePrefix="1" applyFont="1" applyAlignment="1">
      <alignment vertical="center"/>
    </xf>
    <xf numFmtId="0" fontId="14" fillId="0" borderId="0" xfId="0" quotePrefix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vertical="center"/>
    </xf>
    <xf numFmtId="2" fontId="0" fillId="0" borderId="0" xfId="0" applyNumberFormat="1"/>
    <xf numFmtId="2" fontId="0" fillId="0" borderId="1" xfId="0" applyNumberFormat="1" applyBorder="1"/>
    <xf numFmtId="2" fontId="0" fillId="0" borderId="2" xfId="0" applyNumberFormat="1" applyBorder="1"/>
    <xf numFmtId="0" fontId="0" fillId="6" borderId="2" xfId="0" applyFill="1" applyBorder="1"/>
    <xf numFmtId="0" fontId="0" fillId="7" borderId="2" xfId="0" applyFill="1" applyBorder="1"/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10" fontId="10" fillId="0" borderId="5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10" fillId="0" borderId="0" xfId="0" quotePrefix="1" applyFont="1" applyAlignment="1">
      <alignment horizontal="right" vertical="center"/>
    </xf>
    <xf numFmtId="0" fontId="10" fillId="0" borderId="5" xfId="0" quotePrefix="1" applyFont="1" applyBorder="1" applyAlignment="1">
      <alignment horizontal="right" vertical="center"/>
    </xf>
    <xf numFmtId="10" fontId="0" fillId="0" borderId="0" xfId="0" applyNumberFormat="1"/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10" fontId="0" fillId="0" borderId="2" xfId="0" applyNumberFormat="1" applyBorder="1"/>
    <xf numFmtId="0" fontId="9" fillId="0" borderId="1" xfId="0" applyFont="1" applyBorder="1"/>
    <xf numFmtId="164" fontId="7" fillId="0" borderId="0" xfId="0" applyNumberFormat="1" applyFont="1"/>
    <xf numFmtId="164" fontId="7" fillId="0" borderId="1" xfId="0" applyNumberFormat="1" applyFont="1" applyBorder="1"/>
    <xf numFmtId="164" fontId="7" fillId="0" borderId="2" xfId="0" applyNumberFormat="1" applyFont="1" applyBorder="1"/>
    <xf numFmtId="0" fontId="0" fillId="3" borderId="0" xfId="0" applyFill="1"/>
    <xf numFmtId="0" fontId="0" fillId="0" borderId="3" xfId="0" applyBorder="1"/>
    <xf numFmtId="0" fontId="22" fillId="0" borderId="0" xfId="0" applyFont="1" applyAlignment="1">
      <alignment horizontal="justify" vertical="center"/>
    </xf>
    <xf numFmtId="0" fontId="18" fillId="0" borderId="0" xfId="0" applyFont="1" applyAlignment="1">
      <alignment vertical="center"/>
    </xf>
    <xf numFmtId="0" fontId="18" fillId="0" borderId="0" xfId="0" applyFont="1"/>
    <xf numFmtId="0" fontId="18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/>
    <xf numFmtId="0" fontId="18" fillId="0" borderId="2" xfId="0" applyFont="1" applyBorder="1" applyAlignment="1">
      <alignment vertical="center"/>
    </xf>
    <xf numFmtId="0" fontId="18" fillId="0" borderId="2" xfId="0" applyFont="1" applyBorder="1"/>
    <xf numFmtId="0" fontId="18" fillId="0" borderId="1" xfId="0" applyFont="1" applyBorder="1" applyAlignment="1">
      <alignment horizontal="right" vertical="center"/>
    </xf>
    <xf numFmtId="0" fontId="23" fillId="0" borderId="1" xfId="0" applyFont="1" applyBorder="1" applyAlignment="1">
      <alignment horizontal="right" vertical="center"/>
    </xf>
    <xf numFmtId="10" fontId="18" fillId="0" borderId="2" xfId="0" applyNumberFormat="1" applyFont="1" applyBorder="1" applyAlignment="1">
      <alignment horizontal="right" vertical="center"/>
    </xf>
    <xf numFmtId="10" fontId="18" fillId="0" borderId="2" xfId="0" applyNumberFormat="1" applyFont="1" applyBorder="1"/>
    <xf numFmtId="0" fontId="25" fillId="0" borderId="0" xfId="0" applyFont="1" applyAlignment="1">
      <alignment vertical="center"/>
    </xf>
    <xf numFmtId="0" fontId="24" fillId="0" borderId="0" xfId="0" applyFont="1"/>
    <xf numFmtId="0" fontId="25" fillId="0" borderId="2" xfId="0" applyFont="1" applyBorder="1" applyAlignment="1">
      <alignment vertical="center"/>
    </xf>
    <xf numFmtId="0" fontId="24" fillId="0" borderId="2" xfId="0" applyFont="1" applyBorder="1"/>
    <xf numFmtId="0" fontId="25" fillId="0" borderId="1" xfId="0" applyFont="1" applyBorder="1" applyAlignment="1">
      <alignment vertical="center"/>
    </xf>
    <xf numFmtId="0" fontId="24" fillId="0" borderId="1" xfId="0" applyFont="1" applyBorder="1"/>
    <xf numFmtId="0" fontId="26" fillId="0" borderId="0" xfId="0" applyFont="1" applyAlignment="1">
      <alignment vertical="center"/>
    </xf>
    <xf numFmtId="0" fontId="9" fillId="0" borderId="10" xfId="0" applyFont="1" applyBorder="1"/>
    <xf numFmtId="0" fontId="10" fillId="0" borderId="10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4" fillId="0" borderId="6" xfId="0" applyFont="1" applyBorder="1" applyAlignment="1">
      <alignment horizontal="center" vertical="center"/>
    </xf>
  </cellXfs>
  <cellStyles count="2">
    <cellStyle name="Normal" xfId="0" builtinId="0"/>
    <cellStyle name="Normal 2" xfId="1" xr:uid="{94205E29-644D-43E7-833F-49E2E8AC9F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'Wine Reputation data'!$C$238</c:f>
              <c:strCache>
                <c:ptCount val="1"/>
                <c:pt idx="0">
                  <c:v>Ecart-type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2222222222222272E-2"/>
                  <c:y val="4.629629629629621E-2"/>
                </c:manualLayout>
              </c:layout>
              <c:tx>
                <c:rich>
                  <a:bodyPr/>
                  <a:lstStyle/>
                  <a:p>
                    <a:fld id="{BBC383A1-575A-4C41-80F0-29B514F22E51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817-4FC0-AD05-14127AF16166}"/>
                </c:ext>
              </c:extLst>
            </c:dLbl>
            <c:dLbl>
              <c:idx val="1"/>
              <c:layout>
                <c:manualLayout>
                  <c:x val="-1.1111111111111112E-2"/>
                  <c:y val="2.3148148148148147E-2"/>
                </c:manualLayout>
              </c:layout>
              <c:tx>
                <c:rich>
                  <a:bodyPr/>
                  <a:lstStyle/>
                  <a:p>
                    <a:fld id="{6B7B182F-FBBB-4523-99CB-369B10B408C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817-4FC0-AD05-14127AF161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7614720-8096-416D-8E2D-E0C54C0FE51A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817-4FC0-AD05-14127AF161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3E2EC85-CC3A-4663-92B0-400273CC9955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817-4FC0-AD05-14127AF16166}"/>
                </c:ext>
              </c:extLst>
            </c:dLbl>
            <c:dLbl>
              <c:idx val="4"/>
              <c:layout>
                <c:manualLayout>
                  <c:x val="5.5555555555555455E-2"/>
                  <c:y val="-5.0925925925925923E-2"/>
                </c:manualLayout>
              </c:layout>
              <c:tx>
                <c:rich>
                  <a:bodyPr/>
                  <a:lstStyle/>
                  <a:p>
                    <a:fld id="{9BF23A6C-B40F-403D-B5A5-AB0BEEFB2589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817-4FC0-AD05-14127AF16166}"/>
                </c:ext>
              </c:extLst>
            </c:dLbl>
            <c:dLbl>
              <c:idx val="5"/>
              <c:layout>
                <c:manualLayout>
                  <c:x val="3.3333333333333333E-2"/>
                  <c:y val="-9.2592592592593437E-3"/>
                </c:manualLayout>
              </c:layout>
              <c:tx>
                <c:rich>
                  <a:bodyPr/>
                  <a:lstStyle/>
                  <a:p>
                    <a:fld id="{36957776-0032-4234-915D-1EDA2E851023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817-4FC0-AD05-14127AF16166}"/>
                </c:ext>
              </c:extLst>
            </c:dLbl>
            <c:dLbl>
              <c:idx val="6"/>
              <c:layout>
                <c:manualLayout>
                  <c:x val="-9.166666666666666E-2"/>
                  <c:y val="-0.10648148148148148"/>
                </c:manualLayout>
              </c:layout>
              <c:tx>
                <c:rich>
                  <a:bodyPr/>
                  <a:lstStyle/>
                  <a:p>
                    <a:fld id="{7B880817-A24B-4D46-8EB6-8566F38DC32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817-4FC0-AD05-14127AF16166}"/>
                </c:ext>
              </c:extLst>
            </c:dLbl>
            <c:dLbl>
              <c:idx val="7"/>
              <c:layout>
                <c:manualLayout>
                  <c:x val="0"/>
                  <c:y val="4.629647856517935E-2"/>
                </c:manualLayout>
              </c:layout>
              <c:tx>
                <c:rich>
                  <a:bodyPr/>
                  <a:lstStyle/>
                  <a:p>
                    <a:fld id="{6378B4DA-F127-41D7-A57A-A4A5118A5434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416666666666669"/>
                      <c:h val="6.474555263925341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817-4FC0-AD05-14127AF16166}"/>
                </c:ext>
              </c:extLst>
            </c:dLbl>
            <c:dLbl>
              <c:idx val="8"/>
              <c:layout>
                <c:manualLayout>
                  <c:x val="5.5555555555555552E-2"/>
                  <c:y val="-7.4074074074074153E-2"/>
                </c:manualLayout>
              </c:layout>
              <c:tx>
                <c:rich>
                  <a:bodyPr/>
                  <a:lstStyle/>
                  <a:p>
                    <a:fld id="{937C57D7-30AF-453E-8362-F2A30A11CDEC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F817-4FC0-AD05-14127AF16166}"/>
                </c:ext>
              </c:extLst>
            </c:dLbl>
            <c:dLbl>
              <c:idx val="9"/>
              <c:layout>
                <c:manualLayout>
                  <c:x val="-5.0925337632079971E-17"/>
                  <c:y val="6.9444444444444448E-2"/>
                </c:manualLayout>
              </c:layout>
              <c:tx>
                <c:rich>
                  <a:bodyPr/>
                  <a:lstStyle/>
                  <a:p>
                    <a:fld id="{EB13F8C8-DE9E-494F-A058-C09FDA141688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F817-4FC0-AD05-14127AF16166}"/>
                </c:ext>
              </c:extLst>
            </c:dLbl>
            <c:dLbl>
              <c:idx val="10"/>
              <c:layout>
                <c:manualLayout>
                  <c:x val="2.2222222222222223E-2"/>
                  <c:y val="9.2592592592592171E-3"/>
                </c:manualLayout>
              </c:layout>
              <c:tx>
                <c:rich>
                  <a:bodyPr/>
                  <a:lstStyle/>
                  <a:p>
                    <a:fld id="{68C7BD56-4999-49E0-874F-FC2767D3D2E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F817-4FC0-AD05-14127AF16166}"/>
                </c:ext>
              </c:extLst>
            </c:dLbl>
            <c:dLbl>
              <c:idx val="11"/>
              <c:layout>
                <c:manualLayout>
                  <c:x val="1.9444444444444344E-2"/>
                  <c:y val="2.7777777777777776E-2"/>
                </c:manualLayout>
              </c:layout>
              <c:tx>
                <c:rich>
                  <a:bodyPr/>
                  <a:lstStyle/>
                  <a:p>
                    <a:fld id="{2A6E231F-BCAA-4D41-97D1-B6A8D5522BA3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F817-4FC0-AD05-14127AF16166}"/>
                </c:ext>
              </c:extLst>
            </c:dLbl>
            <c:dLbl>
              <c:idx val="12"/>
              <c:layout>
                <c:manualLayout>
                  <c:x val="0"/>
                  <c:y val="3.7037037037036993E-2"/>
                </c:manualLayout>
              </c:layout>
              <c:tx>
                <c:rich>
                  <a:bodyPr/>
                  <a:lstStyle/>
                  <a:p>
                    <a:fld id="{BBBDA28B-49FC-4766-B5B6-C9B752ACF8D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F817-4FC0-AD05-14127AF16166}"/>
                </c:ext>
              </c:extLst>
            </c:dLbl>
            <c:dLbl>
              <c:idx val="13"/>
              <c:layout>
                <c:manualLayout>
                  <c:x val="8.3333333333332829E-3"/>
                  <c:y val="5.0925925925925923E-2"/>
                </c:manualLayout>
              </c:layout>
              <c:tx>
                <c:rich>
                  <a:bodyPr/>
                  <a:lstStyle/>
                  <a:p>
                    <a:fld id="{AC0FD0B7-18B8-4684-9CD3-63392E995BC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F817-4FC0-AD05-14127AF16166}"/>
                </c:ext>
              </c:extLst>
            </c:dLbl>
            <c:dLbl>
              <c:idx val="14"/>
              <c:layout>
                <c:manualLayout>
                  <c:x val="-0.15000000000000011"/>
                  <c:y val="-3.7037037037037125E-2"/>
                </c:manualLayout>
              </c:layout>
              <c:tx>
                <c:rich>
                  <a:bodyPr/>
                  <a:lstStyle/>
                  <a:p>
                    <a:fld id="{26761C45-8EC0-4B43-BFFA-68F03F9006A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F817-4FC0-AD05-14127AF16166}"/>
                </c:ext>
              </c:extLst>
            </c:dLbl>
            <c:dLbl>
              <c:idx val="15"/>
              <c:layout>
                <c:manualLayout>
                  <c:x val="-0.14444444444444454"/>
                  <c:y val="-0.11574074074074074"/>
                </c:manualLayout>
              </c:layout>
              <c:tx>
                <c:rich>
                  <a:bodyPr/>
                  <a:lstStyle/>
                  <a:p>
                    <a:fld id="{3597F14E-5BEC-4F5B-8E7C-7211F2F4619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F817-4FC0-AD05-14127AF16166}"/>
                </c:ext>
              </c:extLst>
            </c:dLbl>
            <c:dLbl>
              <c:idx val="16"/>
              <c:layout>
                <c:manualLayout>
                  <c:x val="5.5555555555555558E-3"/>
                  <c:y val="9.2592592592592171E-3"/>
                </c:manualLayout>
              </c:layout>
              <c:tx>
                <c:rich>
                  <a:bodyPr/>
                  <a:lstStyle/>
                  <a:p>
                    <a:fld id="{B765C885-A709-4FF7-8442-70932D7FFAC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F817-4FC0-AD05-14127AF16166}"/>
                </c:ext>
              </c:extLst>
            </c:dLbl>
            <c:dLbl>
              <c:idx val="17"/>
              <c:layout>
                <c:manualLayout>
                  <c:x val="3.6111111111111011E-2"/>
                  <c:y val="1.3888888888888805E-2"/>
                </c:manualLayout>
              </c:layout>
              <c:tx>
                <c:rich>
                  <a:bodyPr/>
                  <a:lstStyle/>
                  <a:p>
                    <a:fld id="{9A16FEB3-B2F3-4523-9728-3DEDB1519EE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F817-4FC0-AD05-14127AF16166}"/>
                </c:ext>
              </c:extLst>
            </c:dLbl>
            <c:dLbl>
              <c:idx val="18"/>
              <c:layout>
                <c:manualLayout>
                  <c:x val="3.6111111111111011E-2"/>
                  <c:y val="-1.8518518518518517E-2"/>
                </c:manualLayout>
              </c:layout>
              <c:tx>
                <c:rich>
                  <a:bodyPr/>
                  <a:lstStyle/>
                  <a:p>
                    <a:fld id="{40438B11-477C-47F0-9D7C-A7EDF27576B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F817-4FC0-AD05-14127AF16166}"/>
                </c:ext>
              </c:extLst>
            </c:dLbl>
            <c:dLbl>
              <c:idx val="19"/>
              <c:layout>
                <c:manualLayout>
                  <c:x val="1.6666666666666566E-2"/>
                  <c:y val="2.3148148148148105E-2"/>
                </c:manualLayout>
              </c:layout>
              <c:tx>
                <c:rich>
                  <a:bodyPr/>
                  <a:lstStyle/>
                  <a:p>
                    <a:fld id="{DD67D5B1-3127-4BB0-B785-8AD39E3C39E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F817-4FC0-AD05-14127AF16166}"/>
                </c:ext>
              </c:extLst>
            </c:dLbl>
            <c:dLbl>
              <c:idx val="20"/>
              <c:layout>
                <c:manualLayout>
                  <c:x val="5.0925337632079971E-17"/>
                  <c:y val="-2.7777777777777863E-2"/>
                </c:manualLayout>
              </c:layout>
              <c:tx>
                <c:rich>
                  <a:bodyPr/>
                  <a:lstStyle/>
                  <a:p>
                    <a:fld id="{54C7F3FD-EE7D-4E52-9EA8-249880753DD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F817-4FC0-AD05-14127AF16166}"/>
                </c:ext>
              </c:extLst>
            </c:dLbl>
            <c:dLbl>
              <c:idx val="21"/>
              <c:layout>
                <c:manualLayout>
                  <c:x val="8.3333333333333329E-2"/>
                  <c:y val="-2.3148148148148064E-2"/>
                </c:manualLayout>
              </c:layout>
              <c:tx>
                <c:rich>
                  <a:bodyPr/>
                  <a:lstStyle/>
                  <a:p>
                    <a:fld id="{DE0FD217-51C9-433B-A600-F2B53D6F6F51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F817-4FC0-AD05-14127AF16166}"/>
                </c:ext>
              </c:extLst>
            </c:dLbl>
            <c:dLbl>
              <c:idx val="22"/>
              <c:layout>
                <c:manualLayout>
                  <c:x val="-9.7222222222222252E-2"/>
                  <c:y val="-6.4814814814814811E-2"/>
                </c:manualLayout>
              </c:layout>
              <c:tx>
                <c:rich>
                  <a:bodyPr/>
                  <a:lstStyle/>
                  <a:p>
                    <a:fld id="{9D87A5A4-918B-421C-B888-C1A14F3BD83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F817-4FC0-AD05-14127AF16166}"/>
                </c:ext>
              </c:extLst>
            </c:dLbl>
            <c:dLbl>
              <c:idx val="23"/>
              <c:layout>
                <c:manualLayout>
                  <c:x val="2.7777777777777779E-3"/>
                  <c:y val="5.0925925925925923E-2"/>
                </c:manualLayout>
              </c:layout>
              <c:tx>
                <c:rich>
                  <a:bodyPr/>
                  <a:lstStyle/>
                  <a:p>
                    <a:fld id="{E6019CD8-5F1D-491F-8871-DCF681BF0E5C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F817-4FC0-AD05-14127AF16166}"/>
                </c:ext>
              </c:extLst>
            </c:dLbl>
            <c:dLbl>
              <c:idx val="24"/>
              <c:layout>
                <c:manualLayout>
                  <c:x val="-4.7222222222222276E-2"/>
                  <c:y val="-6.4814814814814853E-2"/>
                </c:manualLayout>
              </c:layout>
              <c:tx>
                <c:rich>
                  <a:bodyPr/>
                  <a:lstStyle/>
                  <a:p>
                    <a:fld id="{504863C4-3BD5-4BE9-B614-229F2A842EA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F817-4FC0-AD05-14127AF16166}"/>
                </c:ext>
              </c:extLst>
            </c:dLbl>
            <c:dLbl>
              <c:idx val="25"/>
              <c:layout>
                <c:manualLayout>
                  <c:x val="-7.4999999999999997E-2"/>
                  <c:y val="5.5555555555555552E-2"/>
                </c:manualLayout>
              </c:layout>
              <c:tx>
                <c:rich>
                  <a:bodyPr/>
                  <a:lstStyle/>
                  <a:p>
                    <a:fld id="{B3CEE28F-1D69-444F-A9DF-E908BF6F21D9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F817-4FC0-AD05-14127AF16166}"/>
                </c:ext>
              </c:extLst>
            </c:dLbl>
            <c:dLbl>
              <c:idx val="26"/>
              <c:layout>
                <c:manualLayout>
                  <c:x val="-3.6111111111111108E-2"/>
                  <c:y val="-7.8703703703703706E-2"/>
                </c:manualLayout>
              </c:layout>
              <c:tx>
                <c:rich>
                  <a:bodyPr/>
                  <a:lstStyle/>
                  <a:p>
                    <a:fld id="{B80DAFC2-39D0-4EB0-9616-D0D7B9883987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F817-4FC0-AD05-14127AF16166}"/>
                </c:ext>
              </c:extLst>
            </c:dLbl>
            <c:dLbl>
              <c:idx val="27"/>
              <c:layout>
                <c:manualLayout>
                  <c:x val="-0.11111111111111116"/>
                  <c:y val="-3.7037037037037035E-2"/>
                </c:manualLayout>
              </c:layout>
              <c:tx>
                <c:rich>
                  <a:bodyPr/>
                  <a:lstStyle/>
                  <a:p>
                    <a:fld id="{D6C5FE8D-241F-4CE9-ABE0-3EDF326A6FD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F817-4FC0-AD05-14127AF161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'Wine Reputation data'!$B$239:$B$266</c:f>
              <c:numCache>
                <c:formatCode>General</c:formatCode>
                <c:ptCount val="28"/>
                <c:pt idx="0">
                  <c:v>90.615999999999985</c:v>
                </c:pt>
                <c:pt idx="1">
                  <c:v>88.642856449106446</c:v>
                </c:pt>
                <c:pt idx="2">
                  <c:v>90.472417453603512</c:v>
                </c:pt>
                <c:pt idx="3">
                  <c:v>87.721111111111114</c:v>
                </c:pt>
                <c:pt idx="4">
                  <c:v>90.035146103896111</c:v>
                </c:pt>
                <c:pt idx="5">
                  <c:v>91.226666666666674</c:v>
                </c:pt>
                <c:pt idx="6">
                  <c:v>89.244444444444454</c:v>
                </c:pt>
                <c:pt idx="7">
                  <c:v>91.984920634920627</c:v>
                </c:pt>
                <c:pt idx="8">
                  <c:v>87.72</c:v>
                </c:pt>
                <c:pt idx="9">
                  <c:v>88.571764705882345</c:v>
                </c:pt>
                <c:pt idx="10">
                  <c:v>91.872500000000002</c:v>
                </c:pt>
                <c:pt idx="11">
                  <c:v>92.826666666666668</c:v>
                </c:pt>
                <c:pt idx="12">
                  <c:v>90.794285714285706</c:v>
                </c:pt>
                <c:pt idx="13">
                  <c:v>89.333044733044744</c:v>
                </c:pt>
                <c:pt idx="14">
                  <c:v>95.12</c:v>
                </c:pt>
                <c:pt idx="15">
                  <c:v>95.68</c:v>
                </c:pt>
                <c:pt idx="16">
                  <c:v>91.16</c:v>
                </c:pt>
                <c:pt idx="17">
                  <c:v>90.115111111111119</c:v>
                </c:pt>
                <c:pt idx="18">
                  <c:v>90.922105263157903</c:v>
                </c:pt>
                <c:pt idx="19">
                  <c:v>93.296000000000006</c:v>
                </c:pt>
                <c:pt idx="20">
                  <c:v>89.340161030595823</c:v>
                </c:pt>
                <c:pt idx="21">
                  <c:v>87.86666666666666</c:v>
                </c:pt>
                <c:pt idx="22">
                  <c:v>88.705120018058608</c:v>
                </c:pt>
                <c:pt idx="23">
                  <c:v>90.88000000000001</c:v>
                </c:pt>
                <c:pt idx="24">
                  <c:v>90.053710317460329</c:v>
                </c:pt>
                <c:pt idx="25">
                  <c:v>88.975873222691746</c:v>
                </c:pt>
                <c:pt idx="26">
                  <c:v>92.265120976563693</c:v>
                </c:pt>
                <c:pt idx="27">
                  <c:v>89.265350482850479</c:v>
                </c:pt>
              </c:numCache>
            </c:numRef>
          </c:xVal>
          <c:yVal>
            <c:numRef>
              <c:f>'Wine Reputation data'!$C$239:$C$266</c:f>
              <c:numCache>
                <c:formatCode>General</c:formatCode>
                <c:ptCount val="28"/>
                <c:pt idx="0">
                  <c:v>1.11573792223403</c:v>
                </c:pt>
                <c:pt idx="1">
                  <c:v>1.0940428522509147</c:v>
                </c:pt>
                <c:pt idx="2">
                  <c:v>2.7735735584863375</c:v>
                </c:pt>
                <c:pt idx="3">
                  <c:v>1.8185946276597997</c:v>
                </c:pt>
                <c:pt idx="4">
                  <c:v>1.418823059726001</c:v>
                </c:pt>
                <c:pt idx="5">
                  <c:v>1.4098699703636932</c:v>
                </c:pt>
                <c:pt idx="6">
                  <c:v>2.8365341397427142</c:v>
                </c:pt>
                <c:pt idx="7">
                  <c:v>1.0351430572167302</c:v>
                </c:pt>
                <c:pt idx="8">
                  <c:v>0</c:v>
                </c:pt>
                <c:pt idx="9">
                  <c:v>1.0581645007873905</c:v>
                </c:pt>
                <c:pt idx="10">
                  <c:v>2.0033201607997366</c:v>
                </c:pt>
                <c:pt idx="11">
                  <c:v>2.9827057067926286</c:v>
                </c:pt>
                <c:pt idx="12">
                  <c:v>2.0407094938023995</c:v>
                </c:pt>
                <c:pt idx="13">
                  <c:v>1.2554235437523662</c:v>
                </c:pt>
                <c:pt idx="14">
                  <c:v>0</c:v>
                </c:pt>
                <c:pt idx="15">
                  <c:v>0</c:v>
                </c:pt>
                <c:pt idx="16">
                  <c:v>2.3174698847378039</c:v>
                </c:pt>
                <c:pt idx="17">
                  <c:v>1.2513404171152498</c:v>
                </c:pt>
                <c:pt idx="18">
                  <c:v>2.3923758041545438</c:v>
                </c:pt>
                <c:pt idx="19">
                  <c:v>2.2325431437911538</c:v>
                </c:pt>
                <c:pt idx="20">
                  <c:v>1.4712304197281412</c:v>
                </c:pt>
                <c:pt idx="21">
                  <c:v>0</c:v>
                </c:pt>
                <c:pt idx="22">
                  <c:v>1.1736806104474848</c:v>
                </c:pt>
                <c:pt idx="23">
                  <c:v>0.63076672920079646</c:v>
                </c:pt>
                <c:pt idx="24">
                  <c:v>1.5728028449904734</c:v>
                </c:pt>
                <c:pt idx="25">
                  <c:v>2.5514539469641888</c:v>
                </c:pt>
                <c:pt idx="26">
                  <c:v>2.9351954657362995</c:v>
                </c:pt>
                <c:pt idx="27">
                  <c:v>1.4417786561042019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'Wine Reputation data'!$A$239:$A$266</c15:f>
                <c15:dlblRangeCache>
                  <c:ptCount val="28"/>
                  <c:pt idx="0">
                    <c:v>Beaujolais</c:v>
                  </c:pt>
                  <c:pt idx="1">
                    <c:v>Corse</c:v>
                  </c:pt>
                  <c:pt idx="2">
                    <c:v>Anjou-saumur</c:v>
                  </c:pt>
                  <c:pt idx="3">
                    <c:v>Paysnantais</c:v>
                  </c:pt>
                  <c:pt idx="4">
                    <c:v>Touraine</c:v>
                  </c:pt>
                  <c:pt idx="5">
                    <c:v>Centreloire</c:v>
                  </c:pt>
                  <c:pt idx="6">
                    <c:v>Auvergne</c:v>
                  </c:pt>
                  <c:pt idx="7">
                    <c:v>Jura</c:v>
                  </c:pt>
                  <c:pt idx="8">
                    <c:v>Entre-deux-mers</c:v>
                  </c:pt>
                  <c:pt idx="9">
                    <c:v>Blaye Bourg</c:v>
                  </c:pt>
                  <c:pt idx="10">
                    <c:v>Graves</c:v>
                  </c:pt>
                  <c:pt idx="11">
                    <c:v>Libournais</c:v>
                  </c:pt>
                  <c:pt idx="12">
                    <c:v>Medoc</c:v>
                  </c:pt>
                  <c:pt idx="13">
                    <c:v>Provence</c:v>
                  </c:pt>
                  <c:pt idx="14">
                    <c:v>Alsace</c:v>
                  </c:pt>
                  <c:pt idx="15">
                    <c:v>Champagne</c:v>
                  </c:pt>
                  <c:pt idx="16">
                    <c:v>Chablis</c:v>
                  </c:pt>
                  <c:pt idx="17">
                    <c:v>Côte Chalonnaise</c:v>
                  </c:pt>
                  <c:pt idx="18">
                    <c:v>Beaune</c:v>
                  </c:pt>
                  <c:pt idx="19">
                    <c:v>Cotenuits</c:v>
                  </c:pt>
                  <c:pt idx="20">
                    <c:v>Sudwest</c:v>
                  </c:pt>
                  <c:pt idx="21">
                    <c:v>Buget</c:v>
                  </c:pt>
                  <c:pt idx="22">
                    <c:v>Savoie</c:v>
                  </c:pt>
                  <c:pt idx="23">
                    <c:v>Rousillon</c:v>
                  </c:pt>
                  <c:pt idx="24">
                    <c:v>Macon</c:v>
                  </c:pt>
                  <c:pt idx="25">
                    <c:v>Rhonemer</c:v>
                  </c:pt>
                  <c:pt idx="26">
                    <c:v>Rhonesept</c:v>
                  </c:pt>
                  <c:pt idx="27">
                    <c:v>Languedoc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817-4FC0-AD05-14127AF161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473572256"/>
        <c:axId val="1473570816"/>
      </c:scatterChart>
      <c:valAx>
        <c:axId val="147357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Score moyen Wine searcher</a:t>
                </a:r>
                <a:r>
                  <a:rPr lang="fr-FR" baseline="0"/>
                  <a:t> des terroirs de la sous région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3570816"/>
        <c:crosses val="autoZero"/>
        <c:crossBetween val="midCat"/>
      </c:valAx>
      <c:valAx>
        <c:axId val="1473570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hétérogénéité des terroirs de la sous régions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7357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Distances!$H$16</c:f>
              <c:strCache>
                <c:ptCount val="1"/>
                <c:pt idx="0">
                  <c:v>Travel time by car (minutes)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7582417582417582E-2"/>
                  <c:y val="-1.7189512069609132E-2"/>
                </c:manualLayout>
              </c:layout>
              <c:tx>
                <c:rich>
                  <a:bodyPr/>
                  <a:lstStyle/>
                  <a:p>
                    <a:fld id="{40CBDD50-D046-49F9-93F0-B84DEAA985B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991-4B18-BCDB-F7CB9EA22D20}"/>
                </c:ext>
              </c:extLst>
            </c:dLbl>
            <c:dLbl>
              <c:idx val="1"/>
              <c:layout>
                <c:manualLayout>
                  <c:x val="-0.17105263157894737"/>
                  <c:y val="7.6889460805088239E-2"/>
                </c:manualLayout>
              </c:layout>
              <c:tx>
                <c:rich>
                  <a:bodyPr/>
                  <a:lstStyle/>
                  <a:p>
                    <a:fld id="{217DB0C4-B5A6-42CB-9D37-3AEACC15D66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991-4B18-BCDB-F7CB9EA22D20}"/>
                </c:ext>
              </c:extLst>
            </c:dLbl>
            <c:dLbl>
              <c:idx val="2"/>
              <c:layout>
                <c:manualLayout>
                  <c:x val="-0.13596491228070176"/>
                  <c:y val="2.0969852946842119E-2"/>
                </c:manualLayout>
              </c:layout>
              <c:tx>
                <c:rich>
                  <a:bodyPr/>
                  <a:lstStyle/>
                  <a:p>
                    <a:fld id="{3C65B684-4288-4FFB-AA20-C63543E7B6B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991-4B18-BCDB-F7CB9EA22D20}"/>
                </c:ext>
              </c:extLst>
            </c:dLbl>
            <c:dLbl>
              <c:idx val="3"/>
              <c:layout>
                <c:manualLayout>
                  <c:x val="3.2894736842105261E-2"/>
                  <c:y val="3.8444730402544189E-2"/>
                </c:manualLayout>
              </c:layout>
              <c:tx>
                <c:rich>
                  <a:bodyPr/>
                  <a:lstStyle/>
                  <a:p>
                    <a:fld id="{387AEF81-5B8A-4E4A-BB43-499F87E2BC6B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991-4B18-BCDB-F7CB9EA22D20}"/>
                </c:ext>
              </c:extLst>
            </c:dLbl>
            <c:dLbl>
              <c:idx val="4"/>
              <c:layout>
                <c:manualLayout>
                  <c:x val="-9.2307692307692313E-2"/>
                  <c:y val="4.4692731380983682E-2"/>
                </c:manualLayout>
              </c:layout>
              <c:tx>
                <c:rich>
                  <a:bodyPr/>
                  <a:lstStyle/>
                  <a:p>
                    <a:fld id="{1A9675D2-522D-49A9-AA3F-B6BD6970960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991-4B18-BCDB-F7CB9EA22D20}"/>
                </c:ext>
              </c:extLst>
            </c:dLbl>
            <c:dLbl>
              <c:idx val="5"/>
              <c:layout>
                <c:manualLayout>
                  <c:x val="-5.0438596491228067E-2"/>
                  <c:y val="-6.2909558840526805E-2"/>
                </c:manualLayout>
              </c:layout>
              <c:tx>
                <c:rich>
                  <a:bodyPr/>
                  <a:lstStyle/>
                  <a:p>
                    <a:fld id="{8DAB1FCB-0D02-41DF-8EB6-FE0E3B7EBFC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991-4B18-BCDB-F7CB9EA22D20}"/>
                </c:ext>
              </c:extLst>
            </c:dLbl>
            <c:dLbl>
              <c:idx val="6"/>
              <c:layout>
                <c:manualLayout>
                  <c:x val="3.0701754385964751E-2"/>
                  <c:y val="2.4464828437982495E-2"/>
                </c:manualLayout>
              </c:layout>
              <c:tx>
                <c:rich>
                  <a:bodyPr/>
                  <a:lstStyle/>
                  <a:p>
                    <a:fld id="{344380C0-FA88-4A2D-AE80-E19DD3CC31C7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991-4B18-BCDB-F7CB9EA22D20}"/>
                </c:ext>
              </c:extLst>
            </c:dLbl>
            <c:dLbl>
              <c:idx val="7"/>
              <c:layout>
                <c:manualLayout>
                  <c:x val="-0.21052631578947367"/>
                  <c:y val="-4.1939705893684495E-2"/>
                </c:manualLayout>
              </c:layout>
              <c:tx>
                <c:rich>
                  <a:bodyPr/>
                  <a:lstStyle/>
                  <a:p>
                    <a:fld id="{5A3F5F16-8A55-4841-BDE9-FC68BCF29FE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991-4B18-BCDB-F7CB9EA22D20}"/>
                </c:ext>
              </c:extLst>
            </c:dLbl>
            <c:dLbl>
              <c:idx val="8"/>
              <c:layout>
                <c:manualLayout>
                  <c:x val="-8.5526315789473728E-2"/>
                  <c:y val="4.1939705893684495E-2"/>
                </c:manualLayout>
              </c:layout>
              <c:tx>
                <c:rich>
                  <a:bodyPr/>
                  <a:lstStyle/>
                  <a:p>
                    <a:fld id="{A8812F62-E216-4D32-A919-3AB7AACC40C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991-4B18-BCDB-F7CB9EA22D20}"/>
                </c:ext>
              </c:extLst>
            </c:dLbl>
            <c:dLbl>
              <c:idx val="9"/>
              <c:layout>
                <c:manualLayout>
                  <c:x val="-0.14254385964912283"/>
                  <c:y val="-5.2424632367105622E-2"/>
                </c:manualLayout>
              </c:layout>
              <c:tx>
                <c:rich>
                  <a:bodyPr/>
                  <a:lstStyle/>
                  <a:p>
                    <a:fld id="{A54868D0-7D7D-4D87-B6B0-F29C89D0DF70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991-4B18-BCDB-F7CB9EA22D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AD4F025-4CA6-4121-8961-98F52BC4E142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991-4B18-BCDB-F7CB9EA22D20}"/>
                </c:ext>
              </c:extLst>
            </c:dLbl>
            <c:dLbl>
              <c:idx val="11"/>
              <c:layout>
                <c:manualLayout>
                  <c:x val="-6.5789473684210523E-2"/>
                  <c:y val="0.111839215716492"/>
                </c:manualLayout>
              </c:layout>
              <c:tx>
                <c:rich>
                  <a:bodyPr/>
                  <a:lstStyle/>
                  <a:p>
                    <a:fld id="{73A2FEA9-7595-4050-89D9-B53DB771DC87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D991-4B18-BCDB-F7CB9EA22D20}"/>
                </c:ext>
              </c:extLst>
            </c:dLbl>
            <c:dLbl>
              <c:idx val="12"/>
              <c:layout>
                <c:manualLayout>
                  <c:x val="-0.17324561403508773"/>
                  <c:y val="-9.7859313751930493E-2"/>
                </c:manualLayout>
              </c:layout>
              <c:tx>
                <c:rich>
                  <a:bodyPr/>
                  <a:lstStyle/>
                  <a:p>
                    <a:fld id="{368156FD-EF06-4D5F-841B-CE7E281513F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991-4B18-BCDB-F7CB9EA22D20}"/>
                </c:ext>
              </c:extLst>
            </c:dLbl>
            <c:dLbl>
              <c:idx val="13"/>
              <c:layout>
                <c:manualLayout>
                  <c:x val="-0.15789473684210525"/>
                  <c:y val="1.048492647342106E-2"/>
                </c:manualLayout>
              </c:layout>
              <c:tx>
                <c:rich>
                  <a:bodyPr/>
                  <a:lstStyle/>
                  <a:p>
                    <a:fld id="{AB5FBEE3-6936-472B-8AA2-3A497C541068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D991-4B18-BCDB-F7CB9EA22D20}"/>
                </c:ext>
              </c:extLst>
            </c:dLbl>
            <c:dLbl>
              <c:idx val="14"/>
              <c:layout>
                <c:manualLayout>
                  <c:x val="-2.4175824175824177E-2"/>
                  <c:y val="-3.4379024139218263E-2"/>
                </c:manualLayout>
              </c:layout>
              <c:tx>
                <c:rich>
                  <a:bodyPr/>
                  <a:lstStyle/>
                  <a:p>
                    <a:fld id="{F2C12579-DDC6-46CA-887A-4FC8BA40F57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D991-4B18-BCDB-F7CB9EA22D20}"/>
                </c:ext>
              </c:extLst>
            </c:dLbl>
            <c:dLbl>
              <c:idx val="15"/>
              <c:layout>
                <c:manualLayout>
                  <c:x val="2.6315789473684209E-2"/>
                  <c:y val="6.4073810484780519E-17"/>
                </c:manualLayout>
              </c:layout>
              <c:tx>
                <c:rich>
                  <a:bodyPr/>
                  <a:lstStyle/>
                  <a:p>
                    <a:fld id="{74317D32-C36D-4172-8369-8D07349E8085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991-4B18-BCDB-F7CB9EA22D20}"/>
                </c:ext>
              </c:extLst>
            </c:dLbl>
            <c:dLbl>
              <c:idx val="16"/>
              <c:layout>
                <c:manualLayout>
                  <c:x val="3.7280701754385803E-2"/>
                  <c:y val="4.5434681384824871E-2"/>
                </c:manualLayout>
              </c:layout>
              <c:tx>
                <c:rich>
                  <a:bodyPr/>
                  <a:lstStyle/>
                  <a:p>
                    <a:fld id="{5C562020-A197-47B8-8AA1-3A85BD3713BA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991-4B18-BCDB-F7CB9EA22D20}"/>
                </c:ext>
              </c:extLst>
            </c:dLbl>
            <c:dLbl>
              <c:idx val="17"/>
              <c:layout>
                <c:manualLayout>
                  <c:x val="-1.098901098901107E-2"/>
                  <c:y val="4.1254828967061917E-2"/>
                </c:manualLayout>
              </c:layout>
              <c:tx>
                <c:rich>
                  <a:bodyPr/>
                  <a:lstStyle/>
                  <a:p>
                    <a:fld id="{7B563CEA-AED8-437C-8945-7A0FA0C5EAE7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991-4B18-BCDB-F7CB9EA22D20}"/>
                </c:ext>
              </c:extLst>
            </c:dLbl>
            <c:dLbl>
              <c:idx val="18"/>
              <c:layout>
                <c:manualLayout>
                  <c:x val="1.3157894736842025E-2"/>
                  <c:y val="4.8929656875965247E-2"/>
                </c:manualLayout>
              </c:layout>
              <c:tx>
                <c:rich>
                  <a:bodyPr/>
                  <a:lstStyle/>
                  <a:p>
                    <a:fld id="{154AC930-FA64-4BA7-90D4-D7B3CAB71452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D991-4B18-BCDB-F7CB9EA22D20}"/>
                </c:ext>
              </c:extLst>
            </c:dLbl>
            <c:dLbl>
              <c:idx val="19"/>
              <c:layout>
                <c:manualLayout>
                  <c:x val="3.7362637362637285E-2"/>
                  <c:y val="-6.8758048278437156E-3"/>
                </c:manualLayout>
              </c:layout>
              <c:tx>
                <c:rich>
                  <a:bodyPr/>
                  <a:lstStyle/>
                  <a:p>
                    <a:fld id="{2BD6C750-EDE3-40EB-8547-CBFBCEA7DCD3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D991-4B18-BCDB-F7CB9EA22D20}"/>
                </c:ext>
              </c:extLst>
            </c:dLbl>
            <c:dLbl>
              <c:idx val="20"/>
              <c:layout>
                <c:manualLayout>
                  <c:x val="-0.10964912280701762"/>
                  <c:y val="-0.12931409317219386"/>
                </c:manualLayout>
              </c:layout>
              <c:tx>
                <c:rich>
                  <a:bodyPr/>
                  <a:lstStyle/>
                  <a:p>
                    <a:fld id="{E10AD2B9-DC51-4429-B5E5-44AD6F0672E1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D991-4B18-BCDB-F7CB9EA22D20}"/>
                </c:ext>
              </c:extLst>
            </c:dLbl>
            <c:dLbl>
              <c:idx val="21"/>
              <c:layout>
                <c:manualLayout>
                  <c:x val="-5.2631578947368501E-2"/>
                  <c:y val="-7.6889460805088239E-2"/>
                </c:manualLayout>
              </c:layout>
              <c:tx>
                <c:rich>
                  <a:bodyPr/>
                  <a:lstStyle/>
                  <a:p>
                    <a:fld id="{D4FE6119-B694-401D-9422-4F6BC3BB7F9C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D991-4B18-BCDB-F7CB9EA22D20}"/>
                </c:ext>
              </c:extLst>
            </c:dLbl>
            <c:dLbl>
              <c:idx val="22"/>
              <c:layout>
                <c:manualLayout>
                  <c:x val="-6.5789473684210523E-3"/>
                  <c:y val="-6.2909558840526805E-2"/>
                </c:manualLayout>
              </c:layout>
              <c:tx>
                <c:rich>
                  <a:bodyPr/>
                  <a:lstStyle/>
                  <a:p>
                    <a:fld id="{21410876-780C-4274-A277-CCB0E0CA4701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D991-4B18-BCDB-F7CB9EA22D20}"/>
                </c:ext>
              </c:extLst>
            </c:dLbl>
            <c:dLbl>
              <c:idx val="23"/>
              <c:layout>
                <c:manualLayout>
                  <c:x val="-0.18421052631578952"/>
                  <c:y val="-5.5919607858245998E-2"/>
                </c:manualLayout>
              </c:layout>
              <c:tx>
                <c:rich>
                  <a:bodyPr/>
                  <a:lstStyle/>
                  <a:p>
                    <a:fld id="{B2554095-6150-4669-A70E-834652B78AD8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D991-4B18-BCDB-F7CB9EA22D20}"/>
                </c:ext>
              </c:extLst>
            </c:dLbl>
            <c:dLbl>
              <c:idx val="24"/>
              <c:layout>
                <c:manualLayout>
                  <c:x val="3.5087719298245612E-2"/>
                  <c:y val="-2.4464828437982623E-2"/>
                </c:manualLayout>
              </c:layout>
              <c:tx>
                <c:rich>
                  <a:bodyPr/>
                  <a:lstStyle/>
                  <a:p>
                    <a:fld id="{E3451D7E-C3EA-4E25-988B-0D2B3DA4D5EB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D991-4B18-BCDB-F7CB9EA22D20}"/>
                </c:ext>
              </c:extLst>
            </c:dLbl>
            <c:dLbl>
              <c:idx val="25"/>
              <c:layout>
                <c:manualLayout>
                  <c:x val="-6.5789473684210523E-3"/>
                  <c:y val="5.9414583349386367E-2"/>
                </c:manualLayout>
              </c:layout>
              <c:tx>
                <c:rich>
                  <a:bodyPr/>
                  <a:lstStyle/>
                  <a:p>
                    <a:fld id="{3A22EFA6-04FD-4ECC-AE12-E75972CC0A68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D991-4B18-BCDB-F7CB9EA22D20}"/>
                </c:ext>
              </c:extLst>
            </c:dLbl>
            <c:dLbl>
              <c:idx val="26"/>
              <c:layout>
                <c:manualLayout>
                  <c:x val="-4.3956043956044763E-3"/>
                  <c:y val="2.4065316897452785E-2"/>
                </c:manualLayout>
              </c:layout>
              <c:tx>
                <c:rich>
                  <a:bodyPr/>
                  <a:lstStyle/>
                  <a:p>
                    <a:fld id="{BB9EE3F9-B2E0-44B6-BC54-F60FD0EB77A1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D991-4B18-BCDB-F7CB9EA22D20}"/>
                </c:ext>
              </c:extLst>
            </c:dLbl>
            <c:dLbl>
              <c:idx val="27"/>
              <c:layout>
                <c:manualLayout>
                  <c:x val="8.9912280701754305E-2"/>
                  <c:y val="9.0869362769649617E-2"/>
                </c:manualLayout>
              </c:layout>
              <c:tx>
                <c:rich>
                  <a:bodyPr/>
                  <a:lstStyle/>
                  <a:p>
                    <a:fld id="{1AF6276E-99E3-4750-B946-3ADFAF2DA75E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D991-4B18-BCDB-F7CB9EA22D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Distances!$D$17:$D$44</c:f>
              <c:numCache>
                <c:formatCode>0.00</c:formatCode>
                <c:ptCount val="28"/>
                <c:pt idx="0">
                  <c:v>283.59130434782611</c:v>
                </c:pt>
                <c:pt idx="1">
                  <c:v>216.22641509433961</c:v>
                </c:pt>
                <c:pt idx="2">
                  <c:v>144.25</c:v>
                </c:pt>
                <c:pt idx="3">
                  <c:v>220.36363636363637</c:v>
                </c:pt>
                <c:pt idx="4">
                  <c:v>255.98275862068965</c:v>
                </c:pt>
                <c:pt idx="5">
                  <c:v>314.30769230769232</c:v>
                </c:pt>
                <c:pt idx="6">
                  <c:v>359.33333333333331</c:v>
                </c:pt>
                <c:pt idx="7">
                  <c:v>207.82142857142858</c:v>
                </c:pt>
                <c:pt idx="8">
                  <c:v>175.75</c:v>
                </c:pt>
                <c:pt idx="9">
                  <c:v>186.73118279569891</c:v>
                </c:pt>
                <c:pt idx="10">
                  <c:v>723.73333333333335</c:v>
                </c:pt>
                <c:pt idx="11">
                  <c:v>243</c:v>
                </c:pt>
                <c:pt idx="12">
                  <c:v>234.7</c:v>
                </c:pt>
                <c:pt idx="13">
                  <c:v>151.66666666666666</c:v>
                </c:pt>
                <c:pt idx="14">
                  <c:v>271.43333333333334</c:v>
                </c:pt>
                <c:pt idx="15">
                  <c:v>253.63333333333333</c:v>
                </c:pt>
                <c:pt idx="16">
                  <c:v>345.03225806451616</c:v>
                </c:pt>
                <c:pt idx="17">
                  <c:v>263.33333333333331</c:v>
                </c:pt>
                <c:pt idx="18">
                  <c:v>230.2608695652174</c:v>
                </c:pt>
                <c:pt idx="19">
                  <c:v>326.75</c:v>
                </c:pt>
                <c:pt idx="20">
                  <c:v>246.72222222222223</c:v>
                </c:pt>
                <c:pt idx="21">
                  <c:v>284.93333333333334</c:v>
                </c:pt>
                <c:pt idx="22">
                  <c:v>337.16666666666669</c:v>
                </c:pt>
                <c:pt idx="23">
                  <c:v>213.47368421052633</c:v>
                </c:pt>
                <c:pt idx="24">
                  <c:v>388.92307692307691</c:v>
                </c:pt>
                <c:pt idx="25">
                  <c:v>332</c:v>
                </c:pt>
                <c:pt idx="26">
                  <c:v>311.5595238095238</c:v>
                </c:pt>
                <c:pt idx="27">
                  <c:v>220.75</c:v>
                </c:pt>
              </c:numCache>
            </c:numRef>
          </c:xVal>
          <c:yVal>
            <c:numRef>
              <c:f>Distances!$H$17:$H$44</c:f>
              <c:numCache>
                <c:formatCode>0.00</c:formatCode>
                <c:ptCount val="28"/>
                <c:pt idx="0">
                  <c:v>144.19491533314508</c:v>
                </c:pt>
                <c:pt idx="1">
                  <c:v>82.836410033788411</c:v>
                </c:pt>
                <c:pt idx="2">
                  <c:v>99.597105044942623</c:v>
                </c:pt>
                <c:pt idx="3">
                  <c:v>123.11651447455634</c:v>
                </c:pt>
                <c:pt idx="4">
                  <c:v>150.74976260541786</c:v>
                </c:pt>
                <c:pt idx="5">
                  <c:v>163.11058856666574</c:v>
                </c:pt>
                <c:pt idx="6">
                  <c:v>101.00660044439346</c:v>
                </c:pt>
                <c:pt idx="7">
                  <c:v>111.33962900518837</c:v>
                </c:pt>
                <c:pt idx="8">
                  <c:v>89.499155511151628</c:v>
                </c:pt>
                <c:pt idx="9">
                  <c:v>144.52915606149045</c:v>
                </c:pt>
                <c:pt idx="10">
                  <c:v>301.6387306191362</c:v>
                </c:pt>
                <c:pt idx="11">
                  <c:v>90.795316364249814</c:v>
                </c:pt>
                <c:pt idx="12">
                  <c:v>150.86251169822617</c:v>
                </c:pt>
                <c:pt idx="13">
                  <c:v>112.98967504452196</c:v>
                </c:pt>
                <c:pt idx="14">
                  <c:v>148.45100976029289</c:v>
                </c:pt>
                <c:pt idx="15">
                  <c:v>122.674923197894</c:v>
                </c:pt>
                <c:pt idx="16">
                  <c:v>177.06535587871053</c:v>
                </c:pt>
                <c:pt idx="17">
                  <c:v>143.68736190429027</c:v>
                </c:pt>
                <c:pt idx="18">
                  <c:v>106.67973198968632</c:v>
                </c:pt>
                <c:pt idx="19">
                  <c:v>139.02217192129567</c:v>
                </c:pt>
                <c:pt idx="20">
                  <c:v>162.03006458699372</c:v>
                </c:pt>
                <c:pt idx="21">
                  <c:v>175.59869276535321</c:v>
                </c:pt>
                <c:pt idx="22">
                  <c:v>187.96776572694841</c:v>
                </c:pt>
                <c:pt idx="23">
                  <c:v>120.8496860423781</c:v>
                </c:pt>
                <c:pt idx="24">
                  <c:v>181.7972327791428</c:v>
                </c:pt>
                <c:pt idx="25">
                  <c:v>100.44899203078147</c:v>
                </c:pt>
                <c:pt idx="26">
                  <c:v>130.98435031974688</c:v>
                </c:pt>
                <c:pt idx="27">
                  <c:v>115.25941632182361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Distances!$A$17:$A$44</c15:f>
                <c15:dlblRangeCache>
                  <c:ptCount val="28"/>
                  <c:pt idx="0">
                    <c:v>Alsace</c:v>
                  </c:pt>
                  <c:pt idx="1">
                    <c:v>Anjousaumur</c:v>
                  </c:pt>
                  <c:pt idx="2">
                    <c:v>Auvergne</c:v>
                  </c:pt>
                  <c:pt idx="3">
                    <c:v>Beaujolais</c:v>
                  </c:pt>
                  <c:pt idx="4">
                    <c:v>Beaune</c:v>
                  </c:pt>
                  <c:pt idx="5">
                    <c:v>Blaye</c:v>
                  </c:pt>
                  <c:pt idx="6">
                    <c:v>Bugey</c:v>
                  </c:pt>
                  <c:pt idx="7">
                    <c:v>Centreloire</c:v>
                  </c:pt>
                  <c:pt idx="8">
                    <c:v>Chablis</c:v>
                  </c:pt>
                  <c:pt idx="9">
                    <c:v>Champagne</c:v>
                  </c:pt>
                  <c:pt idx="10">
                    <c:v>Corse</c:v>
                  </c:pt>
                  <c:pt idx="11">
                    <c:v>Cotechalonnaise</c:v>
                  </c:pt>
                  <c:pt idx="12">
                    <c:v>Cotenuits</c:v>
                  </c:pt>
                  <c:pt idx="13">
                    <c:v>Entre2mer</c:v>
                  </c:pt>
                  <c:pt idx="14">
                    <c:v>Graves</c:v>
                  </c:pt>
                  <c:pt idx="15">
                    <c:v>Jura</c:v>
                  </c:pt>
                  <c:pt idx="16">
                    <c:v>Languedoc</c:v>
                  </c:pt>
                  <c:pt idx="17">
                    <c:v>Libournais</c:v>
                  </c:pt>
                  <c:pt idx="18">
                    <c:v>Macon</c:v>
                  </c:pt>
                  <c:pt idx="19">
                    <c:v>Medoc</c:v>
                  </c:pt>
                  <c:pt idx="20">
                    <c:v>Paysnantais</c:v>
                  </c:pt>
                  <c:pt idx="21">
                    <c:v>Provence</c:v>
                  </c:pt>
                  <c:pt idx="22">
                    <c:v>Rhonemer</c:v>
                  </c:pt>
                  <c:pt idx="23">
                    <c:v>Rhonesept</c:v>
                  </c:pt>
                  <c:pt idx="24">
                    <c:v>Rousillon</c:v>
                  </c:pt>
                  <c:pt idx="25">
                    <c:v>Savoie</c:v>
                  </c:pt>
                  <c:pt idx="26">
                    <c:v>Sudwest</c:v>
                  </c:pt>
                  <c:pt idx="27">
                    <c:v>Touraine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991-4B18-BCDB-F7CB9EA22D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53186639"/>
        <c:axId val="753189039"/>
      </c:scatterChart>
      <c:valAx>
        <c:axId val="753186639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de transport automobile </a:t>
                </a:r>
                <a:r>
                  <a:rPr lang="fr-FR" baseline="0"/>
                  <a:t> (</a:t>
                </a:r>
                <a:r>
                  <a:rPr lang="fr-FR"/>
                  <a:t>mn)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3189039"/>
        <c:crosses val="autoZero"/>
        <c:crossBetween val="midCat"/>
      </c:valAx>
      <c:valAx>
        <c:axId val="753189039"/>
        <c:scaling>
          <c:orientation val="minMax"/>
          <c:max val="200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hétérogénéité du temps de transport automobile(mn)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318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663575</xdr:colOff>
      <xdr:row>249</xdr:row>
      <xdr:rowOff>38100</xdr:rowOff>
    </xdr:from>
    <xdr:to>
      <xdr:col>10</xdr:col>
      <xdr:colOff>663575</xdr:colOff>
      <xdr:row>264</xdr:row>
      <xdr:rowOff>19050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E679133-2F3F-ABCC-0E3A-1C8651421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45</xdr:row>
      <xdr:rowOff>55561</xdr:rowOff>
    </xdr:from>
    <xdr:to>
      <xdr:col>6</xdr:col>
      <xdr:colOff>6350</xdr:colOff>
      <xdr:row>65</xdr:row>
      <xdr:rowOff>66674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B268F17-CC19-5200-34DA-B3A129BEC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0FFA-E836-449C-B9A7-C53729AA3CD2}">
  <sheetPr>
    <tabColor rgb="FF00B050"/>
  </sheetPr>
  <dimension ref="A1:B11"/>
  <sheetViews>
    <sheetView workbookViewId="0">
      <selection activeCell="N20" sqref="N20"/>
    </sheetView>
  </sheetViews>
  <sheetFormatPr baseColWidth="10" defaultRowHeight="14.5" x14ac:dyDescent="0.35"/>
  <sheetData>
    <row r="1" spans="1:2" x14ac:dyDescent="0.35">
      <c r="A1" t="s">
        <v>820</v>
      </c>
    </row>
    <row r="2" spans="1:2" x14ac:dyDescent="0.35">
      <c r="B2" t="s">
        <v>830</v>
      </c>
    </row>
    <row r="3" spans="1:2" x14ac:dyDescent="0.35">
      <c r="B3" t="s">
        <v>821</v>
      </c>
    </row>
    <row r="4" spans="1:2" x14ac:dyDescent="0.35">
      <c r="B4" t="s">
        <v>822</v>
      </c>
    </row>
    <row r="5" spans="1:2" x14ac:dyDescent="0.35">
      <c r="B5" t="s">
        <v>823</v>
      </c>
    </row>
    <row r="6" spans="1:2" x14ac:dyDescent="0.35">
      <c r="B6" t="s">
        <v>824</v>
      </c>
    </row>
    <row r="7" spans="1:2" x14ac:dyDescent="0.35">
      <c r="B7" t="s">
        <v>825</v>
      </c>
    </row>
    <row r="8" spans="1:2" x14ac:dyDescent="0.35">
      <c r="B8" t="s">
        <v>826</v>
      </c>
    </row>
    <row r="9" spans="1:2" x14ac:dyDescent="0.35">
      <c r="B9" t="s">
        <v>827</v>
      </c>
    </row>
    <row r="10" spans="1:2" x14ac:dyDescent="0.35">
      <c r="B10" t="s">
        <v>828</v>
      </c>
    </row>
    <row r="11" spans="1:2" x14ac:dyDescent="0.35">
      <c r="B11" t="s">
        <v>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8605-AC92-4B15-BBA1-E25E2FD7AF57}">
  <sheetPr codeName="Feuil1"/>
  <dimension ref="A1:AN1200"/>
  <sheetViews>
    <sheetView workbookViewId="0">
      <selection activeCell="H5" sqref="H5"/>
    </sheetView>
  </sheetViews>
  <sheetFormatPr baseColWidth="10"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32</v>
      </c>
      <c r="W1" t="s">
        <v>33</v>
      </c>
      <c r="X1" t="s">
        <v>34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35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>
        <v>1</v>
      </c>
      <c r="B2">
        <v>42</v>
      </c>
      <c r="C2" t="s">
        <v>40</v>
      </c>
      <c r="D2" t="s">
        <v>41</v>
      </c>
      <c r="E2" t="s">
        <v>42</v>
      </c>
      <c r="F2" t="s">
        <v>43</v>
      </c>
      <c r="G2">
        <v>3</v>
      </c>
      <c r="H2">
        <v>9</v>
      </c>
      <c r="I2">
        <v>4</v>
      </c>
      <c r="J2" t="s">
        <v>45</v>
      </c>
      <c r="K2" t="s">
        <v>46</v>
      </c>
      <c r="L2" t="s">
        <v>47</v>
      </c>
      <c r="M2">
        <v>349.1502509411817</v>
      </c>
      <c r="N2">
        <v>424</v>
      </c>
      <c r="O2">
        <v>263</v>
      </c>
      <c r="P2">
        <v>261</v>
      </c>
      <c r="Q2">
        <v>5.9107966440405271</v>
      </c>
      <c r="R2">
        <v>6.4997870406558542</v>
      </c>
      <c r="S2">
        <v>8.6415324656718457</v>
      </c>
      <c r="T2">
        <v>89.265350482850479</v>
      </c>
      <c r="U2">
        <v>1.4417786561042019</v>
      </c>
      <c r="V2">
        <v>-0.22886708829074301</v>
      </c>
      <c r="W2">
        <v>0.28745285629339301</v>
      </c>
      <c r="X2">
        <v>-0.15627425222847</v>
      </c>
      <c r="Y2">
        <v>1.45226138127617</v>
      </c>
      <c r="Z2">
        <v>0.98247225355557</v>
      </c>
      <c r="AA2">
        <v>0.627775520474398</v>
      </c>
      <c r="AB2">
        <v>3362.2959371744532</v>
      </c>
      <c r="AC2">
        <v>2.8998317172850387</v>
      </c>
      <c r="AD2">
        <v>2.9499158586425196</v>
      </c>
      <c r="AE2">
        <v>1.06273170356322</v>
      </c>
      <c r="AF2">
        <v>0.65245012329042495</v>
      </c>
      <c r="AG2">
        <v>-0.141846093041534</v>
      </c>
      <c r="AH2">
        <v>0.36756203295498702</v>
      </c>
      <c r="AI2">
        <v>0.68119284629652999</v>
      </c>
      <c r="AJ2">
        <v>-1.0915757070498799</v>
      </c>
      <c r="AK2">
        <v>43.3535629403058</v>
      </c>
      <c r="AL2">
        <v>3.21615314793977</v>
      </c>
      <c r="AM2">
        <v>44.849754500000003</v>
      </c>
      <c r="AN2">
        <v>-0.62332259999999995</v>
      </c>
    </row>
    <row r="3" spans="1:40" x14ac:dyDescent="0.35">
      <c r="A3">
        <v>3</v>
      </c>
      <c r="B3">
        <v>42</v>
      </c>
      <c r="C3" t="s">
        <v>48</v>
      </c>
      <c r="D3" t="s">
        <v>41</v>
      </c>
      <c r="E3" t="s">
        <v>42</v>
      </c>
      <c r="F3" t="s">
        <v>49</v>
      </c>
      <c r="G3">
        <v>4</v>
      </c>
      <c r="H3">
        <v>16</v>
      </c>
      <c r="I3">
        <v>5</v>
      </c>
      <c r="J3" t="s">
        <v>50</v>
      </c>
      <c r="K3" t="s">
        <v>46</v>
      </c>
      <c r="L3" t="s">
        <v>51</v>
      </c>
      <c r="M3">
        <v>164.01991152584449</v>
      </c>
      <c r="N3">
        <v>200</v>
      </c>
      <c r="O3">
        <v>156</v>
      </c>
      <c r="P3">
        <v>190</v>
      </c>
      <c r="Q3">
        <v>0</v>
      </c>
      <c r="R3">
        <v>1.3862943611198906</v>
      </c>
      <c r="S3">
        <v>4.3438054218536841</v>
      </c>
      <c r="T3">
        <v>91.16</v>
      </c>
      <c r="U3">
        <v>2.3174698847378039</v>
      </c>
      <c r="V3">
        <v>-0.58471966768986094</v>
      </c>
      <c r="W3">
        <v>-0.55557078097057</v>
      </c>
      <c r="X3">
        <v>-0.47566183223429498</v>
      </c>
      <c r="Y3">
        <v>-0.95884680312505799</v>
      </c>
      <c r="Z3">
        <v>-0.76521334103430205</v>
      </c>
      <c r="AA3">
        <v>-0.77245900699560299</v>
      </c>
      <c r="AB3">
        <v>1376</v>
      </c>
      <c r="AC3">
        <v>0</v>
      </c>
      <c r="AD3">
        <v>2</v>
      </c>
      <c r="AE3">
        <v>-1.2769936012368599</v>
      </c>
      <c r="AF3">
        <v>-1.63162198614287</v>
      </c>
      <c r="AG3">
        <v>-1.16185907274911</v>
      </c>
      <c r="AH3">
        <v>1.0616150487563301</v>
      </c>
      <c r="AI3">
        <v>1.2229651154971699</v>
      </c>
      <c r="AJ3">
        <v>-1.1389844391127799</v>
      </c>
      <c r="AK3">
        <v>47.815207299999997</v>
      </c>
      <c r="AL3">
        <v>3.8001657</v>
      </c>
      <c r="AM3">
        <v>48.904000000000003</v>
      </c>
      <c r="AN3">
        <v>2.3060000000000005</v>
      </c>
    </row>
    <row r="4" spans="1:40" x14ac:dyDescent="0.35">
      <c r="A4">
        <v>4</v>
      </c>
      <c r="B4">
        <v>72</v>
      </c>
      <c r="C4" t="s">
        <v>40</v>
      </c>
      <c r="D4" t="s">
        <v>52</v>
      </c>
      <c r="E4" t="s">
        <v>42</v>
      </c>
      <c r="F4" t="s">
        <v>53</v>
      </c>
      <c r="G4">
        <v>4</v>
      </c>
      <c r="H4">
        <v>16</v>
      </c>
      <c r="I4">
        <v>7</v>
      </c>
      <c r="J4" t="s">
        <v>50</v>
      </c>
      <c r="K4" t="s">
        <v>46</v>
      </c>
      <c r="L4" t="s">
        <v>54</v>
      </c>
      <c r="M4">
        <v>94.388597029188745</v>
      </c>
      <c r="N4">
        <v>161</v>
      </c>
      <c r="O4">
        <v>120</v>
      </c>
      <c r="P4">
        <v>129</v>
      </c>
      <c r="Q4">
        <v>3.9889840465642745</v>
      </c>
      <c r="R4">
        <v>3.0910424533583161</v>
      </c>
      <c r="S4">
        <v>4.1271343850450917</v>
      </c>
      <c r="T4">
        <v>92.826666666666668</v>
      </c>
      <c r="U4">
        <v>2.9827057067926286</v>
      </c>
      <c r="V4">
        <v>-0.16604708794949699</v>
      </c>
      <c r="W4">
        <v>-0.150727876652859</v>
      </c>
      <c r="X4">
        <v>-0.19602043866096</v>
      </c>
      <c r="Y4">
        <v>1.4483117406157899</v>
      </c>
      <c r="Z4">
        <v>1.7680602694732599</v>
      </c>
      <c r="AA4">
        <v>0.26366440732357699</v>
      </c>
      <c r="AB4">
        <v>4236</v>
      </c>
      <c r="AC4">
        <v>0</v>
      </c>
      <c r="AD4">
        <v>4</v>
      </c>
      <c r="AE4">
        <v>1.6751267091712101</v>
      </c>
      <c r="AF4">
        <v>-0.66154116470040303</v>
      </c>
      <c r="AG4">
        <v>-0.54791678689317702</v>
      </c>
      <c r="AH4">
        <v>0.49971864704647101</v>
      </c>
      <c r="AI4">
        <v>0.23297538207974999</v>
      </c>
      <c r="AJ4">
        <v>-0.76869039377989701</v>
      </c>
      <c r="AK4">
        <v>44.917983300000003</v>
      </c>
      <c r="AL4">
        <v>-0.22352169999999999</v>
      </c>
      <c r="AM4">
        <v>44.408999999999999</v>
      </c>
      <c r="AN4">
        <v>-1.177</v>
      </c>
    </row>
    <row r="5" spans="1:40" x14ac:dyDescent="0.35">
      <c r="A5">
        <v>5</v>
      </c>
      <c r="B5">
        <v>72</v>
      </c>
      <c r="C5" t="s">
        <v>40</v>
      </c>
      <c r="D5" t="s">
        <v>52</v>
      </c>
      <c r="E5" t="s">
        <v>42</v>
      </c>
      <c r="F5" t="s">
        <v>49</v>
      </c>
      <c r="G5">
        <v>4</v>
      </c>
      <c r="H5">
        <v>16</v>
      </c>
      <c r="I5">
        <v>2</v>
      </c>
      <c r="J5" t="s">
        <v>45</v>
      </c>
      <c r="K5" t="s">
        <v>46</v>
      </c>
      <c r="L5" t="s">
        <v>55</v>
      </c>
      <c r="M5">
        <v>379.40698391777141</v>
      </c>
      <c r="N5">
        <v>492</v>
      </c>
      <c r="O5">
        <v>357</v>
      </c>
      <c r="P5">
        <v>146</v>
      </c>
      <c r="Q5">
        <v>2.0794415416798357</v>
      </c>
      <c r="R5">
        <v>2.3025850929940459</v>
      </c>
      <c r="S5">
        <v>3.2580965380214821</v>
      </c>
      <c r="T5">
        <v>95.12</v>
      </c>
      <c r="U5">
        <v>0</v>
      </c>
      <c r="V5">
        <v>1.89305099905856</v>
      </c>
      <c r="W5">
        <v>0.59880690621441701</v>
      </c>
      <c r="X5">
        <v>1.1856460040685599</v>
      </c>
      <c r="Y5">
        <v>-0.15565097555555901</v>
      </c>
      <c r="Z5">
        <v>-0.22748295097212001</v>
      </c>
      <c r="AA5">
        <v>1.0415013010201299</v>
      </c>
      <c r="AB5">
        <v>2939.9504036908884</v>
      </c>
      <c r="AC5">
        <v>2</v>
      </c>
      <c r="AD5">
        <v>0.42868127643214149</v>
      </c>
      <c r="AE5">
        <v>-2.40641039566141E-2</v>
      </c>
      <c r="AF5">
        <v>0.94363962514777899</v>
      </c>
      <c r="AG5">
        <v>-0.14197348831807599</v>
      </c>
      <c r="AH5">
        <v>-0.112963897657121</v>
      </c>
      <c r="AI5">
        <v>0.28529762769752698</v>
      </c>
      <c r="AJ5">
        <v>-0.95377334957454996</v>
      </c>
      <c r="AK5">
        <v>48.0777517</v>
      </c>
      <c r="AL5">
        <v>7.3579641000000002</v>
      </c>
      <c r="AM5">
        <v>48.856372813999997</v>
      </c>
      <c r="AN5">
        <v>2.3525296170000001</v>
      </c>
    </row>
    <row r="6" spans="1:40" x14ac:dyDescent="0.35">
      <c r="A6">
        <v>6</v>
      </c>
      <c r="B6">
        <v>72</v>
      </c>
      <c r="C6" t="s">
        <v>40</v>
      </c>
      <c r="D6" t="s">
        <v>52</v>
      </c>
      <c r="E6" t="s">
        <v>42</v>
      </c>
      <c r="F6" t="s">
        <v>49</v>
      </c>
      <c r="G6">
        <v>4</v>
      </c>
      <c r="H6">
        <v>16</v>
      </c>
      <c r="I6">
        <v>6</v>
      </c>
      <c r="J6" t="s">
        <v>56</v>
      </c>
      <c r="K6" t="s">
        <v>46</v>
      </c>
      <c r="L6" t="s">
        <v>47</v>
      </c>
      <c r="M6">
        <v>542.26474910484944</v>
      </c>
      <c r="N6">
        <v>692</v>
      </c>
      <c r="O6">
        <v>558</v>
      </c>
      <c r="P6">
        <v>836</v>
      </c>
      <c r="Q6">
        <v>5.9107966440405271</v>
      </c>
      <c r="R6">
        <v>6.4997870406558542</v>
      </c>
      <c r="S6">
        <v>8.6415324656718457</v>
      </c>
      <c r="T6">
        <v>89.265350482850479</v>
      </c>
      <c r="U6">
        <v>1.4417786561042019</v>
      </c>
      <c r="V6">
        <v>-0.22886708829074301</v>
      </c>
      <c r="W6">
        <v>0.28745285629339301</v>
      </c>
      <c r="X6">
        <v>-0.15627425222847</v>
      </c>
      <c r="Y6">
        <v>1.45226138127617</v>
      </c>
      <c r="Z6">
        <v>0.98247225355557</v>
      </c>
      <c r="AA6">
        <v>0.627775520474398</v>
      </c>
      <c r="AB6">
        <v>3362.2959371744532</v>
      </c>
      <c r="AC6">
        <v>2.8998317172850387</v>
      </c>
      <c r="AD6">
        <v>2.9499158586425196</v>
      </c>
      <c r="AE6">
        <v>1.06273170356322</v>
      </c>
      <c r="AF6">
        <v>1.1997887894995201</v>
      </c>
      <c r="AG6">
        <v>1.01407705487111</v>
      </c>
      <c r="AH6">
        <v>-0.26643175472498798</v>
      </c>
      <c r="AI6">
        <v>0.88652153379017296</v>
      </c>
      <c r="AJ6">
        <v>-1.7123465933903901</v>
      </c>
      <c r="AK6">
        <v>43.3535629403058</v>
      </c>
      <c r="AL6">
        <v>3.21615314793977</v>
      </c>
      <c r="AM6">
        <v>46.702000000000005</v>
      </c>
      <c r="AN6">
        <v>-1.7933333333333334</v>
      </c>
    </row>
    <row r="7" spans="1:40" x14ac:dyDescent="0.35">
      <c r="A7">
        <v>7</v>
      </c>
      <c r="B7">
        <v>42</v>
      </c>
      <c r="C7" t="s">
        <v>48</v>
      </c>
      <c r="D7" t="s">
        <v>41</v>
      </c>
      <c r="E7" t="s">
        <v>42</v>
      </c>
      <c r="F7" t="s">
        <v>43</v>
      </c>
      <c r="G7">
        <v>5</v>
      </c>
      <c r="H7">
        <v>25</v>
      </c>
      <c r="I7">
        <v>5</v>
      </c>
      <c r="J7" t="s">
        <v>56</v>
      </c>
      <c r="K7" t="s">
        <v>46</v>
      </c>
      <c r="L7" t="s">
        <v>57</v>
      </c>
      <c r="M7">
        <v>275.59205740706722</v>
      </c>
      <c r="N7">
        <v>311</v>
      </c>
      <c r="O7">
        <v>230</v>
      </c>
      <c r="P7">
        <v>136</v>
      </c>
      <c r="Q7">
        <v>0.69314718055994529</v>
      </c>
      <c r="R7">
        <v>3.6109179126442243</v>
      </c>
      <c r="S7">
        <v>5.8833223884882786</v>
      </c>
      <c r="T7">
        <v>90.922105263157903</v>
      </c>
      <c r="U7">
        <v>2.3923758041545438</v>
      </c>
      <c r="V7">
        <v>-0.399596989308249</v>
      </c>
      <c r="W7">
        <v>-0.58810405700346202</v>
      </c>
      <c r="X7">
        <v>-0.29041857108635599</v>
      </c>
      <c r="Y7">
        <v>-0.846122564821426</v>
      </c>
      <c r="Z7">
        <v>-0.92679578564836795</v>
      </c>
      <c r="AA7">
        <v>0.86332342905974202</v>
      </c>
      <c r="AB7">
        <v>2050</v>
      </c>
      <c r="AC7">
        <v>1</v>
      </c>
      <c r="AD7">
        <v>2</v>
      </c>
      <c r="AE7">
        <v>-0.51011828243844404</v>
      </c>
      <c r="AF7">
        <v>0.72951551367867395</v>
      </c>
      <c r="AG7">
        <v>0.59998689400526095</v>
      </c>
      <c r="AH7">
        <v>-8.9943307480452303E-2</v>
      </c>
      <c r="AI7">
        <v>2.2034987329068501E-2</v>
      </c>
      <c r="AJ7">
        <v>-0.45034844744826102</v>
      </c>
      <c r="AK7">
        <v>47.023905999999997</v>
      </c>
      <c r="AL7">
        <v>4.8380429999999999</v>
      </c>
      <c r="AM7">
        <v>48.856372813999997</v>
      </c>
      <c r="AN7">
        <v>2.3525296170000001</v>
      </c>
    </row>
    <row r="8" spans="1:40" x14ac:dyDescent="0.35">
      <c r="A8">
        <v>8</v>
      </c>
      <c r="B8">
        <v>72</v>
      </c>
      <c r="C8" t="s">
        <v>40</v>
      </c>
      <c r="D8" t="s">
        <v>52</v>
      </c>
      <c r="E8" t="s">
        <v>42</v>
      </c>
      <c r="F8" t="s">
        <v>49</v>
      </c>
      <c r="G8">
        <v>5</v>
      </c>
      <c r="H8">
        <v>25</v>
      </c>
      <c r="I8">
        <v>6</v>
      </c>
      <c r="J8" t="s">
        <v>56</v>
      </c>
      <c r="K8" t="s">
        <v>46</v>
      </c>
      <c r="L8" t="s">
        <v>58</v>
      </c>
      <c r="M8">
        <v>601.02051125159835</v>
      </c>
      <c r="N8">
        <v>763</v>
      </c>
      <c r="O8">
        <v>455</v>
      </c>
      <c r="P8">
        <v>585</v>
      </c>
      <c r="Q8">
        <v>3.2580965380214821</v>
      </c>
      <c r="R8">
        <v>2.8903717578961645</v>
      </c>
      <c r="S8">
        <v>4.7535901911063645</v>
      </c>
      <c r="T8">
        <v>90.794285714285706</v>
      </c>
      <c r="U8">
        <v>0</v>
      </c>
      <c r="V8">
        <v>0.63905639120027702</v>
      </c>
      <c r="W8">
        <v>0.692565001186083</v>
      </c>
      <c r="X8">
        <v>0.56469097254324596</v>
      </c>
      <c r="Y8">
        <v>1.4483117406157899</v>
      </c>
      <c r="Z8">
        <v>1.7680602694732599</v>
      </c>
      <c r="AA8">
        <v>0.26366440732357699</v>
      </c>
      <c r="AB8">
        <v>4236</v>
      </c>
      <c r="AC8">
        <v>0</v>
      </c>
      <c r="AD8">
        <v>4</v>
      </c>
      <c r="AE8">
        <v>-0.51011828243844404</v>
      </c>
      <c r="AF8">
        <v>1.1241639884261201</v>
      </c>
      <c r="AG8">
        <v>1.04195645168162</v>
      </c>
      <c r="AH8">
        <v>-0.14983460663716799</v>
      </c>
      <c r="AI8">
        <v>1.12289783615465</v>
      </c>
      <c r="AJ8">
        <v>0.87697990126068004</v>
      </c>
      <c r="AK8">
        <v>45.198478000000001</v>
      </c>
      <c r="AL8">
        <v>-0.74874399999999997</v>
      </c>
      <c r="AM8">
        <v>43.101999999999997</v>
      </c>
      <c r="AN8">
        <v>6.1890000000000001</v>
      </c>
    </row>
    <row r="9" spans="1:40" x14ac:dyDescent="0.35">
      <c r="A9">
        <v>9</v>
      </c>
      <c r="B9">
        <v>72</v>
      </c>
      <c r="C9" t="s">
        <v>40</v>
      </c>
      <c r="D9" t="s">
        <v>52</v>
      </c>
      <c r="E9" t="s">
        <v>42</v>
      </c>
      <c r="F9" t="s">
        <v>49</v>
      </c>
      <c r="G9">
        <v>7</v>
      </c>
      <c r="H9">
        <v>49</v>
      </c>
      <c r="I9">
        <v>6</v>
      </c>
      <c r="J9" t="s">
        <v>56</v>
      </c>
      <c r="K9" t="s">
        <v>46</v>
      </c>
      <c r="L9" t="s">
        <v>59</v>
      </c>
      <c r="M9">
        <v>208.81926789685019</v>
      </c>
      <c r="N9">
        <v>242</v>
      </c>
      <c r="O9">
        <v>167</v>
      </c>
      <c r="P9">
        <v>128</v>
      </c>
      <c r="Q9">
        <v>1.3862943611198906</v>
      </c>
      <c r="R9">
        <v>1.3862943611198906</v>
      </c>
      <c r="S9">
        <v>4.9972122737641147</v>
      </c>
      <c r="T9">
        <v>90.035146103896111</v>
      </c>
      <c r="U9">
        <v>1.418823059726001</v>
      </c>
      <c r="V9">
        <v>-0.52223564926899602</v>
      </c>
      <c r="W9">
        <v>-0.46072710968150399</v>
      </c>
      <c r="X9">
        <v>-0.361786268345754</v>
      </c>
      <c r="Y9">
        <v>-0.552694479448822</v>
      </c>
      <c r="Z9">
        <v>2.1676297177028899E-2</v>
      </c>
      <c r="AA9">
        <v>0.625223797005378</v>
      </c>
      <c r="AB9">
        <v>2234.6992515788952</v>
      </c>
      <c r="AC9">
        <v>0</v>
      </c>
      <c r="AD9">
        <v>0.12112735591028891</v>
      </c>
      <c r="AE9">
        <v>-0.60610368582010199</v>
      </c>
      <c r="AF9">
        <v>-2.2626608396140799</v>
      </c>
      <c r="AG9">
        <v>0.80987458897489195</v>
      </c>
      <c r="AH9">
        <v>-0.91714220232888899</v>
      </c>
      <c r="AI9">
        <v>1.3958438419080399</v>
      </c>
      <c r="AJ9">
        <v>-0.81188492198144102</v>
      </c>
      <c r="AK9">
        <v>47.411035099999999</v>
      </c>
      <c r="AL9">
        <v>0.98369799999999996</v>
      </c>
      <c r="AM9">
        <v>45.714312500000005</v>
      </c>
      <c r="AN9">
        <v>-0.18000000000000002</v>
      </c>
    </row>
    <row r="10" spans="1:40" x14ac:dyDescent="0.35">
      <c r="A10">
        <v>10</v>
      </c>
      <c r="B10">
        <v>72</v>
      </c>
      <c r="C10" t="s">
        <v>40</v>
      </c>
      <c r="D10" t="s">
        <v>52</v>
      </c>
      <c r="E10" t="s">
        <v>42</v>
      </c>
      <c r="F10" t="s">
        <v>49</v>
      </c>
      <c r="G10">
        <v>4</v>
      </c>
      <c r="H10">
        <v>16</v>
      </c>
      <c r="I10">
        <v>5</v>
      </c>
      <c r="J10" t="s">
        <v>56</v>
      </c>
      <c r="K10" t="s">
        <v>46</v>
      </c>
      <c r="L10" t="s">
        <v>60</v>
      </c>
      <c r="M10">
        <v>567.10864805143422</v>
      </c>
      <c r="N10">
        <v>688</v>
      </c>
      <c r="O10">
        <v>466</v>
      </c>
      <c r="P10">
        <v>270</v>
      </c>
      <c r="Q10">
        <v>3.8501476017100584</v>
      </c>
      <c r="R10">
        <v>2.9957322735539909</v>
      </c>
      <c r="S10">
        <v>5.4424177105217932</v>
      </c>
      <c r="T10">
        <v>88.975873222691746</v>
      </c>
      <c r="U10">
        <v>2.5514539469641888</v>
      </c>
      <c r="V10">
        <v>2.9336799326863701</v>
      </c>
      <c r="W10">
        <v>3.3730943146768602</v>
      </c>
      <c r="X10">
        <v>3.6072071704345601</v>
      </c>
      <c r="Y10">
        <v>-0.19189497559235799</v>
      </c>
      <c r="Z10">
        <v>0.17569111512999699</v>
      </c>
      <c r="AA10">
        <v>-0.304970615080496</v>
      </c>
      <c r="AB10">
        <v>1906.836709612184</v>
      </c>
      <c r="AC10">
        <v>0.7978420820676605</v>
      </c>
      <c r="AD10">
        <v>2.1056638128240834</v>
      </c>
      <c r="AE10">
        <v>-0.25037207080954499</v>
      </c>
      <c r="AF10">
        <v>1.0060181786495599</v>
      </c>
      <c r="AG10">
        <v>0.551922641249733</v>
      </c>
      <c r="AH10">
        <v>-0.15299851530015601</v>
      </c>
      <c r="AI10">
        <v>0.34980504084234498</v>
      </c>
      <c r="AJ10">
        <v>-1.4037490075630299</v>
      </c>
      <c r="AK10">
        <v>44.055988999999997</v>
      </c>
      <c r="AL10">
        <v>4.8317350000000001</v>
      </c>
      <c r="AM10">
        <v>48.856372813999997</v>
      </c>
      <c r="AN10">
        <v>2.3525296170000001</v>
      </c>
    </row>
    <row r="11" spans="1:40" x14ac:dyDescent="0.35">
      <c r="A11">
        <v>11</v>
      </c>
      <c r="B11">
        <v>57</v>
      </c>
      <c r="C11" t="s">
        <v>40</v>
      </c>
      <c r="D11" t="s">
        <v>41</v>
      </c>
      <c r="E11" t="s">
        <v>42</v>
      </c>
      <c r="F11" t="s">
        <v>61</v>
      </c>
      <c r="G11">
        <v>4</v>
      </c>
      <c r="H11">
        <v>16</v>
      </c>
      <c r="I11">
        <v>5</v>
      </c>
      <c r="J11" t="s">
        <v>56</v>
      </c>
      <c r="K11" t="s">
        <v>46</v>
      </c>
      <c r="L11" t="s">
        <v>62</v>
      </c>
      <c r="M11">
        <v>624.77237032779954</v>
      </c>
      <c r="N11">
        <v>695</v>
      </c>
      <c r="O11">
        <v>390</v>
      </c>
      <c r="P11">
        <v>382</v>
      </c>
      <c r="Q11">
        <v>0.69314718055994529</v>
      </c>
      <c r="R11">
        <v>3.2580965380214821</v>
      </c>
      <c r="S11">
        <v>3.2580965380214821</v>
      </c>
      <c r="T11">
        <v>95.68</v>
      </c>
      <c r="U11">
        <v>0</v>
      </c>
      <c r="V11">
        <v>1.82802042479695</v>
      </c>
      <c r="W11">
        <v>0.99424279543483596</v>
      </c>
      <c r="X11">
        <v>0.99177342203587404</v>
      </c>
      <c r="Y11">
        <v>-0.96278755162326501</v>
      </c>
      <c r="Z11">
        <v>-0.75605764486205096</v>
      </c>
      <c r="AA11">
        <v>-0.80037586101695801</v>
      </c>
      <c r="AB11">
        <v>2092.91</v>
      </c>
      <c r="AC11">
        <v>0</v>
      </c>
      <c r="AD11">
        <v>2.1</v>
      </c>
      <c r="AE11">
        <v>-1.0768626388726401</v>
      </c>
      <c r="AF11">
        <v>0.71577880879576805</v>
      </c>
      <c r="AG11">
        <v>1.34091738508421</v>
      </c>
      <c r="AH11">
        <v>0.50527476045712505</v>
      </c>
      <c r="AI11">
        <v>1.2271501959878901</v>
      </c>
      <c r="AJ11">
        <v>0.34237564498164802</v>
      </c>
      <c r="AK11">
        <v>49.042560999999999</v>
      </c>
      <c r="AL11">
        <v>3.9528660000000002</v>
      </c>
      <c r="AM11">
        <v>48.4</v>
      </c>
      <c r="AN11">
        <v>-4.5030000000000001</v>
      </c>
    </row>
    <row r="12" spans="1:40" x14ac:dyDescent="0.35">
      <c r="A12">
        <v>12</v>
      </c>
      <c r="B12">
        <v>57</v>
      </c>
      <c r="C12" t="s">
        <v>48</v>
      </c>
      <c r="D12" t="s">
        <v>41</v>
      </c>
      <c r="E12" t="s">
        <v>42</v>
      </c>
      <c r="F12" t="s">
        <v>49</v>
      </c>
      <c r="G12">
        <v>5</v>
      </c>
      <c r="H12">
        <v>25</v>
      </c>
      <c r="I12">
        <v>5</v>
      </c>
      <c r="J12" t="s">
        <v>56</v>
      </c>
      <c r="K12" t="s">
        <v>46</v>
      </c>
      <c r="L12" t="s">
        <v>63</v>
      </c>
      <c r="M12">
        <v>410.70555715782842</v>
      </c>
      <c r="N12">
        <v>588</v>
      </c>
      <c r="O12">
        <v>300</v>
      </c>
      <c r="P12">
        <v>330</v>
      </c>
      <c r="Q12">
        <v>0</v>
      </c>
      <c r="R12">
        <v>0</v>
      </c>
      <c r="S12">
        <v>2.1972245773362196</v>
      </c>
      <c r="T12">
        <v>88.571764705882345</v>
      </c>
      <c r="U12">
        <v>1.0581645007873905</v>
      </c>
      <c r="V12">
        <v>-0.86345913794285001</v>
      </c>
      <c r="W12">
        <v>-0.82100750411685597</v>
      </c>
      <c r="X12">
        <v>-0.74332398245148801</v>
      </c>
      <c r="Y12">
        <v>1.4483117406157899</v>
      </c>
      <c r="Z12">
        <v>1.7680602694732599</v>
      </c>
      <c r="AA12">
        <v>0.26366440732357699</v>
      </c>
      <c r="AB12">
        <v>4236</v>
      </c>
      <c r="AC12">
        <v>0</v>
      </c>
      <c r="AD12">
        <v>4</v>
      </c>
      <c r="AE12">
        <v>1.6751267091712101</v>
      </c>
      <c r="AF12">
        <v>0.160962006097602</v>
      </c>
      <c r="AG12">
        <v>1.2192813643825</v>
      </c>
      <c r="AH12">
        <v>0.306949554034739</v>
      </c>
      <c r="AI12">
        <v>0.91313678929490905</v>
      </c>
      <c r="AJ12">
        <v>0.96206306301218503</v>
      </c>
      <c r="AK12">
        <v>45.086143999999997</v>
      </c>
      <c r="AL12">
        <v>-0.60531999999999997</v>
      </c>
      <c r="AM12">
        <v>47.750999999999998</v>
      </c>
      <c r="AN12">
        <v>3.0976666666666666</v>
      </c>
    </row>
    <row r="13" spans="1:40" x14ac:dyDescent="0.35">
      <c r="A13">
        <v>14</v>
      </c>
      <c r="B13">
        <v>72</v>
      </c>
      <c r="C13" t="s">
        <v>40</v>
      </c>
      <c r="D13" t="s">
        <v>52</v>
      </c>
      <c r="E13" t="s">
        <v>42</v>
      </c>
      <c r="F13" t="s">
        <v>49</v>
      </c>
      <c r="G13">
        <v>5</v>
      </c>
      <c r="H13">
        <v>25</v>
      </c>
      <c r="I13">
        <v>7</v>
      </c>
      <c r="J13" t="s">
        <v>50</v>
      </c>
      <c r="K13" t="s">
        <v>46</v>
      </c>
      <c r="L13" t="s">
        <v>64</v>
      </c>
      <c r="M13">
        <v>23.135626237373391</v>
      </c>
      <c r="N13">
        <v>26</v>
      </c>
      <c r="O13">
        <v>35</v>
      </c>
      <c r="P13">
        <v>35</v>
      </c>
      <c r="Q13">
        <v>0</v>
      </c>
      <c r="R13">
        <v>0</v>
      </c>
      <c r="S13">
        <v>0.69314718055994529</v>
      </c>
      <c r="T13">
        <v>87.72</v>
      </c>
      <c r="U13">
        <v>0</v>
      </c>
      <c r="V13">
        <v>-0.94178676980908105</v>
      </c>
      <c r="W13">
        <v>-0.82471669977796602</v>
      </c>
      <c r="X13">
        <v>-0.81853882670599298</v>
      </c>
      <c r="Y13">
        <v>1.4483117406157899</v>
      </c>
      <c r="Z13">
        <v>1.7680602694732599</v>
      </c>
      <c r="AA13">
        <v>0.26366440732357699</v>
      </c>
      <c r="AB13">
        <v>4236</v>
      </c>
      <c r="AC13">
        <v>0</v>
      </c>
      <c r="AD13">
        <v>4</v>
      </c>
      <c r="AE13">
        <v>1.6751267091712101</v>
      </c>
      <c r="AF13">
        <v>-0.203249455242028</v>
      </c>
      <c r="AG13">
        <v>0.118206254185686</v>
      </c>
      <c r="AH13">
        <v>-0.35134182046734902</v>
      </c>
      <c r="AI13">
        <v>-7.3971486129955299E-2</v>
      </c>
      <c r="AJ13">
        <v>-0.96995645089061899</v>
      </c>
      <c r="AK13">
        <v>44.776569000000002</v>
      </c>
      <c r="AL13">
        <v>-0.34912399999999999</v>
      </c>
      <c r="AM13">
        <v>44.849754500000003</v>
      </c>
      <c r="AN13">
        <v>-0.62332259999999995</v>
      </c>
    </row>
    <row r="14" spans="1:40" x14ac:dyDescent="0.35">
      <c r="A14">
        <v>15</v>
      </c>
      <c r="B14">
        <v>72</v>
      </c>
      <c r="C14" t="s">
        <v>40</v>
      </c>
      <c r="D14" t="s">
        <v>52</v>
      </c>
      <c r="E14" t="s">
        <v>42</v>
      </c>
      <c r="F14" t="s">
        <v>49</v>
      </c>
      <c r="G14">
        <v>3</v>
      </c>
      <c r="H14">
        <v>9</v>
      </c>
      <c r="I14">
        <v>6</v>
      </c>
      <c r="J14" t="s">
        <v>56</v>
      </c>
      <c r="K14" t="s">
        <v>46</v>
      </c>
      <c r="L14" t="s">
        <v>47</v>
      </c>
      <c r="M14">
        <v>197.07482422607649</v>
      </c>
      <c r="N14">
        <v>160</v>
      </c>
      <c r="O14">
        <v>117</v>
      </c>
      <c r="P14">
        <v>147</v>
      </c>
      <c r="Q14">
        <v>5.9107966440405271</v>
      </c>
      <c r="R14">
        <v>6.4997870406558542</v>
      </c>
      <c r="S14">
        <v>8.6415324656718457</v>
      </c>
      <c r="T14">
        <v>89.265350482850479</v>
      </c>
      <c r="U14">
        <v>1.4417786561042019</v>
      </c>
      <c r="V14">
        <v>-0.22886708829074301</v>
      </c>
      <c r="W14">
        <v>0.28745285629339301</v>
      </c>
      <c r="X14">
        <v>-0.15627425222847</v>
      </c>
      <c r="Y14">
        <v>1.45226138127617</v>
      </c>
      <c r="Z14">
        <v>0.98247225355557</v>
      </c>
      <c r="AA14">
        <v>0.627775520474398</v>
      </c>
      <c r="AB14">
        <v>3362.2959371744532</v>
      </c>
      <c r="AC14">
        <v>2.8998317172850387</v>
      </c>
      <c r="AD14">
        <v>2.9499158586425196</v>
      </c>
      <c r="AE14">
        <v>1.06273170356322</v>
      </c>
      <c r="AF14">
        <v>-9.5438378391709794E-2</v>
      </c>
      <c r="AG14">
        <v>1.4591979290122601</v>
      </c>
      <c r="AH14">
        <v>0.93491188655500701</v>
      </c>
      <c r="AI14">
        <v>2.1279304473256375</v>
      </c>
      <c r="AJ14">
        <v>1.8308308879034345</v>
      </c>
      <c r="AK14">
        <v>43.3535629403058</v>
      </c>
      <c r="AL14">
        <v>3.21615314793977</v>
      </c>
      <c r="AM14">
        <v>43.705749999999995</v>
      </c>
      <c r="AN14">
        <v>5.6092500000000003</v>
      </c>
    </row>
    <row r="15" spans="1:40" x14ac:dyDescent="0.35">
      <c r="A15">
        <v>16</v>
      </c>
      <c r="B15">
        <v>57</v>
      </c>
      <c r="C15" t="s">
        <v>40</v>
      </c>
      <c r="D15" t="s">
        <v>52</v>
      </c>
      <c r="E15" t="s">
        <v>42</v>
      </c>
      <c r="F15" t="s">
        <v>61</v>
      </c>
      <c r="G15">
        <v>5</v>
      </c>
      <c r="H15">
        <v>25</v>
      </c>
      <c r="I15">
        <v>4</v>
      </c>
      <c r="J15" t="s">
        <v>56</v>
      </c>
      <c r="K15" t="s">
        <v>46</v>
      </c>
      <c r="L15" t="s">
        <v>58</v>
      </c>
      <c r="M15">
        <v>470.20785645571289</v>
      </c>
      <c r="N15">
        <v>566</v>
      </c>
      <c r="O15">
        <v>409</v>
      </c>
      <c r="P15">
        <v>222</v>
      </c>
      <c r="Q15">
        <v>3.2580965380214821</v>
      </c>
      <c r="R15">
        <v>2.8903717578961645</v>
      </c>
      <c r="S15">
        <v>4.7535901911063645</v>
      </c>
      <c r="T15">
        <v>90.794285714285706</v>
      </c>
      <c r="U15">
        <v>0</v>
      </c>
      <c r="V15">
        <v>0.63905639120027702</v>
      </c>
      <c r="W15">
        <v>0.692565001186083</v>
      </c>
      <c r="X15">
        <v>0.56469097254324596</v>
      </c>
      <c r="Y15">
        <v>1.4483117406157899</v>
      </c>
      <c r="Z15">
        <v>1.7680602694732599</v>
      </c>
      <c r="AA15">
        <v>0.26366440732357699</v>
      </c>
      <c r="AB15">
        <v>4236</v>
      </c>
      <c r="AC15">
        <v>0</v>
      </c>
      <c r="AD15">
        <v>4</v>
      </c>
      <c r="AE15">
        <v>1.6751267091712101</v>
      </c>
      <c r="AF15">
        <v>0.54941907304914905</v>
      </c>
      <c r="AG15">
        <v>0.87351263508378696</v>
      </c>
      <c r="AH15">
        <v>0.48269698163539698</v>
      </c>
      <c r="AI15">
        <v>0.55911868148625299</v>
      </c>
      <c r="AJ15">
        <v>-0.77524768400871902</v>
      </c>
      <c r="AK15">
        <v>45.198478000000001</v>
      </c>
      <c r="AL15">
        <v>-0.74874399999999997</v>
      </c>
      <c r="AM15">
        <v>48.856372813999997</v>
      </c>
      <c r="AN15">
        <v>2.3525296170000001</v>
      </c>
    </row>
    <row r="16" spans="1:40" x14ac:dyDescent="0.35">
      <c r="A16">
        <v>17</v>
      </c>
      <c r="B16">
        <v>72</v>
      </c>
      <c r="C16" t="s">
        <v>40</v>
      </c>
      <c r="D16" t="s">
        <v>52</v>
      </c>
      <c r="E16" t="s">
        <v>42</v>
      </c>
      <c r="F16" t="s">
        <v>49</v>
      </c>
      <c r="G16">
        <v>5</v>
      </c>
      <c r="H16">
        <v>25</v>
      </c>
      <c r="I16">
        <v>7</v>
      </c>
      <c r="J16" t="s">
        <v>50</v>
      </c>
      <c r="K16" t="s">
        <v>46</v>
      </c>
      <c r="L16" t="s">
        <v>60</v>
      </c>
      <c r="M16">
        <v>31.471430574666559</v>
      </c>
      <c r="N16">
        <v>17</v>
      </c>
      <c r="O16">
        <v>27</v>
      </c>
      <c r="P16">
        <v>33</v>
      </c>
      <c r="Q16">
        <v>3.8501476017100584</v>
      </c>
      <c r="R16">
        <v>2.9957322735539909</v>
      </c>
      <c r="S16">
        <v>5.4424177105217932</v>
      </c>
      <c r="T16">
        <v>88.975873222691746</v>
      </c>
      <c r="U16">
        <v>2.5514539469641888</v>
      </c>
      <c r="V16">
        <v>2.9336799326863701</v>
      </c>
      <c r="W16">
        <v>3.3730943146768602</v>
      </c>
      <c r="X16">
        <v>3.6072071704345601</v>
      </c>
      <c r="Y16">
        <v>-0.19189497559235799</v>
      </c>
      <c r="Z16">
        <v>0.17569111512999699</v>
      </c>
      <c r="AA16">
        <v>-0.304970615080496</v>
      </c>
      <c r="AB16">
        <v>1906.836709612184</v>
      </c>
      <c r="AC16">
        <v>0.7978420820676605</v>
      </c>
      <c r="AD16">
        <v>2.1056638128240834</v>
      </c>
      <c r="AE16">
        <v>-0.25037207080954499</v>
      </c>
      <c r="AF16">
        <v>0.53545307750319648</v>
      </c>
      <c r="AG16">
        <v>0.77949224934887573</v>
      </c>
      <c r="AH16">
        <v>-0.51605661888185494</v>
      </c>
      <c r="AI16">
        <v>-1.3248478119184199</v>
      </c>
      <c r="AJ16">
        <v>-1.5549098263473899</v>
      </c>
      <c r="AK16">
        <v>44.055988999999997</v>
      </c>
      <c r="AL16">
        <v>4.8317350000000001</v>
      </c>
      <c r="AM16">
        <v>44.326999999999998</v>
      </c>
      <c r="AN16">
        <v>4.944</v>
      </c>
    </row>
    <row r="17" spans="1:40" x14ac:dyDescent="0.35">
      <c r="A17">
        <v>18</v>
      </c>
      <c r="B17">
        <v>72</v>
      </c>
      <c r="C17" t="s">
        <v>40</v>
      </c>
      <c r="D17" t="s">
        <v>52</v>
      </c>
      <c r="E17" t="s">
        <v>42</v>
      </c>
      <c r="F17" t="s">
        <v>53</v>
      </c>
      <c r="G17">
        <v>4</v>
      </c>
      <c r="H17">
        <v>16</v>
      </c>
      <c r="I17">
        <v>5</v>
      </c>
      <c r="J17" t="s">
        <v>56</v>
      </c>
      <c r="K17" t="s">
        <v>46</v>
      </c>
      <c r="L17" t="s">
        <v>65</v>
      </c>
      <c r="M17">
        <v>129.76310232809089</v>
      </c>
      <c r="N17">
        <v>134</v>
      </c>
      <c r="O17">
        <v>85</v>
      </c>
      <c r="P17">
        <v>131</v>
      </c>
      <c r="Q17">
        <v>0</v>
      </c>
      <c r="R17">
        <v>0</v>
      </c>
      <c r="S17">
        <v>4.4543472962535073</v>
      </c>
      <c r="T17">
        <v>89.333044733044744</v>
      </c>
      <c r="U17">
        <v>1.2554235437523662</v>
      </c>
      <c r="V17">
        <v>1.64975517953679</v>
      </c>
      <c r="W17">
        <v>2.4220969657957299</v>
      </c>
      <c r="X17">
        <v>1.68128863126442</v>
      </c>
      <c r="Y17">
        <v>2.0553398017137301</v>
      </c>
      <c r="Z17">
        <v>2.0921400018840099</v>
      </c>
      <c r="AA17">
        <v>2.0596698968962701</v>
      </c>
      <c r="AB17">
        <v>3262.71</v>
      </c>
      <c r="AC17">
        <v>0.33</v>
      </c>
      <c r="AD17">
        <v>0.66</v>
      </c>
      <c r="AE17">
        <v>1.9221838973381</v>
      </c>
      <c r="AF17">
        <v>0.88453027865412404</v>
      </c>
      <c r="AG17">
        <v>-0.74465145484777095</v>
      </c>
      <c r="AH17">
        <v>-1.43677291234244</v>
      </c>
      <c r="AI17">
        <v>0.50292328177357903</v>
      </c>
      <c r="AJ17">
        <v>-1.20980363304605</v>
      </c>
      <c r="AK17">
        <v>43.537466000000002</v>
      </c>
      <c r="AL17">
        <v>6.4627330000000001</v>
      </c>
      <c r="AM17">
        <v>43.612000000000002</v>
      </c>
      <c r="AN17">
        <v>4.8570000000000002</v>
      </c>
    </row>
    <row r="18" spans="1:40" x14ac:dyDescent="0.35">
      <c r="A18">
        <v>19</v>
      </c>
      <c r="B18">
        <v>72</v>
      </c>
      <c r="C18" t="s">
        <v>40</v>
      </c>
      <c r="D18" t="s">
        <v>52</v>
      </c>
      <c r="E18" t="s">
        <v>42</v>
      </c>
      <c r="F18" t="s">
        <v>49</v>
      </c>
      <c r="G18">
        <v>7</v>
      </c>
      <c r="H18">
        <v>49</v>
      </c>
      <c r="I18">
        <v>7</v>
      </c>
      <c r="J18" t="s">
        <v>56</v>
      </c>
      <c r="K18" t="s">
        <v>46</v>
      </c>
      <c r="L18" t="s">
        <v>57</v>
      </c>
      <c r="M18">
        <v>207.72707878535181</v>
      </c>
      <c r="N18">
        <v>254</v>
      </c>
      <c r="O18">
        <v>174</v>
      </c>
      <c r="P18">
        <v>198</v>
      </c>
      <c r="Q18">
        <v>0.69314718055994529</v>
      </c>
      <c r="R18">
        <v>3.6109179126442243</v>
      </c>
      <c r="S18">
        <v>5.8833223884882786</v>
      </c>
      <c r="T18">
        <v>90.922105263157903</v>
      </c>
      <c r="U18">
        <v>2.3923758041545438</v>
      </c>
      <c r="V18">
        <v>-0.399596989308249</v>
      </c>
      <c r="W18">
        <v>-0.58810405700346202</v>
      </c>
      <c r="X18">
        <v>-0.29041857108635599</v>
      </c>
      <c r="Y18">
        <v>-0.846122564821426</v>
      </c>
      <c r="Z18">
        <v>-0.92679578564836795</v>
      </c>
      <c r="AA18">
        <v>0.86332342905974202</v>
      </c>
      <c r="AB18">
        <v>2050</v>
      </c>
      <c r="AC18">
        <v>1</v>
      </c>
      <c r="AD18">
        <v>2</v>
      </c>
      <c r="AE18">
        <v>-0.51011828243844404</v>
      </c>
      <c r="AF18">
        <v>0.45487882596296297</v>
      </c>
      <c r="AG18">
        <v>0.16684093877725101</v>
      </c>
      <c r="AH18">
        <v>0.553473151934749</v>
      </c>
      <c r="AI18">
        <v>-4.2286376423846098E-2</v>
      </c>
      <c r="AJ18">
        <v>1.09867857200812</v>
      </c>
      <c r="AK18">
        <v>47.023905999999997</v>
      </c>
      <c r="AL18">
        <v>4.8380429999999999</v>
      </c>
      <c r="AM18">
        <v>48.682000000000002</v>
      </c>
      <c r="AN18">
        <v>6.1139999999999999</v>
      </c>
    </row>
    <row r="19" spans="1:40" x14ac:dyDescent="0.35">
      <c r="A19">
        <v>21</v>
      </c>
      <c r="B19">
        <v>57</v>
      </c>
      <c r="C19" t="s">
        <v>40</v>
      </c>
      <c r="D19" t="s">
        <v>41</v>
      </c>
      <c r="E19" t="s">
        <v>42</v>
      </c>
      <c r="F19" t="s">
        <v>49</v>
      </c>
      <c r="G19">
        <v>5</v>
      </c>
      <c r="H19">
        <v>25</v>
      </c>
      <c r="I19">
        <v>5</v>
      </c>
      <c r="J19" t="s">
        <v>50</v>
      </c>
      <c r="K19" t="s">
        <v>46</v>
      </c>
      <c r="L19" t="s">
        <v>62</v>
      </c>
      <c r="M19">
        <v>118.81389814254101</v>
      </c>
      <c r="N19">
        <v>143</v>
      </c>
      <c r="O19">
        <v>100</v>
      </c>
      <c r="P19">
        <v>80</v>
      </c>
      <c r="Q19">
        <v>0.69314718055994529</v>
      </c>
      <c r="R19">
        <v>3.2580965380214821</v>
      </c>
      <c r="S19">
        <v>3.2580965380214821</v>
      </c>
      <c r="T19">
        <v>95.68</v>
      </c>
      <c r="U19">
        <v>0</v>
      </c>
      <c r="V19">
        <v>1.82802042479695</v>
      </c>
      <c r="W19">
        <v>0.99424279543483596</v>
      </c>
      <c r="X19">
        <v>0.99177342203587404</v>
      </c>
      <c r="Y19">
        <v>-0.96278755162326501</v>
      </c>
      <c r="Z19">
        <v>-0.75605764486205096</v>
      </c>
      <c r="AA19">
        <v>-0.80037586101695801</v>
      </c>
      <c r="AB19">
        <v>2092.91</v>
      </c>
      <c r="AC19">
        <v>0</v>
      </c>
      <c r="AD19">
        <v>2.1</v>
      </c>
      <c r="AE19">
        <v>-1.0768626388726401</v>
      </c>
      <c r="AF19">
        <v>-2.4704498368824299</v>
      </c>
      <c r="AG19">
        <v>1.5203250734444</v>
      </c>
      <c r="AH19">
        <v>0.52952004520549001</v>
      </c>
      <c r="AI19">
        <v>-2.47472366277972</v>
      </c>
      <c r="AJ19">
        <v>1.5588147218449999</v>
      </c>
      <c r="AK19">
        <v>49.042560999999999</v>
      </c>
      <c r="AL19">
        <v>3.9528660000000002</v>
      </c>
      <c r="AM19">
        <v>48.856372813999997</v>
      </c>
      <c r="AN19">
        <v>2.3525296170000001</v>
      </c>
    </row>
    <row r="20" spans="1:40" x14ac:dyDescent="0.35">
      <c r="A20">
        <v>22</v>
      </c>
      <c r="B20">
        <v>42</v>
      </c>
      <c r="C20" t="s">
        <v>48</v>
      </c>
      <c r="D20" t="s">
        <v>66</v>
      </c>
      <c r="E20" t="s">
        <v>42</v>
      </c>
      <c r="F20" t="s">
        <v>49</v>
      </c>
      <c r="G20">
        <v>4</v>
      </c>
      <c r="H20">
        <v>16</v>
      </c>
      <c r="I20">
        <v>5</v>
      </c>
      <c r="J20" t="s">
        <v>45</v>
      </c>
      <c r="K20" t="s">
        <v>46</v>
      </c>
      <c r="L20" t="s">
        <v>67</v>
      </c>
      <c r="M20">
        <v>345.44471721535251</v>
      </c>
      <c r="N20">
        <v>408</v>
      </c>
      <c r="O20">
        <v>230</v>
      </c>
      <c r="P20">
        <v>136</v>
      </c>
      <c r="Q20">
        <v>0</v>
      </c>
      <c r="R20">
        <v>1.0986122886681098</v>
      </c>
      <c r="S20">
        <v>4.499809670330265</v>
      </c>
      <c r="T20">
        <v>90.053710317460329</v>
      </c>
      <c r="U20">
        <v>1.5728028449904734</v>
      </c>
      <c r="V20">
        <v>-0.577850340007529</v>
      </c>
      <c r="W20">
        <v>-0.32460727773589898</v>
      </c>
      <c r="X20">
        <v>-0.54369568891204501</v>
      </c>
      <c r="Y20">
        <v>-0.77598924050104101</v>
      </c>
      <c r="Z20">
        <v>0.47668876811384397</v>
      </c>
      <c r="AA20">
        <v>0.85617757356637403</v>
      </c>
      <c r="AB20">
        <v>2565</v>
      </c>
      <c r="AC20">
        <v>1</v>
      </c>
      <c r="AD20">
        <v>0</v>
      </c>
      <c r="AE20">
        <v>-0.72514205471140702</v>
      </c>
      <c r="AF20">
        <v>0.69116014721291696</v>
      </c>
      <c r="AG20">
        <v>1.3169052567781101</v>
      </c>
      <c r="AH20">
        <v>-5.5710629734848398</v>
      </c>
      <c r="AI20">
        <v>-0.81863026776890602</v>
      </c>
      <c r="AJ20">
        <v>-1.59076850270759</v>
      </c>
      <c r="AK20">
        <v>46.303668000000002</v>
      </c>
      <c r="AL20">
        <v>4.8322269999999996</v>
      </c>
      <c r="AM20">
        <v>48.91</v>
      </c>
      <c r="AN20">
        <v>2.3330000000000002</v>
      </c>
    </row>
    <row r="21" spans="1:40" x14ac:dyDescent="0.35">
      <c r="A21">
        <v>23</v>
      </c>
      <c r="B21">
        <v>72</v>
      </c>
      <c r="C21" t="s">
        <v>40</v>
      </c>
      <c r="D21" t="s">
        <v>52</v>
      </c>
      <c r="E21" t="s">
        <v>68</v>
      </c>
      <c r="F21" t="s">
        <v>49</v>
      </c>
      <c r="G21">
        <v>6</v>
      </c>
      <c r="H21">
        <v>36</v>
      </c>
      <c r="I21">
        <v>7</v>
      </c>
      <c r="J21" t="s">
        <v>50</v>
      </c>
      <c r="K21" t="s">
        <v>46</v>
      </c>
      <c r="L21" t="s">
        <v>69</v>
      </c>
      <c r="M21">
        <v>386.18616756122952</v>
      </c>
      <c r="N21">
        <v>558</v>
      </c>
      <c r="O21">
        <v>354</v>
      </c>
      <c r="P21">
        <v>287</v>
      </c>
      <c r="Q21">
        <v>2.3978952727983707</v>
      </c>
      <c r="R21">
        <v>4.5538768916005408</v>
      </c>
      <c r="S21">
        <v>5.4847969334906548</v>
      </c>
      <c r="T21">
        <v>93.296000000000006</v>
      </c>
      <c r="U21">
        <v>2.2325431437911538</v>
      </c>
      <c r="V21">
        <v>-0.44922684044461197</v>
      </c>
      <c r="W21">
        <v>-0.76855194782346203</v>
      </c>
      <c r="X21">
        <v>-0.44700324392789598</v>
      </c>
      <c r="Y21">
        <v>-0.846122564821426</v>
      </c>
      <c r="Z21">
        <v>-0.92679578564836795</v>
      </c>
      <c r="AA21">
        <v>0.86332342905974202</v>
      </c>
      <c r="AB21">
        <v>2050</v>
      </c>
      <c r="AC21">
        <v>1</v>
      </c>
      <c r="AD21">
        <v>2</v>
      </c>
      <c r="AE21">
        <v>-0.51011828243844404</v>
      </c>
      <c r="AF21">
        <v>0.31681758526685799</v>
      </c>
      <c r="AG21">
        <v>-0.113647548612788</v>
      </c>
      <c r="AH21">
        <v>3.1934983025795299E-3</v>
      </c>
      <c r="AI21">
        <v>0.167474670435898</v>
      </c>
      <c r="AJ21">
        <v>1.01359541025662</v>
      </c>
      <c r="AK21">
        <v>47.177235000000003</v>
      </c>
      <c r="AL21">
        <v>4.964315</v>
      </c>
      <c r="AM21">
        <v>50.640682937000001</v>
      </c>
      <c r="AN21">
        <v>4.6610704270000003</v>
      </c>
    </row>
    <row r="22" spans="1:40" x14ac:dyDescent="0.35">
      <c r="A22">
        <v>24</v>
      </c>
      <c r="B22">
        <v>29.5</v>
      </c>
      <c r="C22" t="s">
        <v>40</v>
      </c>
      <c r="D22" t="s">
        <v>41</v>
      </c>
      <c r="E22" t="s">
        <v>42</v>
      </c>
      <c r="F22" t="s">
        <v>43</v>
      </c>
      <c r="G22">
        <v>7</v>
      </c>
      <c r="H22">
        <v>49</v>
      </c>
      <c r="I22">
        <v>5</v>
      </c>
      <c r="J22" t="s">
        <v>50</v>
      </c>
      <c r="K22" t="s">
        <v>46</v>
      </c>
      <c r="L22" t="s">
        <v>54</v>
      </c>
      <c r="M22">
        <v>38.362096471695857</v>
      </c>
      <c r="N22">
        <v>36</v>
      </c>
      <c r="O22">
        <v>49</v>
      </c>
      <c r="P22">
        <v>22</v>
      </c>
      <c r="Q22">
        <v>3.9889840465642745</v>
      </c>
      <c r="R22">
        <v>3.0910424533583161</v>
      </c>
      <c r="S22">
        <v>4.1271343850450917</v>
      </c>
      <c r="T22">
        <v>92.826666666666668</v>
      </c>
      <c r="U22">
        <v>2.9827057067926286</v>
      </c>
      <c r="V22">
        <v>-0.16604708794949699</v>
      </c>
      <c r="W22">
        <v>-0.150727876652859</v>
      </c>
      <c r="X22">
        <v>-0.19602043866096</v>
      </c>
      <c r="Y22">
        <v>1.4483117406157899</v>
      </c>
      <c r="Z22">
        <v>1.7680602694732599</v>
      </c>
      <c r="AA22">
        <v>0.26366440732357699</v>
      </c>
      <c r="AB22">
        <v>4236</v>
      </c>
      <c r="AC22">
        <v>0</v>
      </c>
      <c r="AD22">
        <v>4</v>
      </c>
      <c r="AE22">
        <v>1.6751267091712101</v>
      </c>
      <c r="AF22">
        <v>0.85014419293021104</v>
      </c>
      <c r="AG22">
        <v>-3.0581878291139399</v>
      </c>
      <c r="AH22">
        <v>-1.1048546788292299</v>
      </c>
      <c r="AI22">
        <v>1.7963615084925799</v>
      </c>
      <c r="AJ22">
        <v>-0.84187742765479001</v>
      </c>
      <c r="AK22">
        <v>44.917983300000003</v>
      </c>
      <c r="AL22">
        <v>-0.22352169999999999</v>
      </c>
      <c r="AM22">
        <v>44.792000000000002</v>
      </c>
      <c r="AN22">
        <v>-0.67600000000000005</v>
      </c>
    </row>
    <row r="23" spans="1:40" x14ac:dyDescent="0.35">
      <c r="A23">
        <v>25</v>
      </c>
      <c r="B23">
        <v>72</v>
      </c>
      <c r="C23" t="s">
        <v>40</v>
      </c>
      <c r="D23" t="s">
        <v>52</v>
      </c>
      <c r="E23" t="s">
        <v>42</v>
      </c>
      <c r="F23" t="s">
        <v>49</v>
      </c>
      <c r="G23">
        <v>5</v>
      </c>
      <c r="H23">
        <v>25</v>
      </c>
      <c r="I23">
        <v>5</v>
      </c>
      <c r="J23" t="s">
        <v>50</v>
      </c>
      <c r="K23" t="s">
        <v>46</v>
      </c>
      <c r="L23" t="s">
        <v>67</v>
      </c>
      <c r="M23">
        <v>251.63851495642871</v>
      </c>
      <c r="N23">
        <v>358</v>
      </c>
      <c r="O23">
        <v>220</v>
      </c>
      <c r="P23">
        <v>417</v>
      </c>
      <c r="Q23">
        <v>0</v>
      </c>
      <c r="R23">
        <v>1.0986122886681098</v>
      </c>
      <c r="S23">
        <v>4.499809670330265</v>
      </c>
      <c r="T23">
        <v>90.053710317460329</v>
      </c>
      <c r="U23">
        <v>1.5728028449904734</v>
      </c>
      <c r="V23">
        <v>-0.577850340007529</v>
      </c>
      <c r="W23">
        <v>-0.32460727773589898</v>
      </c>
      <c r="X23">
        <v>-0.54369568891204501</v>
      </c>
      <c r="Y23">
        <v>-0.77598924050104101</v>
      </c>
      <c r="Z23">
        <v>0.47668876811384397</v>
      </c>
      <c r="AA23">
        <v>0.85617757356637403</v>
      </c>
      <c r="AB23">
        <v>2565</v>
      </c>
      <c r="AC23">
        <v>1</v>
      </c>
      <c r="AD23">
        <v>0</v>
      </c>
      <c r="AE23">
        <v>-0.72514205471140702</v>
      </c>
      <c r="AF23">
        <v>-2.2765793318081</v>
      </c>
      <c r="AG23">
        <v>0.703152854122576</v>
      </c>
      <c r="AH23">
        <v>0.96495837972830101</v>
      </c>
      <c r="AI23">
        <v>0.84248425060040144</v>
      </c>
      <c r="AJ23">
        <v>-1.0911588720840073</v>
      </c>
      <c r="AK23">
        <v>46.303668000000002</v>
      </c>
      <c r="AL23">
        <v>4.8322269999999996</v>
      </c>
      <c r="AM23">
        <v>44.985307692307693</v>
      </c>
      <c r="AN23">
        <v>2.205307692307692</v>
      </c>
    </row>
    <row r="24" spans="1:40" x14ac:dyDescent="0.35">
      <c r="A24">
        <v>26</v>
      </c>
      <c r="B24">
        <v>72</v>
      </c>
      <c r="C24" t="s">
        <v>40</v>
      </c>
      <c r="D24" t="s">
        <v>52</v>
      </c>
      <c r="E24" t="s">
        <v>42</v>
      </c>
      <c r="F24" t="s">
        <v>49</v>
      </c>
      <c r="G24">
        <v>4</v>
      </c>
      <c r="H24">
        <v>16</v>
      </c>
      <c r="I24">
        <v>7</v>
      </c>
      <c r="J24" t="s">
        <v>56</v>
      </c>
      <c r="K24" t="s">
        <v>46</v>
      </c>
      <c r="L24" t="s">
        <v>70</v>
      </c>
      <c r="M24">
        <v>353.88574095194542</v>
      </c>
      <c r="N24">
        <v>432</v>
      </c>
      <c r="O24">
        <v>287</v>
      </c>
      <c r="P24">
        <v>189</v>
      </c>
      <c r="Q24">
        <v>0</v>
      </c>
      <c r="R24">
        <v>0</v>
      </c>
      <c r="S24">
        <v>5.3230099791384085</v>
      </c>
      <c r="T24">
        <v>90.615999999999985</v>
      </c>
      <c r="U24">
        <v>1.11573792223403</v>
      </c>
      <c r="V24">
        <v>0.80288722813325297</v>
      </c>
      <c r="W24">
        <v>0.52082154240315903</v>
      </c>
      <c r="X24">
        <v>0.61908815691345198</v>
      </c>
      <c r="Y24">
        <v>1.5007680231051199</v>
      </c>
      <c r="Z24">
        <v>0.24292628533916899</v>
      </c>
      <c r="AA24">
        <v>8.5217386942517098E-2</v>
      </c>
      <c r="AB24">
        <v>3943</v>
      </c>
      <c r="AC24">
        <v>0</v>
      </c>
      <c r="AD24">
        <v>1</v>
      </c>
      <c r="AE24">
        <v>1.1088815174583</v>
      </c>
      <c r="AF24">
        <v>-2.54892984402536</v>
      </c>
      <c r="AG24">
        <v>2.0739242337324799</v>
      </c>
      <c r="AH24">
        <v>0.96396421049525205</v>
      </c>
      <c r="AI24">
        <v>0.237210888372372</v>
      </c>
      <c r="AJ24">
        <v>-0.59028180987789602</v>
      </c>
      <c r="AK24">
        <v>46.098678999999997</v>
      </c>
      <c r="AL24">
        <v>4.7359530000000003</v>
      </c>
      <c r="AM24">
        <v>48.817</v>
      </c>
      <c r="AN24">
        <v>2.2970000000000002</v>
      </c>
    </row>
    <row r="25" spans="1:40" x14ac:dyDescent="0.35">
      <c r="A25">
        <v>27</v>
      </c>
      <c r="B25">
        <v>72</v>
      </c>
      <c r="C25" t="s">
        <v>40</v>
      </c>
      <c r="D25" t="s">
        <v>52</v>
      </c>
      <c r="E25" t="s">
        <v>42</v>
      </c>
      <c r="F25" t="s">
        <v>49</v>
      </c>
      <c r="G25">
        <v>5</v>
      </c>
      <c r="H25">
        <v>25</v>
      </c>
      <c r="I25">
        <v>6</v>
      </c>
      <c r="J25" t="s">
        <v>56</v>
      </c>
      <c r="K25" t="s">
        <v>46</v>
      </c>
      <c r="L25" t="s">
        <v>71</v>
      </c>
      <c r="M25">
        <v>460.24207046706601</v>
      </c>
      <c r="N25">
        <v>133</v>
      </c>
      <c r="O25">
        <v>85</v>
      </c>
      <c r="P25">
        <v>115</v>
      </c>
      <c r="Q25">
        <v>4.5747109785033828</v>
      </c>
      <c r="R25">
        <v>3.5263605246161616</v>
      </c>
      <c r="S25">
        <v>5.1416635565026603</v>
      </c>
      <c r="T25">
        <v>92.265120976563693</v>
      </c>
      <c r="U25">
        <v>2.9351954657362995</v>
      </c>
      <c r="V25">
        <v>-8.3509539921858403E-2</v>
      </c>
      <c r="W25">
        <v>-8.6188355584626702E-2</v>
      </c>
      <c r="X25">
        <v>-6.2117403422328299E-2</v>
      </c>
      <c r="Y25">
        <v>-0.51135009403950604</v>
      </c>
      <c r="Z25">
        <v>-0.669554030021006</v>
      </c>
      <c r="AA25">
        <v>-1.4915282051312999</v>
      </c>
      <c r="AB25">
        <v>1813.5248996931791</v>
      </c>
      <c r="AC25">
        <v>1.6535284399339156</v>
      </c>
      <c r="AD25">
        <v>0.49421760679726223</v>
      </c>
      <c r="AE25">
        <v>-0.18520258641298501</v>
      </c>
      <c r="AF25">
        <v>-0.750184780994822</v>
      </c>
      <c r="AG25">
        <v>-0.93635671754710104</v>
      </c>
      <c r="AH25">
        <v>-0.61517086041806401</v>
      </c>
      <c r="AI25">
        <v>-1.75491921298048</v>
      </c>
      <c r="AJ25">
        <v>-0.74203650395827603</v>
      </c>
      <c r="AK25">
        <v>45.071283999999999</v>
      </c>
      <c r="AL25">
        <v>4.8370730000000002</v>
      </c>
      <c r="AM25">
        <v>48.822000000000003</v>
      </c>
      <c r="AN25">
        <v>2.2869999999999995</v>
      </c>
    </row>
    <row r="26" spans="1:40" x14ac:dyDescent="0.35">
      <c r="A26">
        <v>29</v>
      </c>
      <c r="B26">
        <v>72</v>
      </c>
      <c r="C26" t="s">
        <v>40</v>
      </c>
      <c r="D26" t="s">
        <v>52</v>
      </c>
      <c r="E26" t="s">
        <v>42</v>
      </c>
      <c r="F26" t="s">
        <v>49</v>
      </c>
      <c r="G26">
        <v>4</v>
      </c>
      <c r="H26">
        <v>16</v>
      </c>
      <c r="I26">
        <v>4</v>
      </c>
      <c r="J26" t="s">
        <v>56</v>
      </c>
      <c r="K26" t="s">
        <v>46</v>
      </c>
      <c r="L26" t="s">
        <v>57</v>
      </c>
      <c r="M26">
        <v>307.05806954698841</v>
      </c>
      <c r="N26">
        <v>418</v>
      </c>
      <c r="O26">
        <v>246</v>
      </c>
      <c r="P26">
        <v>239</v>
      </c>
      <c r="Q26">
        <v>0.69314718055994529</v>
      </c>
      <c r="R26">
        <v>3.6109179126442243</v>
      </c>
      <c r="S26">
        <v>5.8833223884882786</v>
      </c>
      <c r="T26">
        <v>90.922105263157903</v>
      </c>
      <c r="U26">
        <v>2.3923758041545438</v>
      </c>
      <c r="V26">
        <v>-0.399596989308249</v>
      </c>
      <c r="W26">
        <v>-0.58810405700346202</v>
      </c>
      <c r="X26">
        <v>-0.29041857108635599</v>
      </c>
      <c r="Y26">
        <v>-0.846122564821426</v>
      </c>
      <c r="Z26">
        <v>-0.92679578564836795</v>
      </c>
      <c r="AA26">
        <v>0.86332342905974202</v>
      </c>
      <c r="AB26">
        <v>2050</v>
      </c>
      <c r="AC26">
        <v>1</v>
      </c>
      <c r="AD26">
        <v>2</v>
      </c>
      <c r="AE26">
        <v>-0.51011828243844404</v>
      </c>
      <c r="AF26">
        <v>-0.52631655982205905</v>
      </c>
      <c r="AG26">
        <v>7.7268181253721101E-3</v>
      </c>
      <c r="AH26">
        <v>1.1882749761511799</v>
      </c>
      <c r="AI26">
        <v>-0.77176429665699298</v>
      </c>
      <c r="AJ26">
        <v>1.26762693968526</v>
      </c>
      <c r="AK26">
        <v>47.023905999999997</v>
      </c>
      <c r="AL26">
        <v>4.8380429999999999</v>
      </c>
      <c r="AM26">
        <v>47.43533333333334</v>
      </c>
      <c r="AN26">
        <v>0.82100000000000006</v>
      </c>
    </row>
    <row r="27" spans="1:40" x14ac:dyDescent="0.35">
      <c r="A27">
        <v>30</v>
      </c>
      <c r="B27">
        <v>42</v>
      </c>
      <c r="C27" t="s">
        <v>40</v>
      </c>
      <c r="D27" t="s">
        <v>66</v>
      </c>
      <c r="E27" t="s">
        <v>42</v>
      </c>
      <c r="F27" t="s">
        <v>61</v>
      </c>
      <c r="G27">
        <v>4</v>
      </c>
      <c r="H27">
        <v>16</v>
      </c>
      <c r="I27">
        <v>2</v>
      </c>
      <c r="J27" t="s">
        <v>45</v>
      </c>
      <c r="K27" t="s">
        <v>46</v>
      </c>
      <c r="L27" t="s">
        <v>57</v>
      </c>
      <c r="M27">
        <v>30.339189192191728</v>
      </c>
      <c r="N27">
        <v>86</v>
      </c>
      <c r="O27">
        <v>63</v>
      </c>
      <c r="P27">
        <v>47</v>
      </c>
      <c r="Q27">
        <v>0.69314718055994529</v>
      </c>
      <c r="R27">
        <v>3.6109179126442243</v>
      </c>
      <c r="S27">
        <v>5.8833223884882786</v>
      </c>
      <c r="T27">
        <v>90.922105263157903</v>
      </c>
      <c r="U27">
        <v>2.3923758041545438</v>
      </c>
      <c r="V27">
        <v>-0.399596989308249</v>
      </c>
      <c r="W27">
        <v>-0.58810405700346202</v>
      </c>
      <c r="X27">
        <v>-0.29041857108635599</v>
      </c>
      <c r="Y27">
        <v>-0.846122564821426</v>
      </c>
      <c r="Z27">
        <v>-0.92679578564836795</v>
      </c>
      <c r="AA27">
        <v>0.86332342905974202</v>
      </c>
      <c r="AB27">
        <v>2050</v>
      </c>
      <c r="AC27">
        <v>1</v>
      </c>
      <c r="AD27">
        <v>2</v>
      </c>
      <c r="AE27">
        <v>-0.51011828243844404</v>
      </c>
      <c r="AF27">
        <v>0.14387517777809</v>
      </c>
      <c r="AG27">
        <v>-0.19376394955373799</v>
      </c>
      <c r="AH27">
        <v>-0.76180686373447104</v>
      </c>
      <c r="AI27">
        <v>-0.60106830391994004</v>
      </c>
      <c r="AJ27">
        <v>0.71085393698612598</v>
      </c>
      <c r="AK27">
        <v>47.023905999999997</v>
      </c>
      <c r="AL27">
        <v>4.8380429999999999</v>
      </c>
      <c r="AM27">
        <v>46.751399999999997</v>
      </c>
      <c r="AN27">
        <v>4.8315999999999999</v>
      </c>
    </row>
    <row r="28" spans="1:40" x14ac:dyDescent="0.35">
      <c r="A28">
        <v>32</v>
      </c>
      <c r="B28">
        <v>72</v>
      </c>
      <c r="C28" t="s">
        <v>40</v>
      </c>
      <c r="D28" t="s">
        <v>52</v>
      </c>
      <c r="E28" t="s">
        <v>42</v>
      </c>
      <c r="F28" t="s">
        <v>49</v>
      </c>
      <c r="G28">
        <v>5</v>
      </c>
      <c r="H28">
        <v>25</v>
      </c>
      <c r="I28">
        <v>5</v>
      </c>
      <c r="J28" t="s">
        <v>50</v>
      </c>
      <c r="K28" t="s">
        <v>46</v>
      </c>
      <c r="L28" t="s">
        <v>65</v>
      </c>
      <c r="M28">
        <v>62.18354767778559</v>
      </c>
      <c r="N28">
        <v>88</v>
      </c>
      <c r="O28">
        <v>65</v>
      </c>
      <c r="P28">
        <v>125</v>
      </c>
      <c r="Q28">
        <v>0</v>
      </c>
      <c r="R28">
        <v>0</v>
      </c>
      <c r="S28">
        <v>4.4543472962535073</v>
      </c>
      <c r="T28">
        <v>89.333044733044744</v>
      </c>
      <c r="U28">
        <v>1.2554235437523662</v>
      </c>
      <c r="V28">
        <v>1.64975517953679</v>
      </c>
      <c r="W28">
        <v>2.4220969657957299</v>
      </c>
      <c r="X28">
        <v>1.68128863126442</v>
      </c>
      <c r="Y28">
        <v>2.0553398017137301</v>
      </c>
      <c r="Z28">
        <v>2.0921400018840099</v>
      </c>
      <c r="AA28">
        <v>2.0596698968962701</v>
      </c>
      <c r="AB28">
        <v>3262.71</v>
      </c>
      <c r="AC28">
        <v>0.33</v>
      </c>
      <c r="AD28">
        <v>0.66</v>
      </c>
      <c r="AE28">
        <v>1.9221838973381</v>
      </c>
      <c r="AF28">
        <v>-0.49200904336006601</v>
      </c>
      <c r="AG28">
        <v>-0.57162813317519001</v>
      </c>
      <c r="AH28">
        <v>0.437744472473581</v>
      </c>
      <c r="AI28">
        <v>-0.20448162593388899</v>
      </c>
      <c r="AJ28">
        <v>0.82846170465895497</v>
      </c>
      <c r="AK28">
        <v>43.537466000000002</v>
      </c>
      <c r="AL28">
        <v>6.4627330000000001</v>
      </c>
      <c r="AM28">
        <v>43.710855600000002</v>
      </c>
      <c r="AN28">
        <v>7.1963004000000002</v>
      </c>
    </row>
    <row r="29" spans="1:40" x14ac:dyDescent="0.35">
      <c r="A29">
        <v>34</v>
      </c>
      <c r="B29">
        <v>72</v>
      </c>
      <c r="C29" t="s">
        <v>40</v>
      </c>
      <c r="D29" t="s">
        <v>52</v>
      </c>
      <c r="E29" t="s">
        <v>42</v>
      </c>
      <c r="F29" t="s">
        <v>49</v>
      </c>
      <c r="G29">
        <v>3</v>
      </c>
      <c r="H29">
        <v>9</v>
      </c>
      <c r="I29">
        <v>3</v>
      </c>
      <c r="J29" t="s">
        <v>56</v>
      </c>
      <c r="K29" t="s">
        <v>46</v>
      </c>
      <c r="L29" t="s">
        <v>72</v>
      </c>
      <c r="M29">
        <v>64.719819195898594</v>
      </c>
      <c r="N29">
        <v>82</v>
      </c>
      <c r="O29">
        <v>86</v>
      </c>
      <c r="P29">
        <v>119</v>
      </c>
      <c r="Q29">
        <v>0.69314718055994529</v>
      </c>
      <c r="R29">
        <v>1.3862943611198906</v>
      </c>
      <c r="S29">
        <v>4.5538768916005408</v>
      </c>
      <c r="T29">
        <v>89.340161030595823</v>
      </c>
      <c r="U29">
        <v>1.4712304197281412</v>
      </c>
      <c r="V29">
        <v>0.59716251398508702</v>
      </c>
      <c r="W29">
        <v>0.91068296986709796</v>
      </c>
      <c r="X29">
        <v>1.2273243988355</v>
      </c>
      <c r="Y29">
        <v>-0.4121809470949</v>
      </c>
      <c r="Z29">
        <v>-0.86472582726521097</v>
      </c>
      <c r="AA29">
        <v>-1.0172779374790899</v>
      </c>
      <c r="AB29">
        <v>1828.1689246701658</v>
      </c>
      <c r="AC29">
        <v>1.1127464888636687</v>
      </c>
      <c r="AD29">
        <v>1.8630656830756136</v>
      </c>
      <c r="AE29">
        <v>-0.53926882203722504</v>
      </c>
      <c r="AF29">
        <v>-1.2349752014181501</v>
      </c>
      <c r="AG29">
        <v>-2.1106838241803301</v>
      </c>
      <c r="AH29">
        <v>-3.2452750635177798</v>
      </c>
      <c r="AI29">
        <v>-2.4948802412936271</v>
      </c>
      <c r="AJ29">
        <v>-0.72496073796141736</v>
      </c>
      <c r="AK29">
        <v>44.503641999999999</v>
      </c>
      <c r="AL29">
        <v>1.1863669999999999</v>
      </c>
      <c r="AM29">
        <v>44.150181818181821</v>
      </c>
      <c r="AN29">
        <v>0.54109090909090907</v>
      </c>
    </row>
    <row r="30" spans="1:40" x14ac:dyDescent="0.35">
      <c r="A30">
        <v>35</v>
      </c>
      <c r="B30">
        <v>57</v>
      </c>
      <c r="C30" t="s">
        <v>40</v>
      </c>
      <c r="D30" t="s">
        <v>66</v>
      </c>
      <c r="E30" t="s">
        <v>42</v>
      </c>
      <c r="F30" t="s">
        <v>61</v>
      </c>
      <c r="G30">
        <v>1</v>
      </c>
      <c r="H30">
        <v>1</v>
      </c>
      <c r="I30">
        <v>2</v>
      </c>
      <c r="J30" t="s">
        <v>45</v>
      </c>
      <c r="K30" t="s">
        <v>46</v>
      </c>
      <c r="L30" t="s">
        <v>55</v>
      </c>
      <c r="M30">
        <v>386.54348839383869</v>
      </c>
      <c r="N30">
        <v>554</v>
      </c>
      <c r="O30">
        <v>374</v>
      </c>
      <c r="P30">
        <v>249</v>
      </c>
      <c r="Q30">
        <v>2.0794415416798357</v>
      </c>
      <c r="R30">
        <v>2.3025850929940459</v>
      </c>
      <c r="S30">
        <v>3.2580965380214821</v>
      </c>
      <c r="T30">
        <v>95.12</v>
      </c>
      <c r="U30">
        <v>0</v>
      </c>
      <c r="V30">
        <v>1.89305099905856</v>
      </c>
      <c r="W30">
        <v>0.59880690621441701</v>
      </c>
      <c r="X30">
        <v>1.1856460040685599</v>
      </c>
      <c r="Y30">
        <v>-0.15565097555555901</v>
      </c>
      <c r="Z30">
        <v>-0.22748295097212001</v>
      </c>
      <c r="AA30">
        <v>1.0415013010201299</v>
      </c>
      <c r="AB30">
        <v>2939.9504036908884</v>
      </c>
      <c r="AC30">
        <v>2</v>
      </c>
      <c r="AD30">
        <v>0.42868127643214149</v>
      </c>
      <c r="AE30">
        <v>-2.40641039566141E-2</v>
      </c>
      <c r="AF30">
        <v>1.5460613518814501</v>
      </c>
      <c r="AG30">
        <v>1.0797383975188599</v>
      </c>
      <c r="AH30">
        <v>0.82580291285532803</v>
      </c>
      <c r="AI30">
        <v>1.4836044289928401</v>
      </c>
      <c r="AJ30">
        <v>0.76193534118230599</v>
      </c>
      <c r="AK30">
        <v>48.0777517</v>
      </c>
      <c r="AL30">
        <v>7.3579641000000002</v>
      </c>
      <c r="AM30">
        <v>50.283333333333331</v>
      </c>
      <c r="AN30">
        <v>3.2533333333333334</v>
      </c>
    </row>
    <row r="31" spans="1:40" x14ac:dyDescent="0.35">
      <c r="A31">
        <v>38</v>
      </c>
      <c r="B31">
        <v>57</v>
      </c>
      <c r="C31" t="s">
        <v>40</v>
      </c>
      <c r="D31" t="s">
        <v>41</v>
      </c>
      <c r="E31" t="s">
        <v>42</v>
      </c>
      <c r="F31" t="s">
        <v>43</v>
      </c>
      <c r="G31">
        <v>4</v>
      </c>
      <c r="H31">
        <v>16</v>
      </c>
      <c r="I31">
        <v>4</v>
      </c>
      <c r="J31" t="s">
        <v>56</v>
      </c>
      <c r="K31" t="s">
        <v>46</v>
      </c>
      <c r="L31" t="s">
        <v>73</v>
      </c>
      <c r="M31">
        <v>517.1056543497873</v>
      </c>
      <c r="N31">
        <v>588</v>
      </c>
      <c r="O31">
        <v>372</v>
      </c>
      <c r="P31">
        <v>207</v>
      </c>
      <c r="Q31">
        <v>1.9459101490553132</v>
      </c>
      <c r="R31">
        <v>2.9444389791664403</v>
      </c>
      <c r="S31">
        <v>4.2626798770413155</v>
      </c>
      <c r="T31">
        <v>91.872500000000002</v>
      </c>
      <c r="U31">
        <v>2.0033201607997366</v>
      </c>
      <c r="V31">
        <v>7.5580716531248995E-2</v>
      </c>
      <c r="W31">
        <v>0.203376316306385</v>
      </c>
      <c r="X31">
        <v>0.143329752535333</v>
      </c>
      <c r="Y31">
        <v>1.4483117406157899</v>
      </c>
      <c r="Z31">
        <v>1.7680602694732599</v>
      </c>
      <c r="AA31">
        <v>0.26366440732357699</v>
      </c>
      <c r="AB31">
        <v>4236</v>
      </c>
      <c r="AC31">
        <v>0</v>
      </c>
      <c r="AD31">
        <v>4</v>
      </c>
      <c r="AE31">
        <v>1.6751267091712101</v>
      </c>
      <c r="AF31">
        <v>7.2928416872219806E-2</v>
      </c>
      <c r="AG31">
        <v>-2.39346034394933</v>
      </c>
      <c r="AH31">
        <v>1.2587935231306</v>
      </c>
      <c r="AI31">
        <v>0.68507250036257195</v>
      </c>
      <c r="AJ31">
        <v>-2.5117950386647001</v>
      </c>
      <c r="AK31">
        <v>44.686388999999998</v>
      </c>
      <c r="AL31">
        <v>-0.52383800000000003</v>
      </c>
      <c r="AM31">
        <v>48.915000000000006</v>
      </c>
      <c r="AN31">
        <v>2.2879999999999998</v>
      </c>
    </row>
    <row r="32" spans="1:40" x14ac:dyDescent="0.35">
      <c r="A32">
        <v>39</v>
      </c>
      <c r="B32">
        <v>57</v>
      </c>
      <c r="C32" t="s">
        <v>40</v>
      </c>
      <c r="D32" t="s">
        <v>66</v>
      </c>
      <c r="E32" t="s">
        <v>42</v>
      </c>
      <c r="F32" t="s">
        <v>49</v>
      </c>
      <c r="G32">
        <v>5</v>
      </c>
      <c r="H32">
        <v>25</v>
      </c>
      <c r="I32">
        <v>5</v>
      </c>
      <c r="J32" t="s">
        <v>50</v>
      </c>
      <c r="K32" t="s">
        <v>46</v>
      </c>
      <c r="L32" t="s">
        <v>65</v>
      </c>
      <c r="M32">
        <v>660.81843645664185</v>
      </c>
      <c r="N32">
        <v>841</v>
      </c>
      <c r="O32">
        <v>430</v>
      </c>
      <c r="P32">
        <v>373</v>
      </c>
      <c r="Q32">
        <v>0</v>
      </c>
      <c r="R32">
        <v>0</v>
      </c>
      <c r="S32">
        <v>4.4543472962535073</v>
      </c>
      <c r="T32">
        <v>89.333044733044744</v>
      </c>
      <c r="U32">
        <v>1.2554235437523662</v>
      </c>
      <c r="V32">
        <v>1.64975517953679</v>
      </c>
      <c r="W32">
        <v>2.4220969657957299</v>
      </c>
      <c r="X32">
        <v>1.68128863126442</v>
      </c>
      <c r="Y32">
        <v>2.0553398017137301</v>
      </c>
      <c r="Z32">
        <v>2.0921400018840099</v>
      </c>
      <c r="AA32">
        <v>2.0596698968962701</v>
      </c>
      <c r="AB32">
        <v>3262.71</v>
      </c>
      <c r="AC32">
        <v>0.33</v>
      </c>
      <c r="AD32">
        <v>0.66</v>
      </c>
      <c r="AE32">
        <v>1.9221838973381</v>
      </c>
      <c r="AF32">
        <v>0.62018853548165398</v>
      </c>
      <c r="AG32">
        <v>1.1247049731629399</v>
      </c>
      <c r="AH32">
        <v>-0.15056798833634</v>
      </c>
      <c r="AI32">
        <v>0.51930760773990303</v>
      </c>
      <c r="AJ32">
        <v>-0.86029973841374396</v>
      </c>
      <c r="AK32">
        <v>43.537466000000002</v>
      </c>
      <c r="AL32">
        <v>6.4627330000000001</v>
      </c>
      <c r="AM32">
        <v>48.936666666666667</v>
      </c>
      <c r="AN32">
        <v>2.8896666666666668</v>
      </c>
    </row>
    <row r="33" spans="1:40" x14ac:dyDescent="0.35">
      <c r="A33">
        <v>41</v>
      </c>
      <c r="B33">
        <v>42</v>
      </c>
      <c r="C33" t="s">
        <v>48</v>
      </c>
      <c r="D33" t="s">
        <v>41</v>
      </c>
      <c r="E33" t="s">
        <v>42</v>
      </c>
      <c r="F33" t="s">
        <v>49</v>
      </c>
      <c r="G33">
        <v>4</v>
      </c>
      <c r="H33">
        <v>16</v>
      </c>
      <c r="I33">
        <v>5</v>
      </c>
      <c r="J33" t="s">
        <v>56</v>
      </c>
      <c r="K33" t="s">
        <v>46</v>
      </c>
      <c r="L33" t="s">
        <v>55</v>
      </c>
      <c r="M33">
        <v>379.40698391777141</v>
      </c>
      <c r="N33">
        <v>492</v>
      </c>
      <c r="O33">
        <v>357</v>
      </c>
      <c r="P33">
        <v>146</v>
      </c>
      <c r="Q33">
        <v>2.0794415416798357</v>
      </c>
      <c r="R33">
        <v>2.3025850929940459</v>
      </c>
      <c r="S33">
        <v>3.2580965380214821</v>
      </c>
      <c r="T33">
        <v>95.12</v>
      </c>
      <c r="U33">
        <v>0</v>
      </c>
      <c r="V33">
        <v>1.89305099905856</v>
      </c>
      <c r="W33">
        <v>0.59880690621441701</v>
      </c>
      <c r="X33">
        <v>1.1856460040685599</v>
      </c>
      <c r="Y33">
        <v>-0.15565097555555901</v>
      </c>
      <c r="Z33">
        <v>-0.22748295097212001</v>
      </c>
      <c r="AA33">
        <v>1.0415013010201299</v>
      </c>
      <c r="AB33">
        <v>2939.9504036908884</v>
      </c>
      <c r="AC33">
        <v>2</v>
      </c>
      <c r="AD33">
        <v>0.42868127643214149</v>
      </c>
      <c r="AE33">
        <v>-2.40641039566141E-2</v>
      </c>
      <c r="AF33">
        <v>0.97430521524704705</v>
      </c>
      <c r="AG33">
        <v>6.0155351943968399E-2</v>
      </c>
      <c r="AH33">
        <v>-0.72713384586059004</v>
      </c>
      <c r="AI33">
        <v>0.38004777396329797</v>
      </c>
      <c r="AJ33">
        <v>-1.4182906969387501</v>
      </c>
      <c r="AK33">
        <v>48.0777517</v>
      </c>
      <c r="AL33">
        <v>7.3579641000000002</v>
      </c>
      <c r="AM33">
        <v>48.856372813999997</v>
      </c>
      <c r="AN33">
        <v>2.3525296170000001</v>
      </c>
    </row>
    <row r="34" spans="1:40" x14ac:dyDescent="0.35">
      <c r="A34">
        <v>42</v>
      </c>
      <c r="B34">
        <v>72</v>
      </c>
      <c r="C34" t="s">
        <v>48</v>
      </c>
      <c r="D34" t="s">
        <v>52</v>
      </c>
      <c r="E34" t="s">
        <v>68</v>
      </c>
      <c r="F34" t="s">
        <v>49</v>
      </c>
      <c r="G34">
        <v>5</v>
      </c>
      <c r="H34">
        <v>25</v>
      </c>
      <c r="I34">
        <v>7</v>
      </c>
      <c r="J34" t="s">
        <v>50</v>
      </c>
      <c r="K34" t="s">
        <v>46</v>
      </c>
      <c r="L34" t="s">
        <v>70</v>
      </c>
      <c r="M34">
        <v>505.64381411453508</v>
      </c>
      <c r="N34">
        <v>318</v>
      </c>
      <c r="O34">
        <v>230</v>
      </c>
      <c r="P34">
        <v>275</v>
      </c>
      <c r="Q34">
        <v>0</v>
      </c>
      <c r="R34">
        <v>0</v>
      </c>
      <c r="S34">
        <v>5.3230099791384085</v>
      </c>
      <c r="T34">
        <v>90.615999999999985</v>
      </c>
      <c r="U34">
        <v>1.11573792223403</v>
      </c>
      <c r="V34">
        <v>0.80288722813325297</v>
      </c>
      <c r="W34">
        <v>0.52082154240315903</v>
      </c>
      <c r="X34">
        <v>0.61908815691345198</v>
      </c>
      <c r="Y34">
        <v>1.5007680231051199</v>
      </c>
      <c r="Z34">
        <v>0.24292628533916899</v>
      </c>
      <c r="AA34">
        <v>8.5217386942517098E-2</v>
      </c>
      <c r="AB34">
        <v>3943</v>
      </c>
      <c r="AC34">
        <v>0</v>
      </c>
      <c r="AD34">
        <v>1</v>
      </c>
      <c r="AE34">
        <v>1.1088815174583</v>
      </c>
      <c r="AF34">
        <v>-0.117925881682461</v>
      </c>
      <c r="AG34">
        <v>-1.6521768688467</v>
      </c>
      <c r="AH34">
        <v>1.3020294701916799</v>
      </c>
      <c r="AI34">
        <v>-1.3056058315834</v>
      </c>
      <c r="AJ34">
        <v>1.31376920272373</v>
      </c>
      <c r="AK34">
        <v>46.098678999999997</v>
      </c>
      <c r="AL34">
        <v>4.7359530000000003</v>
      </c>
      <c r="AM34">
        <v>50.640682937000001</v>
      </c>
      <c r="AN34">
        <v>4.6610704270000003</v>
      </c>
    </row>
    <row r="35" spans="1:40" x14ac:dyDescent="0.35">
      <c r="A35">
        <v>43</v>
      </c>
      <c r="B35">
        <v>57</v>
      </c>
      <c r="C35" t="s">
        <v>40</v>
      </c>
      <c r="D35" t="s">
        <v>66</v>
      </c>
      <c r="E35" t="s">
        <v>68</v>
      </c>
      <c r="F35" t="s">
        <v>49</v>
      </c>
      <c r="G35">
        <v>6</v>
      </c>
      <c r="H35">
        <v>36</v>
      </c>
      <c r="I35">
        <v>6</v>
      </c>
      <c r="J35" t="s">
        <v>50</v>
      </c>
      <c r="K35" t="s">
        <v>46</v>
      </c>
      <c r="L35" t="s">
        <v>55</v>
      </c>
      <c r="M35">
        <v>345.8268988977585</v>
      </c>
      <c r="N35">
        <v>504</v>
      </c>
      <c r="O35">
        <v>336</v>
      </c>
      <c r="P35">
        <v>293</v>
      </c>
      <c r="Q35">
        <v>2.0794415416798357</v>
      </c>
      <c r="R35">
        <v>2.3025850929940459</v>
      </c>
      <c r="S35">
        <v>3.2580965380214821</v>
      </c>
      <c r="T35">
        <v>95.12</v>
      </c>
      <c r="U35">
        <v>0</v>
      </c>
      <c r="V35">
        <v>1.89305099905856</v>
      </c>
      <c r="W35">
        <v>0.59880690621441701</v>
      </c>
      <c r="X35">
        <v>1.1856460040685599</v>
      </c>
      <c r="Y35">
        <v>-0.15565097555555901</v>
      </c>
      <c r="Z35">
        <v>-0.22748295097212001</v>
      </c>
      <c r="AA35">
        <v>1.0415013010201299</v>
      </c>
      <c r="AB35">
        <v>2939.9504036908884</v>
      </c>
      <c r="AC35">
        <v>2</v>
      </c>
      <c r="AD35">
        <v>0.42868127643214149</v>
      </c>
      <c r="AE35">
        <v>-2.40641039566141E-2</v>
      </c>
      <c r="AF35">
        <v>1.6785205803944401</v>
      </c>
      <c r="AG35">
        <v>-0.53872134984478903</v>
      </c>
      <c r="AH35">
        <v>0.13165214812381101</v>
      </c>
      <c r="AI35">
        <v>0.850514261376634</v>
      </c>
      <c r="AJ35">
        <v>0.56722657430040602</v>
      </c>
      <c r="AK35">
        <v>48.0777517</v>
      </c>
      <c r="AL35">
        <v>7.3579641000000002</v>
      </c>
      <c r="AM35">
        <v>50.640682937000001</v>
      </c>
      <c r="AN35">
        <v>4.6610704270000003</v>
      </c>
    </row>
    <row r="36" spans="1:40" x14ac:dyDescent="0.35">
      <c r="A36">
        <v>44</v>
      </c>
      <c r="B36">
        <v>57</v>
      </c>
      <c r="C36" t="s">
        <v>40</v>
      </c>
      <c r="D36" t="s">
        <v>41</v>
      </c>
      <c r="E36" t="s">
        <v>42</v>
      </c>
      <c r="F36" t="s">
        <v>49</v>
      </c>
      <c r="G36">
        <v>4</v>
      </c>
      <c r="H36">
        <v>16</v>
      </c>
      <c r="I36">
        <v>5</v>
      </c>
      <c r="J36" t="s">
        <v>56</v>
      </c>
      <c r="K36" t="s">
        <v>46</v>
      </c>
      <c r="L36" t="s">
        <v>62</v>
      </c>
      <c r="M36">
        <v>136.7951962562953</v>
      </c>
      <c r="N36">
        <v>166</v>
      </c>
      <c r="O36">
        <v>140</v>
      </c>
      <c r="P36">
        <v>165</v>
      </c>
      <c r="Q36">
        <v>0.69314718055994529</v>
      </c>
      <c r="R36">
        <v>3.2580965380214821</v>
      </c>
      <c r="S36">
        <v>3.2580965380214821</v>
      </c>
      <c r="T36">
        <v>95.68</v>
      </c>
      <c r="U36">
        <v>0</v>
      </c>
      <c r="V36">
        <v>1.82802042479695</v>
      </c>
      <c r="W36">
        <v>0.99424279543483596</v>
      </c>
      <c r="X36">
        <v>0.99177342203587404</v>
      </c>
      <c r="Y36">
        <v>-0.96278755162326501</v>
      </c>
      <c r="Z36">
        <v>-0.75605764486205096</v>
      </c>
      <c r="AA36">
        <v>-0.80037586101695801</v>
      </c>
      <c r="AB36">
        <v>2092.91</v>
      </c>
      <c r="AC36">
        <v>0</v>
      </c>
      <c r="AD36">
        <v>2.1</v>
      </c>
      <c r="AE36">
        <v>-1.0768626388726401</v>
      </c>
      <c r="AF36">
        <v>0.73691090088025601</v>
      </c>
      <c r="AG36">
        <v>-5.1232347294431199E-2</v>
      </c>
      <c r="AH36">
        <v>-1.1538669493682701</v>
      </c>
      <c r="AI36">
        <v>-0.37323167323664302</v>
      </c>
      <c r="AJ36">
        <v>-2.14148358747974</v>
      </c>
      <c r="AK36">
        <v>49.042560999999999</v>
      </c>
      <c r="AL36">
        <v>3.9528660000000002</v>
      </c>
      <c r="AM36">
        <v>48.898623800000003</v>
      </c>
      <c r="AN36">
        <v>2.0937264</v>
      </c>
    </row>
    <row r="37" spans="1:40" x14ac:dyDescent="0.35">
      <c r="A37">
        <v>46</v>
      </c>
      <c r="B37">
        <v>72</v>
      </c>
      <c r="C37" t="s">
        <v>48</v>
      </c>
      <c r="D37" t="s">
        <v>52</v>
      </c>
      <c r="E37" t="s">
        <v>42</v>
      </c>
      <c r="F37" t="s">
        <v>43</v>
      </c>
      <c r="G37">
        <v>3</v>
      </c>
      <c r="H37">
        <v>9</v>
      </c>
      <c r="I37">
        <v>5</v>
      </c>
      <c r="J37" t="s">
        <v>56</v>
      </c>
      <c r="K37" t="s">
        <v>46</v>
      </c>
      <c r="L37" t="s">
        <v>55</v>
      </c>
      <c r="M37">
        <v>426.40282819807521</v>
      </c>
      <c r="N37">
        <v>554</v>
      </c>
      <c r="O37">
        <v>374</v>
      </c>
      <c r="P37">
        <v>249</v>
      </c>
      <c r="Q37">
        <v>2.0794415416798357</v>
      </c>
      <c r="R37">
        <v>2.3025850929940459</v>
      </c>
      <c r="S37">
        <v>3.2580965380214821</v>
      </c>
      <c r="T37">
        <v>95.12</v>
      </c>
      <c r="U37">
        <v>0</v>
      </c>
      <c r="V37">
        <v>1.89305099905856</v>
      </c>
      <c r="W37">
        <v>0.59880690621441701</v>
      </c>
      <c r="X37">
        <v>1.1856460040685599</v>
      </c>
      <c r="Y37">
        <v>-0.15565097555555901</v>
      </c>
      <c r="Z37">
        <v>-0.22748295097212001</v>
      </c>
      <c r="AA37">
        <v>1.0415013010201299</v>
      </c>
      <c r="AB37">
        <v>2939.9504036908884</v>
      </c>
      <c r="AC37">
        <v>2</v>
      </c>
      <c r="AD37">
        <v>0.42868127643214149</v>
      </c>
      <c r="AE37">
        <v>-2.40641039566141E-2</v>
      </c>
      <c r="AF37">
        <v>0.113183708664882</v>
      </c>
      <c r="AG37">
        <v>1.58812874214372</v>
      </c>
      <c r="AH37">
        <v>-1.2292182722290801</v>
      </c>
      <c r="AI37">
        <v>0.65420120920832903</v>
      </c>
      <c r="AJ37">
        <v>-0.66831585178216502</v>
      </c>
      <c r="AK37">
        <v>48.0777517</v>
      </c>
      <c r="AL37">
        <v>7.3579641000000002</v>
      </c>
      <c r="AM37">
        <v>50.617444444444438</v>
      </c>
      <c r="AN37">
        <v>2.9539999999999997</v>
      </c>
    </row>
    <row r="38" spans="1:40" x14ac:dyDescent="0.35">
      <c r="A38">
        <v>48</v>
      </c>
      <c r="B38">
        <v>57</v>
      </c>
      <c r="C38" t="s">
        <v>40</v>
      </c>
      <c r="D38" t="s">
        <v>41</v>
      </c>
      <c r="E38" t="s">
        <v>42</v>
      </c>
      <c r="F38" t="s">
        <v>61</v>
      </c>
      <c r="G38">
        <v>5</v>
      </c>
      <c r="H38">
        <v>25</v>
      </c>
      <c r="I38">
        <v>5</v>
      </c>
      <c r="J38" t="s">
        <v>45</v>
      </c>
      <c r="K38" t="s">
        <v>46</v>
      </c>
      <c r="L38" t="s">
        <v>72</v>
      </c>
      <c r="M38">
        <v>492.64404854898049</v>
      </c>
      <c r="N38">
        <v>576</v>
      </c>
      <c r="O38">
        <v>361</v>
      </c>
      <c r="P38">
        <v>326</v>
      </c>
      <c r="Q38">
        <v>0.69314718055994529</v>
      </c>
      <c r="R38">
        <v>1.3862943611198906</v>
      </c>
      <c r="S38">
        <v>4.5538768916005408</v>
      </c>
      <c r="T38">
        <v>89.340161030595823</v>
      </c>
      <c r="U38">
        <v>1.4712304197281412</v>
      </c>
      <c r="V38">
        <v>0.59716251398508702</v>
      </c>
      <c r="W38">
        <v>0.91068296986709796</v>
      </c>
      <c r="X38">
        <v>1.2273243988355</v>
      </c>
      <c r="Y38">
        <v>-0.4121809470949</v>
      </c>
      <c r="Z38">
        <v>-0.86472582726521097</v>
      </c>
      <c r="AA38">
        <v>-1.0172779374790899</v>
      </c>
      <c r="AB38">
        <v>1828.1689246701658</v>
      </c>
      <c r="AC38">
        <v>1.1127464888636687</v>
      </c>
      <c r="AD38">
        <v>1.8630656830756136</v>
      </c>
      <c r="AE38">
        <v>-0.53926882203722504</v>
      </c>
      <c r="AF38">
        <v>1.52858649518351</v>
      </c>
      <c r="AG38">
        <v>1.11489968825912</v>
      </c>
      <c r="AH38">
        <v>0.43907374271923899</v>
      </c>
      <c r="AI38">
        <v>1.4836044289928401</v>
      </c>
      <c r="AJ38">
        <v>0.76193534118230599</v>
      </c>
      <c r="AK38">
        <v>44.503641999999999</v>
      </c>
      <c r="AL38">
        <v>1.1863669999999999</v>
      </c>
      <c r="AM38">
        <v>48.856372813999997</v>
      </c>
      <c r="AN38">
        <v>2.3525296170000001</v>
      </c>
    </row>
    <row r="39" spans="1:40" x14ac:dyDescent="0.35">
      <c r="A39">
        <v>50</v>
      </c>
      <c r="B39">
        <v>57</v>
      </c>
      <c r="C39" t="s">
        <v>40</v>
      </c>
      <c r="D39" t="s">
        <v>66</v>
      </c>
      <c r="E39" t="s">
        <v>42</v>
      </c>
      <c r="F39" t="s">
        <v>49</v>
      </c>
      <c r="G39">
        <v>5</v>
      </c>
      <c r="H39">
        <v>25</v>
      </c>
      <c r="I39">
        <v>5</v>
      </c>
      <c r="J39" t="s">
        <v>45</v>
      </c>
      <c r="K39" t="s">
        <v>44</v>
      </c>
      <c r="L39" t="s">
        <v>62</v>
      </c>
      <c r="M39">
        <v>118.81389814254101</v>
      </c>
      <c r="N39">
        <v>143</v>
      </c>
      <c r="O39">
        <v>100</v>
      </c>
      <c r="P39">
        <v>80</v>
      </c>
      <c r="Q39">
        <v>0.69314718055994529</v>
      </c>
      <c r="R39">
        <v>3.2580965380214821</v>
      </c>
      <c r="S39">
        <v>3.2580965380214821</v>
      </c>
      <c r="T39">
        <v>95.68</v>
      </c>
      <c r="U39">
        <v>0</v>
      </c>
      <c r="V39">
        <v>1.82802042479695</v>
      </c>
      <c r="W39">
        <v>0.99424279543483596</v>
      </c>
      <c r="X39">
        <v>0.99177342203587404</v>
      </c>
      <c r="Y39">
        <v>-0.96278755162326501</v>
      </c>
      <c r="Z39">
        <v>-0.75605764486205096</v>
      </c>
      <c r="AA39">
        <v>-0.80037586101695801</v>
      </c>
      <c r="AB39">
        <v>2092.91</v>
      </c>
      <c r="AC39">
        <v>0</v>
      </c>
      <c r="AD39">
        <v>2.1</v>
      </c>
      <c r="AE39">
        <v>-1.0768626388726401</v>
      </c>
      <c r="AF39">
        <v>-0.24656183277992999</v>
      </c>
      <c r="AG39">
        <v>0.94713947543992105</v>
      </c>
      <c r="AH39">
        <v>1.10874719804565</v>
      </c>
      <c r="AI39">
        <v>1.69210914865933</v>
      </c>
      <c r="AJ39">
        <v>-0.30727317137575799</v>
      </c>
      <c r="AK39">
        <v>49.042560999999999</v>
      </c>
      <c r="AL39">
        <v>3.9528660000000002</v>
      </c>
      <c r="AM39">
        <v>48.856372813999997</v>
      </c>
      <c r="AN39">
        <v>2.3525296170000001</v>
      </c>
    </row>
    <row r="40" spans="1:40" x14ac:dyDescent="0.35">
      <c r="A40">
        <v>51</v>
      </c>
      <c r="B40">
        <v>72</v>
      </c>
      <c r="C40" t="s">
        <v>40</v>
      </c>
      <c r="D40" t="s">
        <v>52</v>
      </c>
      <c r="E40" t="s">
        <v>42</v>
      </c>
      <c r="F40" t="s">
        <v>61</v>
      </c>
      <c r="G40">
        <v>4</v>
      </c>
      <c r="H40">
        <v>16</v>
      </c>
      <c r="I40">
        <v>5</v>
      </c>
      <c r="J40" t="s">
        <v>50</v>
      </c>
      <c r="K40" t="s">
        <v>46</v>
      </c>
      <c r="L40" t="s">
        <v>71</v>
      </c>
      <c r="M40">
        <v>524.7581922936273</v>
      </c>
      <c r="N40">
        <v>531</v>
      </c>
      <c r="O40">
        <v>280</v>
      </c>
      <c r="P40">
        <v>361</v>
      </c>
      <c r="Q40">
        <v>4.5747109785033828</v>
      </c>
      <c r="R40">
        <v>3.5263605246161616</v>
      </c>
      <c r="S40">
        <v>5.1416635565026603</v>
      </c>
      <c r="T40">
        <v>92.265120976563693</v>
      </c>
      <c r="U40">
        <v>2.9351954657362995</v>
      </c>
      <c r="V40">
        <v>-8.3509539921858403E-2</v>
      </c>
      <c r="W40">
        <v>-8.6188355584626702E-2</v>
      </c>
      <c r="X40">
        <v>-6.2117403422328299E-2</v>
      </c>
      <c r="Y40">
        <v>-0.51135009403950604</v>
      </c>
      <c r="Z40">
        <v>-0.669554030021006</v>
      </c>
      <c r="AA40">
        <v>-1.4915282051312999</v>
      </c>
      <c r="AB40">
        <v>1813.5248996931791</v>
      </c>
      <c r="AC40">
        <v>1.6535284399339156</v>
      </c>
      <c r="AD40">
        <v>0.49421760679726223</v>
      </c>
      <c r="AE40">
        <v>-0.18520258641298501</v>
      </c>
      <c r="AF40">
        <v>-0.44202365712020603</v>
      </c>
      <c r="AG40">
        <v>0.206321053199441</v>
      </c>
      <c r="AH40">
        <v>-0.36001636721103603</v>
      </c>
      <c r="AI40">
        <v>0.41505524790665699</v>
      </c>
      <c r="AJ40">
        <v>-0.325695482134712</v>
      </c>
      <c r="AK40">
        <v>45.071283999999999</v>
      </c>
      <c r="AL40">
        <v>4.8370730000000002</v>
      </c>
      <c r="AM40">
        <v>49.493047619047609</v>
      </c>
      <c r="AN40">
        <v>2.4257619047619046</v>
      </c>
    </row>
    <row r="41" spans="1:40" x14ac:dyDescent="0.35">
      <c r="A41">
        <v>53</v>
      </c>
      <c r="B41">
        <v>42</v>
      </c>
      <c r="C41" t="s">
        <v>40</v>
      </c>
      <c r="D41" t="s">
        <v>66</v>
      </c>
      <c r="E41" t="s">
        <v>42</v>
      </c>
      <c r="F41" t="s">
        <v>49</v>
      </c>
      <c r="G41">
        <v>3</v>
      </c>
      <c r="H41">
        <v>9</v>
      </c>
      <c r="I41">
        <v>5</v>
      </c>
      <c r="J41" t="s">
        <v>56</v>
      </c>
      <c r="K41" t="s">
        <v>46</v>
      </c>
      <c r="L41" t="s">
        <v>58</v>
      </c>
      <c r="M41">
        <v>327.73263920713151</v>
      </c>
      <c r="N41">
        <v>436</v>
      </c>
      <c r="O41">
        <v>274</v>
      </c>
      <c r="P41">
        <v>461</v>
      </c>
      <c r="Q41">
        <v>3.2580965380214821</v>
      </c>
      <c r="R41">
        <v>2.8903717578961645</v>
      </c>
      <c r="S41">
        <v>4.7535901911063645</v>
      </c>
      <c r="T41">
        <v>90.794285714285706</v>
      </c>
      <c r="U41">
        <v>0</v>
      </c>
      <c r="V41">
        <v>0.63905639120027702</v>
      </c>
      <c r="W41">
        <v>0.692565001186083</v>
      </c>
      <c r="X41">
        <v>0.56469097254324596</v>
      </c>
      <c r="Y41">
        <v>1.4483117406157899</v>
      </c>
      <c r="Z41">
        <v>1.7680602694732599</v>
      </c>
      <c r="AA41">
        <v>0.26366440732357699</v>
      </c>
      <c r="AB41">
        <v>4236</v>
      </c>
      <c r="AC41">
        <v>0</v>
      </c>
      <c r="AD41">
        <v>4</v>
      </c>
      <c r="AE41">
        <v>1.6751267091712101</v>
      </c>
      <c r="AF41">
        <v>0.72531148674487</v>
      </c>
      <c r="AG41">
        <v>1.26946816326556</v>
      </c>
      <c r="AH41">
        <v>0.88035739970516702</v>
      </c>
      <c r="AI41">
        <v>-1.1155241325534899</v>
      </c>
      <c r="AJ41">
        <v>-0.26644275580645099</v>
      </c>
      <c r="AK41">
        <v>45.198478000000001</v>
      </c>
      <c r="AL41">
        <v>-0.74874399999999997</v>
      </c>
      <c r="AM41">
        <v>44.189499999999995</v>
      </c>
      <c r="AN41">
        <v>3.1425000000000001</v>
      </c>
    </row>
    <row r="42" spans="1:40" x14ac:dyDescent="0.35">
      <c r="A42">
        <v>54</v>
      </c>
      <c r="B42">
        <v>57</v>
      </c>
      <c r="C42" t="s">
        <v>40</v>
      </c>
      <c r="D42" t="s">
        <v>52</v>
      </c>
      <c r="E42" t="s">
        <v>42</v>
      </c>
      <c r="F42" t="s">
        <v>43</v>
      </c>
      <c r="G42">
        <v>4</v>
      </c>
      <c r="H42">
        <v>16</v>
      </c>
      <c r="I42">
        <v>6</v>
      </c>
      <c r="J42" t="s">
        <v>56</v>
      </c>
      <c r="K42" t="s">
        <v>46</v>
      </c>
      <c r="L42" t="s">
        <v>60</v>
      </c>
      <c r="M42">
        <v>63.936090106325857</v>
      </c>
      <c r="N42">
        <v>115</v>
      </c>
      <c r="O42">
        <v>83</v>
      </c>
      <c r="P42">
        <v>112</v>
      </c>
      <c r="Q42">
        <v>3.8501476017100584</v>
      </c>
      <c r="R42">
        <v>2.9957322735539909</v>
      </c>
      <c r="S42">
        <v>5.4424177105217932</v>
      </c>
      <c r="T42">
        <v>88.975873222691746</v>
      </c>
      <c r="U42">
        <v>2.5514539469641888</v>
      </c>
      <c r="V42">
        <v>2.9336799326863701</v>
      </c>
      <c r="W42">
        <v>3.3730943146768602</v>
      </c>
      <c r="X42">
        <v>3.6072071704345601</v>
      </c>
      <c r="Y42">
        <v>-0.19189497559235799</v>
      </c>
      <c r="Z42">
        <v>0.17569111512999699</v>
      </c>
      <c r="AA42">
        <v>-0.304970615080496</v>
      </c>
      <c r="AB42">
        <v>1906.836709612184</v>
      </c>
      <c r="AC42">
        <v>0.7978420820676605</v>
      </c>
      <c r="AD42">
        <v>2.1056638128240834</v>
      </c>
      <c r="AE42">
        <v>-0.25037207080954499</v>
      </c>
      <c r="AF42">
        <v>-0.73850666086428496</v>
      </c>
      <c r="AG42">
        <v>-2.5690764068831702</v>
      </c>
      <c r="AH42">
        <v>1.5060955614295499</v>
      </c>
      <c r="AI42">
        <v>-1.63181525804783</v>
      </c>
      <c r="AJ42">
        <v>1.1506458402569799</v>
      </c>
      <c r="AK42">
        <v>44.055988999999997</v>
      </c>
      <c r="AL42">
        <v>4.8317350000000001</v>
      </c>
      <c r="AM42">
        <v>44.581000000000003</v>
      </c>
      <c r="AN42">
        <v>5.1572499999999994</v>
      </c>
    </row>
    <row r="43" spans="1:40" x14ac:dyDescent="0.35">
      <c r="A43">
        <v>56</v>
      </c>
      <c r="B43">
        <v>57</v>
      </c>
      <c r="C43" t="s">
        <v>40</v>
      </c>
      <c r="D43" t="s">
        <v>41</v>
      </c>
      <c r="E43" t="s">
        <v>42</v>
      </c>
      <c r="F43" t="s">
        <v>49</v>
      </c>
      <c r="G43">
        <v>6</v>
      </c>
      <c r="H43">
        <v>36</v>
      </c>
      <c r="I43">
        <v>6</v>
      </c>
      <c r="J43" t="s">
        <v>50</v>
      </c>
      <c r="K43" t="s">
        <v>46</v>
      </c>
      <c r="L43" t="s">
        <v>71</v>
      </c>
      <c r="M43">
        <v>137.8625193375631</v>
      </c>
      <c r="N43">
        <v>30</v>
      </c>
      <c r="O43">
        <v>26</v>
      </c>
      <c r="P43">
        <v>12</v>
      </c>
      <c r="Q43">
        <v>4.5747109785033828</v>
      </c>
      <c r="R43">
        <v>3.5263605246161616</v>
      </c>
      <c r="S43">
        <v>5.1416635565026603</v>
      </c>
      <c r="T43">
        <v>92.265120976563693</v>
      </c>
      <c r="U43">
        <v>2.9351954657362995</v>
      </c>
      <c r="V43">
        <v>-8.3509539921858403E-2</v>
      </c>
      <c r="W43">
        <v>-8.6188355584626702E-2</v>
      </c>
      <c r="X43">
        <v>-6.2117403422328299E-2</v>
      </c>
      <c r="Y43">
        <v>-0.51135009403950604</v>
      </c>
      <c r="Z43">
        <v>-0.669554030021006</v>
      </c>
      <c r="AA43">
        <v>-1.4915282051312999</v>
      </c>
      <c r="AB43">
        <v>1813.5248996931791</v>
      </c>
      <c r="AC43">
        <v>1.6535284399339156</v>
      </c>
      <c r="AD43">
        <v>0.49421760679726223</v>
      </c>
      <c r="AE43">
        <v>-0.18520258641298501</v>
      </c>
      <c r="AF43">
        <v>0.74635507160672399</v>
      </c>
      <c r="AG43">
        <v>-0.711215454526406</v>
      </c>
      <c r="AH43">
        <v>0.63961017500166495</v>
      </c>
      <c r="AI43">
        <v>-0.30310820056153898</v>
      </c>
      <c r="AJ43">
        <v>0.79853141367856495</v>
      </c>
      <c r="AK43">
        <v>45.071283999999999</v>
      </c>
      <c r="AL43">
        <v>4.8370730000000002</v>
      </c>
      <c r="AM43">
        <v>46.309666666666665</v>
      </c>
      <c r="AN43">
        <v>4.82</v>
      </c>
    </row>
    <row r="44" spans="1:40" x14ac:dyDescent="0.35">
      <c r="A44">
        <v>58</v>
      </c>
      <c r="B44">
        <v>42</v>
      </c>
      <c r="C44" t="s">
        <v>48</v>
      </c>
      <c r="D44" t="s">
        <v>66</v>
      </c>
      <c r="E44" t="s">
        <v>42</v>
      </c>
      <c r="F44" t="s">
        <v>49</v>
      </c>
      <c r="G44">
        <v>7</v>
      </c>
      <c r="H44">
        <v>49</v>
      </c>
      <c r="I44">
        <v>6</v>
      </c>
      <c r="J44" t="s">
        <v>50</v>
      </c>
      <c r="K44" t="s">
        <v>46</v>
      </c>
      <c r="L44" t="s">
        <v>51</v>
      </c>
      <c r="M44">
        <v>542.20300532061901</v>
      </c>
      <c r="N44">
        <v>661</v>
      </c>
      <c r="O44">
        <v>401</v>
      </c>
      <c r="P44">
        <v>416</v>
      </c>
      <c r="Q44">
        <v>0</v>
      </c>
      <c r="R44">
        <v>1.3862943611198906</v>
      </c>
      <c r="S44">
        <v>4.3438054218536841</v>
      </c>
      <c r="T44">
        <v>91.16</v>
      </c>
      <c r="U44">
        <v>2.3174698847378039</v>
      </c>
      <c r="V44">
        <v>-0.58471966768986094</v>
      </c>
      <c r="W44">
        <v>-0.55557078097057</v>
      </c>
      <c r="X44">
        <v>-0.47566183223429498</v>
      </c>
      <c r="Y44">
        <v>-0.95884680312505799</v>
      </c>
      <c r="Z44">
        <v>-0.76521334103430205</v>
      </c>
      <c r="AA44">
        <v>-0.77245900699560299</v>
      </c>
      <c r="AB44">
        <v>1376</v>
      </c>
      <c r="AC44">
        <v>0</v>
      </c>
      <c r="AD44">
        <v>2</v>
      </c>
      <c r="AE44">
        <v>-1.2769936012368599</v>
      </c>
      <c r="AF44">
        <v>-8.2044349286894705E-2</v>
      </c>
      <c r="AG44">
        <v>-1.8275054219765501</v>
      </c>
      <c r="AH44">
        <v>-0.44792778784357801</v>
      </c>
      <c r="AI44">
        <v>-0.35224220293750402</v>
      </c>
      <c r="AJ44">
        <v>1.09746061618225</v>
      </c>
      <c r="AK44">
        <v>47.815207299999997</v>
      </c>
      <c r="AL44">
        <v>3.8001657</v>
      </c>
      <c r="AM44">
        <v>43.182000000000002</v>
      </c>
      <c r="AN44">
        <v>5.9459999999999997</v>
      </c>
    </row>
    <row r="45" spans="1:40" x14ac:dyDescent="0.35">
      <c r="A45">
        <v>59</v>
      </c>
      <c r="B45">
        <v>42</v>
      </c>
      <c r="C45" t="s">
        <v>48</v>
      </c>
      <c r="D45" t="s">
        <v>41</v>
      </c>
      <c r="E45" t="s">
        <v>42</v>
      </c>
      <c r="F45" t="s">
        <v>49</v>
      </c>
      <c r="G45">
        <v>5</v>
      </c>
      <c r="H45">
        <v>25</v>
      </c>
      <c r="I45">
        <v>6</v>
      </c>
      <c r="J45" t="s">
        <v>50</v>
      </c>
      <c r="K45" t="s">
        <v>46</v>
      </c>
      <c r="L45" t="s">
        <v>59</v>
      </c>
      <c r="M45">
        <v>195.9519565416515</v>
      </c>
      <c r="N45">
        <v>246</v>
      </c>
      <c r="O45">
        <v>174</v>
      </c>
      <c r="P45">
        <v>127</v>
      </c>
      <c r="Q45">
        <v>1.3862943611198906</v>
      </c>
      <c r="R45">
        <v>1.3862943611198906</v>
      </c>
      <c r="S45">
        <v>4.9972122737641147</v>
      </c>
      <c r="T45">
        <v>90.035146103896111</v>
      </c>
      <c r="U45">
        <v>1.418823059726001</v>
      </c>
      <c r="V45">
        <v>-0.52223564926899602</v>
      </c>
      <c r="W45">
        <v>-0.46072710968150399</v>
      </c>
      <c r="X45">
        <v>-0.361786268345754</v>
      </c>
      <c r="Y45">
        <v>-0.552694479448822</v>
      </c>
      <c r="Z45">
        <v>2.1676297177028899E-2</v>
      </c>
      <c r="AA45">
        <v>0.625223797005378</v>
      </c>
      <c r="AB45">
        <v>2234.6992515788952</v>
      </c>
      <c r="AC45">
        <v>0</v>
      </c>
      <c r="AD45">
        <v>0.12112735591028891</v>
      </c>
      <c r="AE45">
        <v>-0.60610368582010199</v>
      </c>
      <c r="AF45">
        <v>-0.43780124529856002</v>
      </c>
      <c r="AG45">
        <v>-0.77525432746826495</v>
      </c>
      <c r="AH45">
        <v>0.28205059848716202</v>
      </c>
      <c r="AI45">
        <v>0.214796414614388</v>
      </c>
      <c r="AJ45">
        <v>-0.31069922929803701</v>
      </c>
      <c r="AK45">
        <v>47.411035099999999</v>
      </c>
      <c r="AL45">
        <v>0.98369799999999996</v>
      </c>
      <c r="AM45">
        <v>47.206794299999999</v>
      </c>
      <c r="AN45">
        <v>-1.5949811</v>
      </c>
    </row>
    <row r="46" spans="1:40" x14ac:dyDescent="0.35">
      <c r="A46">
        <v>60</v>
      </c>
      <c r="B46">
        <v>72</v>
      </c>
      <c r="C46" t="s">
        <v>40</v>
      </c>
      <c r="D46" t="s">
        <v>52</v>
      </c>
      <c r="E46" t="s">
        <v>42</v>
      </c>
      <c r="F46" t="s">
        <v>49</v>
      </c>
      <c r="G46">
        <v>4</v>
      </c>
      <c r="H46">
        <v>16</v>
      </c>
      <c r="I46">
        <v>6</v>
      </c>
      <c r="J46" t="s">
        <v>45</v>
      </c>
      <c r="K46" t="s">
        <v>46</v>
      </c>
      <c r="L46" t="s">
        <v>65</v>
      </c>
      <c r="M46">
        <v>67.830995116456847</v>
      </c>
      <c r="N46">
        <v>88</v>
      </c>
      <c r="O46">
        <v>65</v>
      </c>
      <c r="P46">
        <v>125</v>
      </c>
      <c r="Q46">
        <v>0</v>
      </c>
      <c r="R46">
        <v>0</v>
      </c>
      <c r="S46">
        <v>4.4543472962535073</v>
      </c>
      <c r="T46">
        <v>89.333044733044744</v>
      </c>
      <c r="U46">
        <v>1.2554235437523662</v>
      </c>
      <c r="V46">
        <v>1.64975517953679</v>
      </c>
      <c r="W46">
        <v>2.4220969657957299</v>
      </c>
      <c r="X46">
        <v>1.68128863126442</v>
      </c>
      <c r="Y46">
        <v>2.0553398017137301</v>
      </c>
      <c r="Z46">
        <v>2.0921400018840099</v>
      </c>
      <c r="AA46">
        <v>2.0596698968962701</v>
      </c>
      <c r="AB46">
        <v>3262.71</v>
      </c>
      <c r="AC46">
        <v>0.33</v>
      </c>
      <c r="AD46">
        <v>0.66</v>
      </c>
      <c r="AE46">
        <v>1.9221838973381</v>
      </c>
      <c r="AF46">
        <v>0.94492227135947904</v>
      </c>
      <c r="AG46">
        <v>0.15775291294398999</v>
      </c>
      <c r="AH46">
        <v>-1.54158038803984</v>
      </c>
      <c r="AI46">
        <v>-7.0976605774560594E-2</v>
      </c>
      <c r="AJ46">
        <v>-0.30304106490717297</v>
      </c>
      <c r="AK46">
        <v>43.537466000000002</v>
      </c>
      <c r="AL46">
        <v>6.4627330000000001</v>
      </c>
      <c r="AM46">
        <v>43.738221299999999</v>
      </c>
      <c r="AN46">
        <v>7.2576837999999997</v>
      </c>
    </row>
    <row r="47" spans="1:40" x14ac:dyDescent="0.35">
      <c r="A47">
        <v>61</v>
      </c>
      <c r="B47">
        <v>72</v>
      </c>
      <c r="C47" t="s">
        <v>40</v>
      </c>
      <c r="D47" t="s">
        <v>52</v>
      </c>
      <c r="E47" t="s">
        <v>42</v>
      </c>
      <c r="F47" t="s">
        <v>49</v>
      </c>
      <c r="G47">
        <v>5</v>
      </c>
      <c r="H47">
        <v>25</v>
      </c>
      <c r="I47">
        <v>5</v>
      </c>
      <c r="J47" t="s">
        <v>50</v>
      </c>
      <c r="K47" t="s">
        <v>46</v>
      </c>
      <c r="L47" t="s">
        <v>62</v>
      </c>
      <c r="M47">
        <v>139.90996020098709</v>
      </c>
      <c r="N47">
        <v>179</v>
      </c>
      <c r="O47">
        <v>130</v>
      </c>
      <c r="P47">
        <v>147</v>
      </c>
      <c r="Q47">
        <v>0.69314718055994529</v>
      </c>
      <c r="R47">
        <v>3.2580965380214821</v>
      </c>
      <c r="S47">
        <v>3.2580965380214821</v>
      </c>
      <c r="T47">
        <v>95.68</v>
      </c>
      <c r="U47">
        <v>0</v>
      </c>
      <c r="V47">
        <v>1.82802042479695</v>
      </c>
      <c r="W47">
        <v>0.99424279543483596</v>
      </c>
      <c r="X47">
        <v>0.99177342203587404</v>
      </c>
      <c r="Y47">
        <v>-0.96278755162326501</v>
      </c>
      <c r="Z47">
        <v>-0.75605764486205096</v>
      </c>
      <c r="AA47">
        <v>-0.80037586101695801</v>
      </c>
      <c r="AB47">
        <v>2092.91</v>
      </c>
      <c r="AC47">
        <v>0</v>
      </c>
      <c r="AD47">
        <v>2.1</v>
      </c>
      <c r="AE47">
        <v>-1.0768626388726401</v>
      </c>
      <c r="AF47">
        <v>0.19276176207992901</v>
      </c>
      <c r="AG47">
        <v>1.2569320606418599</v>
      </c>
      <c r="AH47">
        <v>0.51807938565447698</v>
      </c>
      <c r="AI47">
        <v>0.197783530614773</v>
      </c>
      <c r="AJ47">
        <v>1.1687343735764699</v>
      </c>
      <c r="AK47">
        <v>49.042560999999999</v>
      </c>
      <c r="AL47">
        <v>3.9528660000000002</v>
      </c>
      <c r="AM47">
        <v>49.052455909000003</v>
      </c>
      <c r="AN47">
        <v>2.0353137179999998</v>
      </c>
    </row>
    <row r="48" spans="1:40" x14ac:dyDescent="0.35">
      <c r="A48">
        <v>63</v>
      </c>
      <c r="B48">
        <v>72</v>
      </c>
      <c r="C48" t="s">
        <v>40</v>
      </c>
      <c r="D48" t="s">
        <v>52</v>
      </c>
      <c r="E48" t="s">
        <v>68</v>
      </c>
      <c r="F48" t="s">
        <v>49</v>
      </c>
      <c r="G48">
        <v>6</v>
      </c>
      <c r="H48">
        <v>36</v>
      </c>
      <c r="I48">
        <v>7</v>
      </c>
      <c r="J48" t="s">
        <v>50</v>
      </c>
      <c r="K48" t="s">
        <v>46</v>
      </c>
      <c r="L48" t="s">
        <v>62</v>
      </c>
      <c r="M48">
        <v>185.02215271766741</v>
      </c>
      <c r="N48">
        <v>263</v>
      </c>
      <c r="O48">
        <v>231</v>
      </c>
      <c r="P48">
        <v>208</v>
      </c>
      <c r="Q48">
        <v>0.69314718055994529</v>
      </c>
      <c r="R48">
        <v>3.2580965380214821</v>
      </c>
      <c r="S48">
        <v>3.2580965380214821</v>
      </c>
      <c r="T48">
        <v>95.68</v>
      </c>
      <c r="U48">
        <v>0</v>
      </c>
      <c r="V48">
        <v>1.82802042479695</v>
      </c>
      <c r="W48">
        <v>0.99424279543483596</v>
      </c>
      <c r="X48">
        <v>0.99177342203587404</v>
      </c>
      <c r="Y48">
        <v>-0.96278755162326501</v>
      </c>
      <c r="Z48">
        <v>-0.75605764486205096</v>
      </c>
      <c r="AA48">
        <v>-0.80037586101695801</v>
      </c>
      <c r="AB48">
        <v>2092.91</v>
      </c>
      <c r="AC48">
        <v>0</v>
      </c>
      <c r="AD48">
        <v>2.1</v>
      </c>
      <c r="AE48">
        <v>-1.0768626388726401</v>
      </c>
      <c r="AF48">
        <v>1.2659979517850699</v>
      </c>
      <c r="AG48">
        <v>-1.1179385000959099</v>
      </c>
      <c r="AH48">
        <v>-1.5566110301557401</v>
      </c>
      <c r="AI48">
        <v>-0.138346645158929</v>
      </c>
      <c r="AJ48">
        <v>-0.180619487510988</v>
      </c>
      <c r="AK48">
        <v>49.042560999999999</v>
      </c>
      <c r="AL48">
        <v>3.9528660000000002</v>
      </c>
      <c r="AM48">
        <v>50.640682937000001</v>
      </c>
      <c r="AN48">
        <v>4.6610704270000003</v>
      </c>
    </row>
    <row r="49" spans="1:40" x14ac:dyDescent="0.35">
      <c r="A49">
        <v>64</v>
      </c>
      <c r="B49">
        <v>72</v>
      </c>
      <c r="C49" t="s">
        <v>40</v>
      </c>
      <c r="D49" t="s">
        <v>52</v>
      </c>
      <c r="E49" t="s">
        <v>42</v>
      </c>
      <c r="F49" t="s">
        <v>49</v>
      </c>
      <c r="G49">
        <v>5</v>
      </c>
      <c r="H49">
        <v>25</v>
      </c>
      <c r="I49">
        <v>5</v>
      </c>
      <c r="J49" t="s">
        <v>56</v>
      </c>
      <c r="K49" t="s">
        <v>46</v>
      </c>
      <c r="L49" t="s">
        <v>57</v>
      </c>
      <c r="M49">
        <v>295.4735176876232</v>
      </c>
      <c r="N49">
        <v>352</v>
      </c>
      <c r="O49">
        <v>226</v>
      </c>
      <c r="P49">
        <v>256</v>
      </c>
      <c r="Q49">
        <v>0.69314718055994529</v>
      </c>
      <c r="R49">
        <v>3.6109179126442243</v>
      </c>
      <c r="S49">
        <v>5.8833223884882786</v>
      </c>
      <c r="T49">
        <v>90.922105263157903</v>
      </c>
      <c r="U49">
        <v>2.3923758041545438</v>
      </c>
      <c r="V49">
        <v>-0.399596989308249</v>
      </c>
      <c r="W49">
        <v>-0.58810405700346202</v>
      </c>
      <c r="X49">
        <v>-0.29041857108635599</v>
      </c>
      <c r="Y49">
        <v>-0.846122564821426</v>
      </c>
      <c r="Z49">
        <v>-0.92679578564836795</v>
      </c>
      <c r="AA49">
        <v>0.86332342905974202</v>
      </c>
      <c r="AB49">
        <v>2050</v>
      </c>
      <c r="AC49">
        <v>1</v>
      </c>
      <c r="AD49">
        <v>2</v>
      </c>
      <c r="AE49">
        <v>-0.51011828243844404</v>
      </c>
      <c r="AF49">
        <v>1.2439157276970201</v>
      </c>
      <c r="AG49">
        <v>-0.51465611627521302</v>
      </c>
      <c r="AH49">
        <v>-7.5216665475523706E-2</v>
      </c>
      <c r="AI49">
        <v>0.29623732027570898</v>
      </c>
      <c r="AJ49">
        <v>-1.15508791988382</v>
      </c>
      <c r="AK49">
        <v>47.023905999999997</v>
      </c>
      <c r="AL49">
        <v>4.8380429999999999</v>
      </c>
      <c r="AM49">
        <v>48.447000000000003</v>
      </c>
      <c r="AN49">
        <v>1.506</v>
      </c>
    </row>
    <row r="50" spans="1:40" x14ac:dyDescent="0.35">
      <c r="A50">
        <v>65</v>
      </c>
      <c r="B50">
        <v>72</v>
      </c>
      <c r="C50" t="s">
        <v>40</v>
      </c>
      <c r="D50" t="s">
        <v>52</v>
      </c>
      <c r="E50" t="s">
        <v>42</v>
      </c>
      <c r="F50" t="s">
        <v>49</v>
      </c>
      <c r="G50">
        <v>5</v>
      </c>
      <c r="H50">
        <v>25</v>
      </c>
      <c r="I50">
        <v>5</v>
      </c>
      <c r="J50" t="s">
        <v>50</v>
      </c>
      <c r="K50" t="s">
        <v>46</v>
      </c>
      <c r="L50" t="s">
        <v>57</v>
      </c>
      <c r="M50">
        <v>79.289981953079661</v>
      </c>
      <c r="N50">
        <v>112</v>
      </c>
      <c r="O50">
        <v>83</v>
      </c>
      <c r="P50">
        <v>143</v>
      </c>
      <c r="Q50">
        <v>0.69314718055994529</v>
      </c>
      <c r="R50">
        <v>3.6109179126442243</v>
      </c>
      <c r="S50">
        <v>5.8833223884882786</v>
      </c>
      <c r="T50">
        <v>90.922105263157903</v>
      </c>
      <c r="U50">
        <v>2.3923758041545438</v>
      </c>
      <c r="V50">
        <v>-0.399596989308249</v>
      </c>
      <c r="W50">
        <v>-0.58810405700346202</v>
      </c>
      <c r="X50">
        <v>-0.29041857108635599</v>
      </c>
      <c r="Y50">
        <v>-0.846122564821426</v>
      </c>
      <c r="Z50">
        <v>-0.92679578564836795</v>
      </c>
      <c r="AA50">
        <v>0.86332342905974202</v>
      </c>
      <c r="AB50">
        <v>2050</v>
      </c>
      <c r="AC50">
        <v>1</v>
      </c>
      <c r="AD50">
        <v>2</v>
      </c>
      <c r="AE50">
        <v>-0.51011828243844404</v>
      </c>
      <c r="AF50">
        <v>-0.49846761501910902</v>
      </c>
      <c r="AG50">
        <v>-0.99209299115654104</v>
      </c>
      <c r="AH50">
        <v>0.59556086218360504</v>
      </c>
      <c r="AI50">
        <v>-0.58062639777428404</v>
      </c>
      <c r="AJ50">
        <v>0.43945245776202402</v>
      </c>
      <c r="AK50">
        <v>47.023905999999997</v>
      </c>
      <c r="AL50">
        <v>4.8380429999999999</v>
      </c>
      <c r="AM50">
        <v>46.524681818181818</v>
      </c>
      <c r="AN50">
        <v>5.5798636363636369</v>
      </c>
    </row>
    <row r="51" spans="1:40" x14ac:dyDescent="0.35">
      <c r="A51">
        <v>66</v>
      </c>
      <c r="B51">
        <v>72</v>
      </c>
      <c r="C51" t="s">
        <v>40</v>
      </c>
      <c r="D51" t="s">
        <v>52</v>
      </c>
      <c r="E51" t="s">
        <v>42</v>
      </c>
      <c r="F51" t="s">
        <v>53</v>
      </c>
      <c r="G51">
        <v>5</v>
      </c>
      <c r="H51">
        <v>25</v>
      </c>
      <c r="I51">
        <v>5</v>
      </c>
      <c r="J51" t="s">
        <v>56</v>
      </c>
      <c r="K51" t="s">
        <v>46</v>
      </c>
      <c r="L51" t="s">
        <v>65</v>
      </c>
      <c r="M51">
        <v>65.834022212328648</v>
      </c>
      <c r="N51">
        <v>134</v>
      </c>
      <c r="O51">
        <v>85</v>
      </c>
      <c r="P51">
        <v>131</v>
      </c>
      <c r="Q51">
        <v>0</v>
      </c>
      <c r="R51">
        <v>0</v>
      </c>
      <c r="S51">
        <v>4.4543472962535073</v>
      </c>
      <c r="T51">
        <v>89.333044733044744</v>
      </c>
      <c r="U51">
        <v>1.2554235437523662</v>
      </c>
      <c r="V51">
        <v>1.64975517953679</v>
      </c>
      <c r="W51">
        <v>2.4220969657957299</v>
      </c>
      <c r="X51">
        <v>1.68128863126442</v>
      </c>
      <c r="Y51">
        <v>2.0553398017137301</v>
      </c>
      <c r="Z51">
        <v>2.0921400018840099</v>
      </c>
      <c r="AA51">
        <v>2.0596698968962701</v>
      </c>
      <c r="AB51">
        <v>3262.71</v>
      </c>
      <c r="AC51">
        <v>0.33</v>
      </c>
      <c r="AD51">
        <v>0.66</v>
      </c>
      <c r="AE51">
        <v>1.9221838973381</v>
      </c>
      <c r="AF51">
        <v>0.680829095399894</v>
      </c>
      <c r="AG51">
        <v>1.4112399665647299</v>
      </c>
      <c r="AH51">
        <v>-0.26818357981505098</v>
      </c>
      <c r="AI51">
        <v>0.32473746100698803</v>
      </c>
      <c r="AJ51">
        <v>0.67450958981849396</v>
      </c>
      <c r="AK51">
        <v>43.537466000000002</v>
      </c>
      <c r="AL51">
        <v>6.4627330000000001</v>
      </c>
      <c r="AM51">
        <v>43.633000000000003</v>
      </c>
      <c r="AN51">
        <v>5.657</v>
      </c>
    </row>
    <row r="52" spans="1:40" x14ac:dyDescent="0.35">
      <c r="A52">
        <v>67</v>
      </c>
      <c r="B52">
        <v>72</v>
      </c>
      <c r="C52" t="s">
        <v>40</v>
      </c>
      <c r="D52" t="s">
        <v>52</v>
      </c>
      <c r="E52" t="s">
        <v>42</v>
      </c>
      <c r="F52" t="s">
        <v>49</v>
      </c>
      <c r="G52">
        <v>5</v>
      </c>
      <c r="H52">
        <v>25</v>
      </c>
      <c r="I52">
        <v>7</v>
      </c>
      <c r="J52" t="s">
        <v>56</v>
      </c>
      <c r="K52" t="s">
        <v>46</v>
      </c>
      <c r="L52" t="s">
        <v>74</v>
      </c>
      <c r="M52">
        <v>640.90230497401728</v>
      </c>
      <c r="N52">
        <v>800</v>
      </c>
      <c r="O52">
        <v>485</v>
      </c>
      <c r="P52">
        <v>392</v>
      </c>
      <c r="Q52">
        <v>1.6094379124341003</v>
      </c>
      <c r="R52">
        <v>2.5649493574615367</v>
      </c>
      <c r="S52">
        <v>4.8202815656050371</v>
      </c>
      <c r="T52">
        <v>91.984920634920627</v>
      </c>
      <c r="U52">
        <v>1.0351430572167302</v>
      </c>
      <c r="V52">
        <v>-0.45376679124596098</v>
      </c>
      <c r="W52">
        <v>-0.56138574648679695</v>
      </c>
      <c r="X52">
        <v>-0.92192590083580195</v>
      </c>
      <c r="Y52">
        <v>-1.17232967929859</v>
      </c>
      <c r="Z52">
        <v>-0.98267194414701198</v>
      </c>
      <c r="AA52">
        <v>-0.89586780259421905</v>
      </c>
      <c r="AB52">
        <v>1270</v>
      </c>
      <c r="AC52">
        <v>3</v>
      </c>
      <c r="AD52">
        <v>1</v>
      </c>
      <c r="AE52">
        <v>-1.1438350904766701</v>
      </c>
      <c r="AF52">
        <v>1.3727634912452</v>
      </c>
      <c r="AG52">
        <v>-0.38733937126924001</v>
      </c>
      <c r="AH52">
        <v>-0.89652333945247697</v>
      </c>
      <c r="AI52">
        <v>-1.7776086417281199E-2</v>
      </c>
      <c r="AJ52">
        <v>-0.53540050185328603</v>
      </c>
      <c r="AK52">
        <v>46.672161000000003</v>
      </c>
      <c r="AL52">
        <v>5.558465</v>
      </c>
      <c r="AM52">
        <v>47.591999999999999</v>
      </c>
      <c r="AN52">
        <v>-2.8</v>
      </c>
    </row>
    <row r="53" spans="1:40" x14ac:dyDescent="0.35">
      <c r="A53">
        <v>68</v>
      </c>
      <c r="B53">
        <v>42</v>
      </c>
      <c r="C53" t="s">
        <v>48</v>
      </c>
      <c r="D53" t="s">
        <v>41</v>
      </c>
      <c r="E53" t="s">
        <v>42</v>
      </c>
      <c r="F53" t="s">
        <v>43</v>
      </c>
      <c r="G53">
        <v>7</v>
      </c>
      <c r="H53">
        <v>49</v>
      </c>
      <c r="I53">
        <v>5</v>
      </c>
      <c r="J53" t="s">
        <v>50</v>
      </c>
      <c r="K53" t="s">
        <v>46</v>
      </c>
      <c r="L53" t="s">
        <v>58</v>
      </c>
      <c r="M53">
        <v>458.26449457200431</v>
      </c>
      <c r="N53">
        <v>556</v>
      </c>
      <c r="O53">
        <v>391</v>
      </c>
      <c r="P53">
        <v>256</v>
      </c>
      <c r="Q53">
        <v>3.2580965380214821</v>
      </c>
      <c r="R53">
        <v>2.8903717578961645</v>
      </c>
      <c r="S53">
        <v>4.7535901911063645</v>
      </c>
      <c r="T53">
        <v>90.794285714285706</v>
      </c>
      <c r="U53">
        <v>0</v>
      </c>
      <c r="V53">
        <v>0.63905639120027702</v>
      </c>
      <c r="W53">
        <v>0.692565001186083</v>
      </c>
      <c r="X53">
        <v>0.56469097254324596</v>
      </c>
      <c r="Y53">
        <v>1.4483117406157899</v>
      </c>
      <c r="Z53">
        <v>1.7680602694732599</v>
      </c>
      <c r="AA53">
        <v>0.26366440732357699</v>
      </c>
      <c r="AB53">
        <v>4236</v>
      </c>
      <c r="AC53">
        <v>0</v>
      </c>
      <c r="AD53">
        <v>4</v>
      </c>
      <c r="AE53">
        <v>1.6751267091712101</v>
      </c>
      <c r="AF53">
        <v>0.32488563080022898</v>
      </c>
      <c r="AG53">
        <v>0.70845828071458194</v>
      </c>
      <c r="AH53">
        <v>0.19974223564497001</v>
      </c>
      <c r="AI53">
        <v>0.372978009775849</v>
      </c>
      <c r="AJ53">
        <v>1.31732974816191</v>
      </c>
      <c r="AK53">
        <v>45.198478000000001</v>
      </c>
      <c r="AL53">
        <v>-0.74874399999999997</v>
      </c>
      <c r="AM53">
        <v>48.802</v>
      </c>
      <c r="AN53">
        <v>2.1720000000000002</v>
      </c>
    </row>
    <row r="54" spans="1:40" x14ac:dyDescent="0.35">
      <c r="A54">
        <v>69</v>
      </c>
      <c r="B54">
        <v>72</v>
      </c>
      <c r="C54" t="s">
        <v>40</v>
      </c>
      <c r="D54" t="s">
        <v>52</v>
      </c>
      <c r="E54" t="s">
        <v>42</v>
      </c>
      <c r="F54" t="s">
        <v>49</v>
      </c>
      <c r="G54">
        <v>4</v>
      </c>
      <c r="H54">
        <v>16</v>
      </c>
      <c r="I54">
        <v>5</v>
      </c>
      <c r="J54" t="s">
        <v>56</v>
      </c>
      <c r="K54" t="s">
        <v>46</v>
      </c>
      <c r="L54" t="s">
        <v>55</v>
      </c>
      <c r="M54">
        <v>14.84421016106697</v>
      </c>
      <c r="N54">
        <v>0</v>
      </c>
      <c r="O54">
        <v>0</v>
      </c>
      <c r="P54">
        <v>0</v>
      </c>
      <c r="Q54">
        <v>2.0794415416798357</v>
      </c>
      <c r="R54">
        <v>2.3025850929940459</v>
      </c>
      <c r="S54">
        <v>3.2580965380214821</v>
      </c>
      <c r="T54">
        <v>95.12</v>
      </c>
      <c r="U54">
        <v>0</v>
      </c>
      <c r="V54">
        <v>1.89305099905856</v>
      </c>
      <c r="W54">
        <v>0.59880690621441701</v>
      </c>
      <c r="X54">
        <v>1.1856460040685599</v>
      </c>
      <c r="Y54">
        <v>-0.15565097555555901</v>
      </c>
      <c r="Z54">
        <v>-0.22748295097212001</v>
      </c>
      <c r="AA54">
        <v>1.0415013010201299</v>
      </c>
      <c r="AB54">
        <v>2939.9504036908884</v>
      </c>
      <c r="AC54">
        <v>2</v>
      </c>
      <c r="AD54">
        <v>0.42868127643214149</v>
      </c>
      <c r="AE54">
        <v>-2.40641039566141E-2</v>
      </c>
      <c r="AF54">
        <v>-0.26132004429330902</v>
      </c>
      <c r="AG54">
        <v>-2.5955464847208001</v>
      </c>
      <c r="AH54">
        <v>-2.99198447099316</v>
      </c>
      <c r="AI54">
        <v>-4.1385467065752701</v>
      </c>
      <c r="AJ54">
        <v>0.93693437096566601</v>
      </c>
      <c r="AK54">
        <v>48.0777517</v>
      </c>
      <c r="AL54">
        <v>7.3579641000000002</v>
      </c>
      <c r="AM54">
        <v>48.169499999999999</v>
      </c>
      <c r="AN54">
        <v>7.2130000000000001</v>
      </c>
    </row>
    <row r="55" spans="1:40" x14ac:dyDescent="0.35">
      <c r="A55">
        <v>71</v>
      </c>
      <c r="B55">
        <v>72</v>
      </c>
      <c r="C55" t="s">
        <v>48</v>
      </c>
      <c r="D55" t="s">
        <v>52</v>
      </c>
      <c r="E55" t="s">
        <v>42</v>
      </c>
      <c r="F55" t="s">
        <v>49</v>
      </c>
      <c r="G55">
        <v>4</v>
      </c>
      <c r="H55">
        <v>16</v>
      </c>
      <c r="I55">
        <v>7</v>
      </c>
      <c r="J55" t="s">
        <v>50</v>
      </c>
      <c r="K55" t="s">
        <v>46</v>
      </c>
      <c r="L55" t="s">
        <v>47</v>
      </c>
      <c r="M55">
        <v>616.17410665584759</v>
      </c>
      <c r="N55">
        <v>757</v>
      </c>
      <c r="O55">
        <v>474</v>
      </c>
      <c r="P55">
        <v>309</v>
      </c>
      <c r="Q55">
        <v>5.9107966440405271</v>
      </c>
      <c r="R55">
        <v>6.4997870406558542</v>
      </c>
      <c r="S55">
        <v>8.6415324656718457</v>
      </c>
      <c r="T55">
        <v>89.265350482850479</v>
      </c>
      <c r="U55">
        <v>1.4417786561042019</v>
      </c>
      <c r="V55">
        <v>-0.22886708829074301</v>
      </c>
      <c r="W55">
        <v>0.28745285629339301</v>
      </c>
      <c r="X55">
        <v>-0.15627425222847</v>
      </c>
      <c r="Y55">
        <v>1.45226138127617</v>
      </c>
      <c r="Z55">
        <v>0.98247225355557</v>
      </c>
      <c r="AA55">
        <v>0.627775520474398</v>
      </c>
      <c r="AB55">
        <v>3362.2959371744532</v>
      </c>
      <c r="AC55">
        <v>2.8998317172850387</v>
      </c>
      <c r="AD55">
        <v>2.9499158586425196</v>
      </c>
      <c r="AE55">
        <v>1.06273170356322</v>
      </c>
      <c r="AF55">
        <v>0.757041713300451</v>
      </c>
      <c r="AG55">
        <v>-2.6234993008086902</v>
      </c>
      <c r="AH55">
        <v>3.0935172359292197E-2</v>
      </c>
      <c r="AI55">
        <v>1.00833434177651</v>
      </c>
      <c r="AJ55">
        <v>-0.216038769657837</v>
      </c>
      <c r="AK55">
        <v>43.3535629403058</v>
      </c>
      <c r="AL55">
        <v>3.21615314793977</v>
      </c>
      <c r="AM55">
        <v>48.856372813999997</v>
      </c>
      <c r="AN55">
        <v>2.3525296170000001</v>
      </c>
    </row>
    <row r="56" spans="1:40" x14ac:dyDescent="0.35">
      <c r="A56">
        <v>72</v>
      </c>
      <c r="B56">
        <v>72</v>
      </c>
      <c r="C56" t="s">
        <v>40</v>
      </c>
      <c r="D56" t="s">
        <v>52</v>
      </c>
      <c r="E56" t="s">
        <v>68</v>
      </c>
      <c r="F56" t="s">
        <v>49</v>
      </c>
      <c r="G56">
        <v>7</v>
      </c>
      <c r="H56">
        <v>49</v>
      </c>
      <c r="I56">
        <v>7</v>
      </c>
      <c r="J56" t="s">
        <v>56</v>
      </c>
      <c r="K56" t="s">
        <v>46</v>
      </c>
      <c r="L56" t="s">
        <v>60</v>
      </c>
      <c r="M56">
        <v>733.1172243891192</v>
      </c>
      <c r="N56">
        <v>927</v>
      </c>
      <c r="O56">
        <v>564</v>
      </c>
      <c r="P56">
        <v>468</v>
      </c>
      <c r="Q56">
        <v>3.8501476017100584</v>
      </c>
      <c r="R56">
        <v>2.9957322735539909</v>
      </c>
      <c r="S56">
        <v>5.4424177105217932</v>
      </c>
      <c r="T56">
        <v>88.975873222691746</v>
      </c>
      <c r="U56">
        <v>2.5514539469641888</v>
      </c>
      <c r="V56">
        <v>2.9336799326863701</v>
      </c>
      <c r="W56">
        <v>3.3730943146768602</v>
      </c>
      <c r="X56">
        <v>3.6072071704345601</v>
      </c>
      <c r="Y56">
        <v>-0.19189497559235799</v>
      </c>
      <c r="Z56">
        <v>0.17569111512999699</v>
      </c>
      <c r="AA56">
        <v>-0.304970615080496</v>
      </c>
      <c r="AB56">
        <v>1906.836709612184</v>
      </c>
      <c r="AC56">
        <v>0.7978420820676605</v>
      </c>
      <c r="AD56">
        <v>2.1056638128240834</v>
      </c>
      <c r="AE56">
        <v>-0.25037207080954499</v>
      </c>
      <c r="AF56">
        <v>1.1180224591935399</v>
      </c>
      <c r="AG56">
        <v>-1.42698556442552</v>
      </c>
      <c r="AH56">
        <v>0.47920296730787598</v>
      </c>
      <c r="AI56">
        <v>-1.03464565786753</v>
      </c>
      <c r="AJ56">
        <v>0.88778670381015801</v>
      </c>
      <c r="AK56">
        <v>44.055988999999997</v>
      </c>
      <c r="AL56">
        <v>4.8317350000000001</v>
      </c>
      <c r="AM56">
        <v>50.640682937000001</v>
      </c>
      <c r="AN56">
        <v>4.6610704270000003</v>
      </c>
    </row>
    <row r="57" spans="1:40" x14ac:dyDescent="0.35">
      <c r="A57">
        <v>73</v>
      </c>
      <c r="B57">
        <v>57</v>
      </c>
      <c r="C57" t="s">
        <v>40</v>
      </c>
      <c r="D57" t="s">
        <v>52</v>
      </c>
      <c r="E57" t="s">
        <v>42</v>
      </c>
      <c r="F57" t="s">
        <v>53</v>
      </c>
      <c r="G57">
        <v>5</v>
      </c>
      <c r="H57">
        <v>25</v>
      </c>
      <c r="I57">
        <v>4</v>
      </c>
      <c r="J57" t="s">
        <v>50</v>
      </c>
      <c r="K57" t="s">
        <v>46</v>
      </c>
      <c r="L57" t="s">
        <v>62</v>
      </c>
      <c r="M57">
        <v>322.32248158328099</v>
      </c>
      <c r="N57">
        <v>474</v>
      </c>
      <c r="O57">
        <v>250</v>
      </c>
      <c r="P57">
        <v>232</v>
      </c>
      <c r="Q57">
        <v>0.69314718055994529</v>
      </c>
      <c r="R57">
        <v>3.2580965380214821</v>
      </c>
      <c r="S57">
        <v>3.2580965380214821</v>
      </c>
      <c r="T57">
        <v>95.68</v>
      </c>
      <c r="U57">
        <v>0</v>
      </c>
      <c r="V57">
        <v>1.82802042479695</v>
      </c>
      <c r="W57">
        <v>0.99424279543483596</v>
      </c>
      <c r="X57">
        <v>0.99177342203587404</v>
      </c>
      <c r="Y57">
        <v>-0.96278755162326501</v>
      </c>
      <c r="Z57">
        <v>-0.75605764486205096</v>
      </c>
      <c r="AA57">
        <v>-0.80037586101695801</v>
      </c>
      <c r="AB57">
        <v>2092.91</v>
      </c>
      <c r="AC57">
        <v>0</v>
      </c>
      <c r="AD57">
        <v>2.1</v>
      </c>
      <c r="AE57">
        <v>-1.0768626388726401</v>
      </c>
      <c r="AF57">
        <v>-0.61425139817374397</v>
      </c>
      <c r="AG57">
        <v>0.70573133530960597</v>
      </c>
      <c r="AH57">
        <v>-2.25841954332607E-2</v>
      </c>
      <c r="AI57">
        <v>0.71956644103217304</v>
      </c>
      <c r="AJ57">
        <v>-0.87529599125041802</v>
      </c>
      <c r="AK57">
        <v>49.042560999999999</v>
      </c>
      <c r="AL57">
        <v>3.9528660000000002</v>
      </c>
      <c r="AM57">
        <v>46.186</v>
      </c>
      <c r="AN57">
        <v>4.6550000000000002</v>
      </c>
    </row>
    <row r="58" spans="1:40" x14ac:dyDescent="0.35">
      <c r="A58">
        <v>74</v>
      </c>
      <c r="B58">
        <v>72</v>
      </c>
      <c r="C58" t="s">
        <v>40</v>
      </c>
      <c r="D58" t="s">
        <v>52</v>
      </c>
      <c r="E58" t="s">
        <v>42</v>
      </c>
      <c r="F58" t="s">
        <v>49</v>
      </c>
      <c r="G58">
        <v>4</v>
      </c>
      <c r="H58">
        <v>16</v>
      </c>
      <c r="I58">
        <v>5</v>
      </c>
      <c r="J58" t="s">
        <v>56</v>
      </c>
      <c r="K58" t="s">
        <v>46</v>
      </c>
      <c r="L58" t="s">
        <v>63</v>
      </c>
      <c r="M58">
        <v>677.99220016974698</v>
      </c>
      <c r="N58">
        <v>766</v>
      </c>
      <c r="O58">
        <v>410</v>
      </c>
      <c r="P58">
        <v>275</v>
      </c>
      <c r="Q58">
        <v>0</v>
      </c>
      <c r="R58">
        <v>0</v>
      </c>
      <c r="S58">
        <v>2.1972245773362196</v>
      </c>
      <c r="T58">
        <v>88.571764705882345</v>
      </c>
      <c r="U58">
        <v>1.0581645007873905</v>
      </c>
      <c r="V58">
        <v>-0.86345913794285001</v>
      </c>
      <c r="W58">
        <v>-0.82100750411685597</v>
      </c>
      <c r="X58">
        <v>-0.74332398245148801</v>
      </c>
      <c r="Y58">
        <v>1.4483117406157899</v>
      </c>
      <c r="Z58">
        <v>1.7680602694732599</v>
      </c>
      <c r="AA58">
        <v>0.26366440732357699</v>
      </c>
      <c r="AB58">
        <v>4236</v>
      </c>
      <c r="AC58">
        <v>0</v>
      </c>
      <c r="AD58">
        <v>4</v>
      </c>
      <c r="AE58">
        <v>1.6751267091712101</v>
      </c>
      <c r="AF58">
        <v>-1.37756737573774</v>
      </c>
      <c r="AG58">
        <v>-0.385832714358879</v>
      </c>
      <c r="AH58">
        <v>0.223773214637633</v>
      </c>
      <c r="AI58">
        <v>0.141769282719553</v>
      </c>
      <c r="AJ58">
        <v>-0.38117458766185802</v>
      </c>
      <c r="AK58">
        <v>45.086143999999997</v>
      </c>
      <c r="AL58">
        <v>-0.60531999999999997</v>
      </c>
      <c r="AM58">
        <v>50.631999999999998</v>
      </c>
      <c r="AN58">
        <v>3.1539999999999999</v>
      </c>
    </row>
    <row r="59" spans="1:40" x14ac:dyDescent="0.35">
      <c r="A59">
        <v>75</v>
      </c>
      <c r="B59">
        <v>57</v>
      </c>
      <c r="C59" t="s">
        <v>40</v>
      </c>
      <c r="D59" t="s">
        <v>41</v>
      </c>
      <c r="E59" t="s">
        <v>42</v>
      </c>
      <c r="F59" t="s">
        <v>49</v>
      </c>
      <c r="G59">
        <v>5</v>
      </c>
      <c r="H59">
        <v>25</v>
      </c>
      <c r="I59">
        <v>4</v>
      </c>
      <c r="J59" t="s">
        <v>45</v>
      </c>
      <c r="K59" t="s">
        <v>46</v>
      </c>
      <c r="L59" t="s">
        <v>47</v>
      </c>
      <c r="M59">
        <v>327.43322396580282</v>
      </c>
      <c r="N59">
        <v>445</v>
      </c>
      <c r="O59">
        <v>291</v>
      </c>
      <c r="P59">
        <v>278</v>
      </c>
      <c r="Q59">
        <v>5.9107966440405271</v>
      </c>
      <c r="R59">
        <v>6.4997870406558542</v>
      </c>
      <c r="S59">
        <v>8.6415324656718457</v>
      </c>
      <c r="T59">
        <v>89.265350482850479</v>
      </c>
      <c r="U59">
        <v>1.4417786561042019</v>
      </c>
      <c r="V59">
        <v>-0.22886708829074301</v>
      </c>
      <c r="W59">
        <v>0.28745285629339301</v>
      </c>
      <c r="X59">
        <v>-0.15627425222847</v>
      </c>
      <c r="Y59">
        <v>1.45226138127617</v>
      </c>
      <c r="Z59">
        <v>0.98247225355557</v>
      </c>
      <c r="AA59">
        <v>0.627775520474398</v>
      </c>
      <c r="AB59">
        <v>3362.2959371744532</v>
      </c>
      <c r="AC59">
        <v>2.8998317172850387</v>
      </c>
      <c r="AD59">
        <v>2.9499158586425196</v>
      </c>
      <c r="AE59">
        <v>1.06273170356322</v>
      </c>
      <c r="AF59">
        <v>-0.32221121604584502</v>
      </c>
      <c r="AG59">
        <v>-0.38107663264793401</v>
      </c>
      <c r="AH59">
        <v>-0.20824806163301701</v>
      </c>
      <c r="AI59">
        <v>0.62293140953985904</v>
      </c>
      <c r="AJ59">
        <v>0.43403350281404501</v>
      </c>
      <c r="AK59">
        <v>43.3535629403058</v>
      </c>
      <c r="AL59">
        <v>3.21615314793977</v>
      </c>
      <c r="AM59">
        <v>45.87827272727273</v>
      </c>
      <c r="AN59">
        <v>5.3369999999999997</v>
      </c>
    </row>
    <row r="60" spans="1:40" x14ac:dyDescent="0.35">
      <c r="A60">
        <v>76</v>
      </c>
      <c r="B60">
        <v>57</v>
      </c>
      <c r="C60" t="s">
        <v>48</v>
      </c>
      <c r="D60" t="s">
        <v>41</v>
      </c>
      <c r="E60" t="s">
        <v>42</v>
      </c>
      <c r="F60" t="s">
        <v>49</v>
      </c>
      <c r="G60">
        <v>4</v>
      </c>
      <c r="H60">
        <v>16</v>
      </c>
      <c r="I60">
        <v>4</v>
      </c>
      <c r="J60" t="s">
        <v>56</v>
      </c>
      <c r="K60" t="s">
        <v>46</v>
      </c>
      <c r="L60" t="s">
        <v>51</v>
      </c>
      <c r="M60">
        <v>146.4024277237387</v>
      </c>
      <c r="N60">
        <v>184</v>
      </c>
      <c r="O60">
        <v>141</v>
      </c>
      <c r="P60">
        <v>188</v>
      </c>
      <c r="Q60">
        <v>0</v>
      </c>
      <c r="R60">
        <v>1.3862943611198906</v>
      </c>
      <c r="S60">
        <v>4.3438054218536841</v>
      </c>
      <c r="T60">
        <v>91.16</v>
      </c>
      <c r="U60">
        <v>2.3174698847378039</v>
      </c>
      <c r="V60">
        <v>-0.58471966768986094</v>
      </c>
      <c r="W60">
        <v>-0.55557078097057</v>
      </c>
      <c r="X60">
        <v>-0.47566183223429498</v>
      </c>
      <c r="Y60">
        <v>-0.95884680312505799</v>
      </c>
      <c r="Z60">
        <v>-0.76521334103430205</v>
      </c>
      <c r="AA60">
        <v>-0.77245900699560299</v>
      </c>
      <c r="AB60">
        <v>1376</v>
      </c>
      <c r="AC60">
        <v>0</v>
      </c>
      <c r="AD60">
        <v>2</v>
      </c>
      <c r="AE60">
        <v>-1.2769936012368599</v>
      </c>
      <c r="AF60">
        <v>1.5111116384855701</v>
      </c>
      <c r="AG60">
        <v>1.1500609789993801</v>
      </c>
      <c r="AH60">
        <v>5.2344572583151498E-2</v>
      </c>
      <c r="AI60">
        <v>0.25354478853680001</v>
      </c>
      <c r="AJ60">
        <v>1.0621735849468401</v>
      </c>
      <c r="AK60">
        <v>47.815207299999997</v>
      </c>
      <c r="AL60">
        <v>3.8001657</v>
      </c>
      <c r="AM60">
        <v>48.777856892000003</v>
      </c>
      <c r="AN60">
        <v>2.4531587890000002</v>
      </c>
    </row>
    <row r="61" spans="1:40" x14ac:dyDescent="0.35">
      <c r="A61">
        <v>77</v>
      </c>
      <c r="B61">
        <v>42</v>
      </c>
      <c r="C61" t="s">
        <v>40</v>
      </c>
      <c r="D61" t="s">
        <v>41</v>
      </c>
      <c r="E61" t="s">
        <v>42</v>
      </c>
      <c r="F61" t="s">
        <v>49</v>
      </c>
      <c r="G61">
        <v>3</v>
      </c>
      <c r="H61">
        <v>9</v>
      </c>
      <c r="I61">
        <v>5</v>
      </c>
      <c r="J61" t="s">
        <v>56</v>
      </c>
      <c r="K61" t="s">
        <v>46</v>
      </c>
      <c r="L61" t="s">
        <v>62</v>
      </c>
      <c r="M61">
        <v>118.81389814254101</v>
      </c>
      <c r="N61">
        <v>143</v>
      </c>
      <c r="O61">
        <v>100</v>
      </c>
      <c r="P61">
        <v>80</v>
      </c>
      <c r="Q61">
        <v>0.69314718055994529</v>
      </c>
      <c r="R61">
        <v>3.2580965380214821</v>
      </c>
      <c r="S61">
        <v>3.2580965380214821</v>
      </c>
      <c r="T61">
        <v>95.68</v>
      </c>
      <c r="U61">
        <v>0</v>
      </c>
      <c r="V61">
        <v>1.82802042479695</v>
      </c>
      <c r="W61">
        <v>0.99424279543483596</v>
      </c>
      <c r="X61">
        <v>0.99177342203587404</v>
      </c>
      <c r="Y61">
        <v>-0.96278755162326501</v>
      </c>
      <c r="Z61">
        <v>-0.75605764486205096</v>
      </c>
      <c r="AA61">
        <v>-0.80037586101695801</v>
      </c>
      <c r="AB61">
        <v>2092.91</v>
      </c>
      <c r="AC61">
        <v>0</v>
      </c>
      <c r="AD61">
        <v>2.1</v>
      </c>
      <c r="AE61">
        <v>-1.0768626388726401</v>
      </c>
      <c r="AF61">
        <v>0.31621429360395598</v>
      </c>
      <c r="AG61">
        <v>0.20880468018805901</v>
      </c>
      <c r="AH61">
        <v>-2.86521266864498E-2</v>
      </c>
      <c r="AI61">
        <v>-0.15278471264523799</v>
      </c>
      <c r="AJ61">
        <v>0.55764927641171003</v>
      </c>
      <c r="AK61">
        <v>49.042560999999999</v>
      </c>
      <c r="AL61">
        <v>3.9528660000000002</v>
      </c>
      <c r="AM61">
        <v>48.856372813999997</v>
      </c>
      <c r="AN61">
        <v>2.3525296170000001</v>
      </c>
    </row>
    <row r="62" spans="1:40" x14ac:dyDescent="0.35">
      <c r="A62">
        <v>78</v>
      </c>
      <c r="B62">
        <v>72</v>
      </c>
      <c r="C62" t="s">
        <v>40</v>
      </c>
      <c r="D62" t="s">
        <v>52</v>
      </c>
      <c r="E62" t="s">
        <v>42</v>
      </c>
      <c r="F62" t="s">
        <v>49</v>
      </c>
      <c r="G62">
        <v>7</v>
      </c>
      <c r="H62">
        <v>49</v>
      </c>
      <c r="I62">
        <v>5</v>
      </c>
      <c r="J62" t="s">
        <v>50</v>
      </c>
      <c r="K62" t="s">
        <v>46</v>
      </c>
      <c r="L62" t="s">
        <v>71</v>
      </c>
      <c r="M62">
        <v>428.52592556931808</v>
      </c>
      <c r="N62">
        <v>574</v>
      </c>
      <c r="O62">
        <v>300</v>
      </c>
      <c r="P62">
        <v>361</v>
      </c>
      <c r="Q62">
        <v>4.5747109785033828</v>
      </c>
      <c r="R62">
        <v>3.5263605246161616</v>
      </c>
      <c r="S62">
        <v>5.1416635565026603</v>
      </c>
      <c r="T62">
        <v>92.265120976563693</v>
      </c>
      <c r="U62">
        <v>2.9351954657362995</v>
      </c>
      <c r="V62">
        <v>-8.3509539921858403E-2</v>
      </c>
      <c r="W62">
        <v>-8.6188355584626702E-2</v>
      </c>
      <c r="X62">
        <v>-6.2117403422328299E-2</v>
      </c>
      <c r="Y62">
        <v>-0.51135009403950604</v>
      </c>
      <c r="Z62">
        <v>-0.669554030021006</v>
      </c>
      <c r="AA62">
        <v>-1.4915282051312999</v>
      </c>
      <c r="AB62">
        <v>1813.5248996931791</v>
      </c>
      <c r="AC62">
        <v>1.6535284399339156</v>
      </c>
      <c r="AD62">
        <v>0.49421760679726223</v>
      </c>
      <c r="AE62">
        <v>-0.18520258641298501</v>
      </c>
      <c r="AF62">
        <v>-0.42403246409703799</v>
      </c>
      <c r="AG62">
        <v>-1.8320167342009599</v>
      </c>
      <c r="AH62">
        <v>0.58963862213034102</v>
      </c>
      <c r="AI62">
        <v>0.42365507106504702</v>
      </c>
      <c r="AJ62">
        <v>-0.14150816961641399</v>
      </c>
      <c r="AK62">
        <v>45.071283999999999</v>
      </c>
      <c r="AL62">
        <v>4.8370730000000002</v>
      </c>
      <c r="AM62">
        <v>44.889000000000003</v>
      </c>
      <c r="AN62">
        <v>-0.6</v>
      </c>
    </row>
    <row r="63" spans="1:40" x14ac:dyDescent="0.35">
      <c r="A63">
        <v>80</v>
      </c>
      <c r="B63">
        <v>57</v>
      </c>
      <c r="C63" t="s">
        <v>48</v>
      </c>
      <c r="D63" t="s">
        <v>66</v>
      </c>
      <c r="E63" t="s">
        <v>42</v>
      </c>
      <c r="F63" t="s">
        <v>43</v>
      </c>
      <c r="G63">
        <v>3</v>
      </c>
      <c r="H63">
        <v>9</v>
      </c>
      <c r="I63">
        <v>5</v>
      </c>
      <c r="J63" t="s">
        <v>56</v>
      </c>
      <c r="K63" t="s">
        <v>46</v>
      </c>
      <c r="L63" t="s">
        <v>75</v>
      </c>
      <c r="M63">
        <v>346.90104845284583</v>
      </c>
      <c r="Q63">
        <v>0</v>
      </c>
      <c r="R63">
        <v>0</v>
      </c>
      <c r="S63">
        <v>3.5553480614894135</v>
      </c>
      <c r="T63">
        <v>87.721111111111114</v>
      </c>
      <c r="U63">
        <v>1.8185946276597997</v>
      </c>
      <c r="V63">
        <v>-1.01058566247205</v>
      </c>
      <c r="W63">
        <v>-0.72487722485772399</v>
      </c>
      <c r="X63">
        <v>-0.83814251792544203</v>
      </c>
      <c r="Y63">
        <v>0.643019057251217</v>
      </c>
      <c r="Z63">
        <v>0.97010361819212798</v>
      </c>
      <c r="AA63">
        <v>-1.0557286875948499</v>
      </c>
      <c r="AB63">
        <v>4179</v>
      </c>
      <c r="AC63">
        <v>0</v>
      </c>
      <c r="AD63">
        <v>0</v>
      </c>
      <c r="AE63">
        <v>0.59808311135132897</v>
      </c>
      <c r="AF63">
        <v>-0.5347253444832758</v>
      </c>
      <c r="AG63">
        <v>0.84074888654425572</v>
      </c>
      <c r="AH63">
        <v>-0.73628392702652679</v>
      </c>
      <c r="AI63">
        <v>-0.91150556752915901</v>
      </c>
      <c r="AJ63">
        <v>-2.6310290490302699</v>
      </c>
      <c r="AK63">
        <v>47.087721999999999</v>
      </c>
      <c r="AL63">
        <v>-1.2817419999999999</v>
      </c>
      <c r="AM63">
        <v>49.143000000000001</v>
      </c>
      <c r="AN63">
        <v>2.2280000000000002</v>
      </c>
    </row>
    <row r="64" spans="1:40" x14ac:dyDescent="0.35">
      <c r="A64">
        <v>81</v>
      </c>
      <c r="B64">
        <v>57</v>
      </c>
      <c r="C64" t="s">
        <v>48</v>
      </c>
      <c r="D64" t="s">
        <v>41</v>
      </c>
      <c r="E64" t="s">
        <v>42</v>
      </c>
      <c r="F64" t="s">
        <v>49</v>
      </c>
      <c r="G64">
        <v>5</v>
      </c>
      <c r="H64">
        <v>25</v>
      </c>
      <c r="I64">
        <v>2</v>
      </c>
      <c r="J64" t="s">
        <v>56</v>
      </c>
      <c r="K64" t="s">
        <v>46</v>
      </c>
      <c r="L64" t="s">
        <v>71</v>
      </c>
      <c r="M64">
        <v>54.024266392120367</v>
      </c>
      <c r="N64">
        <v>107</v>
      </c>
      <c r="O64">
        <v>80</v>
      </c>
      <c r="P64">
        <v>88</v>
      </c>
      <c r="Q64">
        <v>4.5747109785033828</v>
      </c>
      <c r="R64">
        <v>3.5263605246161616</v>
      </c>
      <c r="S64">
        <v>5.1416635565026603</v>
      </c>
      <c r="T64">
        <v>92.265120976563693</v>
      </c>
      <c r="U64">
        <v>2.9351954657362995</v>
      </c>
      <c r="V64">
        <v>-8.3509539921858403E-2</v>
      </c>
      <c r="W64">
        <v>-8.6188355584626702E-2</v>
      </c>
      <c r="X64">
        <v>-6.2117403422328299E-2</v>
      </c>
      <c r="Y64">
        <v>-0.51135009403950604</v>
      </c>
      <c r="Z64">
        <v>-0.669554030021006</v>
      </c>
      <c r="AA64">
        <v>-1.4915282051312999</v>
      </c>
      <c r="AB64">
        <v>1813.5248996931791</v>
      </c>
      <c r="AC64">
        <v>1.6535284399339156</v>
      </c>
      <c r="AD64">
        <v>0.49421760679726223</v>
      </c>
      <c r="AE64">
        <v>-0.18520258641298501</v>
      </c>
      <c r="AF64">
        <v>0.69283707681389195</v>
      </c>
      <c r="AG64">
        <v>6.9477063361769301E-2</v>
      </c>
      <c r="AH64">
        <v>0.708405366175756</v>
      </c>
      <c r="AI64">
        <v>1.3219003422536699</v>
      </c>
      <c r="AJ64">
        <v>-0.12214170238255399</v>
      </c>
      <c r="AK64">
        <v>45.071283999999999</v>
      </c>
      <c r="AL64">
        <v>4.8370730000000002</v>
      </c>
      <c r="AM64">
        <v>45.439365899999999</v>
      </c>
      <c r="AN64">
        <v>4.3877600000000001</v>
      </c>
    </row>
    <row r="65" spans="1:40" x14ac:dyDescent="0.35">
      <c r="A65">
        <v>82</v>
      </c>
      <c r="B65">
        <v>72</v>
      </c>
      <c r="C65" t="s">
        <v>40</v>
      </c>
      <c r="D65" t="s">
        <v>52</v>
      </c>
      <c r="E65" t="s">
        <v>42</v>
      </c>
      <c r="F65" t="s">
        <v>49</v>
      </c>
      <c r="G65">
        <v>7</v>
      </c>
      <c r="H65">
        <v>49</v>
      </c>
      <c r="I65">
        <v>5</v>
      </c>
      <c r="J65" t="s">
        <v>56</v>
      </c>
      <c r="K65" t="s">
        <v>46</v>
      </c>
      <c r="L65" t="s">
        <v>76</v>
      </c>
      <c r="M65">
        <v>342.49027678018223</v>
      </c>
      <c r="N65">
        <v>441</v>
      </c>
      <c r="O65">
        <v>284</v>
      </c>
      <c r="P65">
        <v>269</v>
      </c>
      <c r="Q65">
        <v>0</v>
      </c>
      <c r="R65">
        <v>1.0986122886681098</v>
      </c>
      <c r="S65">
        <v>4.1588830833596715</v>
      </c>
      <c r="T65">
        <v>91.226666666666674</v>
      </c>
      <c r="U65">
        <v>1.418823059726001</v>
      </c>
      <c r="V65">
        <v>-0.39095273818515502</v>
      </c>
      <c r="W65">
        <v>-0.53446083104759001</v>
      </c>
      <c r="X65">
        <v>-0.40804429067029002</v>
      </c>
      <c r="Y65">
        <v>-0.56789545922357498</v>
      </c>
      <c r="Z65">
        <v>-0.94760790482486201</v>
      </c>
      <c r="AA65">
        <v>-1.0848673571571601</v>
      </c>
      <c r="AB65">
        <v>1770.5103102717287</v>
      </c>
      <c r="AC65">
        <v>0.28213528618230871</v>
      </c>
      <c r="AD65">
        <v>1.7130468298323378</v>
      </c>
      <c r="AE65">
        <v>-1.13486126839574</v>
      </c>
      <c r="AF65">
        <v>-0.32585130649550997</v>
      </c>
      <c r="AG65">
        <v>7.9653061958489604E-2</v>
      </c>
      <c r="AH65">
        <v>0.49025175628592899</v>
      </c>
      <c r="AI65">
        <v>-0.17848520278713401</v>
      </c>
      <c r="AJ65">
        <v>1.3772836521621299</v>
      </c>
      <c r="AK65">
        <v>47.330690599999997</v>
      </c>
      <c r="AL65">
        <v>2.8390453999999998</v>
      </c>
      <c r="AM65">
        <v>48.052</v>
      </c>
      <c r="AN65">
        <v>-1.605</v>
      </c>
    </row>
    <row r="66" spans="1:40" x14ac:dyDescent="0.35">
      <c r="A66">
        <v>83</v>
      </c>
      <c r="B66">
        <v>72</v>
      </c>
      <c r="C66" t="s">
        <v>40</v>
      </c>
      <c r="D66" t="s">
        <v>52</v>
      </c>
      <c r="E66" t="s">
        <v>42</v>
      </c>
      <c r="F66" t="s">
        <v>43</v>
      </c>
      <c r="G66">
        <v>2</v>
      </c>
      <c r="H66">
        <v>4</v>
      </c>
      <c r="I66">
        <v>3</v>
      </c>
      <c r="J66" t="s">
        <v>56</v>
      </c>
      <c r="K66" t="s">
        <v>46</v>
      </c>
      <c r="L66" t="s">
        <v>73</v>
      </c>
      <c r="M66">
        <v>17.039253502213761</v>
      </c>
      <c r="N66">
        <v>25</v>
      </c>
      <c r="O66">
        <v>37</v>
      </c>
      <c r="P66">
        <v>27</v>
      </c>
      <c r="Q66">
        <v>1.9459101490553132</v>
      </c>
      <c r="R66">
        <v>2.9444389791664403</v>
      </c>
      <c r="S66">
        <v>4.2626798770413155</v>
      </c>
      <c r="T66">
        <v>91.872500000000002</v>
      </c>
      <c r="U66">
        <v>2.0033201607997366</v>
      </c>
      <c r="V66">
        <v>7.5580716531248995E-2</v>
      </c>
      <c r="W66">
        <v>0.203376316306385</v>
      </c>
      <c r="X66">
        <v>0.143329752535333</v>
      </c>
      <c r="Y66">
        <v>1.4483117406157899</v>
      </c>
      <c r="Z66">
        <v>1.7680602694732599</v>
      </c>
      <c r="AA66">
        <v>0.26366440732357699</v>
      </c>
      <c r="AB66">
        <v>4236</v>
      </c>
      <c r="AC66">
        <v>0</v>
      </c>
      <c r="AD66">
        <v>4</v>
      </c>
      <c r="AE66">
        <v>1.6751267091712101</v>
      </c>
      <c r="AF66">
        <v>0.274217208898344</v>
      </c>
      <c r="AG66">
        <v>6.4953618885097902E-2</v>
      </c>
      <c r="AH66">
        <v>-1.5618244046090799</v>
      </c>
      <c r="AI66">
        <v>0.56118471853024998</v>
      </c>
      <c r="AJ66">
        <v>-2.7354128429099802</v>
      </c>
      <c r="AK66">
        <v>44.686388999999998</v>
      </c>
      <c r="AL66">
        <v>-0.52383800000000003</v>
      </c>
      <c r="AM66">
        <v>44.834995499999998</v>
      </c>
      <c r="AN66">
        <v>-0.57549519999999998</v>
      </c>
    </row>
    <row r="67" spans="1:40" x14ac:dyDescent="0.35">
      <c r="A67">
        <v>84</v>
      </c>
      <c r="B67">
        <v>72</v>
      </c>
      <c r="C67" t="s">
        <v>48</v>
      </c>
      <c r="D67" t="s">
        <v>52</v>
      </c>
      <c r="E67" t="s">
        <v>42</v>
      </c>
      <c r="F67" t="s">
        <v>49</v>
      </c>
      <c r="G67">
        <v>4</v>
      </c>
      <c r="H67">
        <v>16</v>
      </c>
      <c r="I67">
        <v>4</v>
      </c>
      <c r="J67" t="s">
        <v>56</v>
      </c>
      <c r="K67" t="s">
        <v>46</v>
      </c>
      <c r="L67" t="s">
        <v>71</v>
      </c>
      <c r="M67">
        <v>569.85729787708283</v>
      </c>
      <c r="N67">
        <v>587</v>
      </c>
      <c r="O67">
        <v>310</v>
      </c>
      <c r="P67">
        <v>270</v>
      </c>
      <c r="Q67">
        <v>4.5747109785033828</v>
      </c>
      <c r="R67">
        <v>3.5263605246161616</v>
      </c>
      <c r="S67">
        <v>5.1416635565026603</v>
      </c>
      <c r="T67">
        <v>92.265120976563693</v>
      </c>
      <c r="U67">
        <v>2.9351954657362995</v>
      </c>
      <c r="V67">
        <v>-8.3509539921858403E-2</v>
      </c>
      <c r="W67">
        <v>-8.6188355584626702E-2</v>
      </c>
      <c r="X67">
        <v>-6.2117403422328299E-2</v>
      </c>
      <c r="Y67">
        <v>-0.51135009403950604</v>
      </c>
      <c r="Z67">
        <v>-0.669554030021006</v>
      </c>
      <c r="AA67">
        <v>-1.4915282051312999</v>
      </c>
      <c r="AB67">
        <v>1813.5248996931791</v>
      </c>
      <c r="AC67">
        <v>1.6535284399339156</v>
      </c>
      <c r="AD67">
        <v>0.49421760679726223</v>
      </c>
      <c r="AE67">
        <v>-0.18520258641298501</v>
      </c>
      <c r="AF67">
        <v>0.68472702317707901</v>
      </c>
      <c r="AG67">
        <v>0.14116962161034699</v>
      </c>
      <c r="AH67">
        <v>0.66989647424874699</v>
      </c>
      <c r="AI67">
        <v>0.23216323539816999</v>
      </c>
      <c r="AJ67">
        <v>-0.55173325993286304</v>
      </c>
      <c r="AK67">
        <v>45.071283999999999</v>
      </c>
      <c r="AL67">
        <v>4.8370730000000002</v>
      </c>
      <c r="AM67">
        <v>49.894251599999997</v>
      </c>
      <c r="AN67">
        <v>2.2945012999999999</v>
      </c>
    </row>
    <row r="68" spans="1:40" x14ac:dyDescent="0.35">
      <c r="A68">
        <v>85</v>
      </c>
      <c r="B68">
        <v>72</v>
      </c>
      <c r="C68" t="s">
        <v>40</v>
      </c>
      <c r="D68" t="s">
        <v>52</v>
      </c>
      <c r="E68" t="s">
        <v>42</v>
      </c>
      <c r="F68" t="s">
        <v>49</v>
      </c>
      <c r="G68">
        <v>6</v>
      </c>
      <c r="H68">
        <v>36</v>
      </c>
      <c r="I68">
        <v>7</v>
      </c>
      <c r="J68" t="s">
        <v>50</v>
      </c>
      <c r="K68" t="s">
        <v>46</v>
      </c>
      <c r="L68" t="s">
        <v>71</v>
      </c>
      <c r="M68">
        <v>96.851306491093666</v>
      </c>
      <c r="N68">
        <v>274</v>
      </c>
      <c r="O68">
        <v>169</v>
      </c>
      <c r="P68">
        <v>146</v>
      </c>
      <c r="Q68">
        <v>4.5747109785033828</v>
      </c>
      <c r="R68">
        <v>3.5263605246161616</v>
      </c>
      <c r="S68">
        <v>5.1416635565026603</v>
      </c>
      <c r="T68">
        <v>92.265120976563693</v>
      </c>
      <c r="U68">
        <v>2.9351954657362995</v>
      </c>
      <c r="V68">
        <v>-8.3509539921858403E-2</v>
      </c>
      <c r="W68">
        <v>-8.6188355584626702E-2</v>
      </c>
      <c r="X68">
        <v>-6.2117403422328299E-2</v>
      </c>
      <c r="Y68">
        <v>-0.51135009403950604</v>
      </c>
      <c r="Z68">
        <v>-0.669554030021006</v>
      </c>
      <c r="AA68">
        <v>-1.4915282051312999</v>
      </c>
      <c r="AB68">
        <v>1813.5248996931791</v>
      </c>
      <c r="AC68">
        <v>1.6535284399339156</v>
      </c>
      <c r="AD68">
        <v>0.49421760679726223</v>
      </c>
      <c r="AE68">
        <v>-0.18520258641298501</v>
      </c>
      <c r="AF68">
        <v>-1.4094690215612999</v>
      </c>
      <c r="AG68">
        <v>1.1668278893075901</v>
      </c>
      <c r="AH68">
        <v>0.76342198639078795</v>
      </c>
      <c r="AI68">
        <v>0.12602599033838</v>
      </c>
      <c r="AJ68">
        <v>0.82768314304642898</v>
      </c>
      <c r="AK68">
        <v>45.071283999999999</v>
      </c>
      <c r="AL68">
        <v>4.8370730000000002</v>
      </c>
      <c r="AM68">
        <v>44.204000000000001</v>
      </c>
      <c r="AN68">
        <v>4.74</v>
      </c>
    </row>
    <row r="69" spans="1:40" x14ac:dyDescent="0.35">
      <c r="A69">
        <v>86</v>
      </c>
      <c r="B69">
        <v>57</v>
      </c>
      <c r="C69" t="s">
        <v>48</v>
      </c>
      <c r="D69" t="s">
        <v>41</v>
      </c>
      <c r="E69" t="s">
        <v>42</v>
      </c>
      <c r="F69" t="s">
        <v>49</v>
      </c>
      <c r="G69">
        <v>3</v>
      </c>
      <c r="H69">
        <v>9</v>
      </c>
      <c r="I69">
        <v>5</v>
      </c>
      <c r="J69" t="s">
        <v>56</v>
      </c>
      <c r="K69" t="s">
        <v>46</v>
      </c>
      <c r="L69" t="s">
        <v>71</v>
      </c>
      <c r="M69">
        <v>77.4811495419397</v>
      </c>
      <c r="N69">
        <v>49</v>
      </c>
      <c r="O69">
        <v>40</v>
      </c>
      <c r="P69">
        <v>313</v>
      </c>
      <c r="Q69">
        <v>4.5747109785033828</v>
      </c>
      <c r="R69">
        <v>3.5263605246161616</v>
      </c>
      <c r="S69">
        <v>5.1416635565026603</v>
      </c>
      <c r="T69">
        <v>92.265120976563693</v>
      </c>
      <c r="U69">
        <v>2.9351954657362995</v>
      </c>
      <c r="V69">
        <v>-8.3509539921858403E-2</v>
      </c>
      <c r="W69">
        <v>-8.6188355584626702E-2</v>
      </c>
      <c r="X69">
        <v>-6.2117403422328299E-2</v>
      </c>
      <c r="Y69">
        <v>-0.51135009403950604</v>
      </c>
      <c r="Z69">
        <v>-0.669554030021006</v>
      </c>
      <c r="AA69">
        <v>-1.4915282051312999</v>
      </c>
      <c r="AB69">
        <v>1813.5248996931791</v>
      </c>
      <c r="AC69">
        <v>1.6535284399339156</v>
      </c>
      <c r="AD69">
        <v>0.49421760679726223</v>
      </c>
      <c r="AE69">
        <v>-0.18520258641298501</v>
      </c>
      <c r="AF69">
        <v>-0.52190698962619597</v>
      </c>
      <c r="AG69">
        <v>1.6026564534665599</v>
      </c>
      <c r="AH69">
        <v>0.47095585852870098</v>
      </c>
      <c r="AI69">
        <v>0.76219124331646404</v>
      </c>
      <c r="AJ69">
        <v>0.99202446133905398</v>
      </c>
      <c r="AK69">
        <v>45.071283999999999</v>
      </c>
      <c r="AL69">
        <v>4.8370730000000002</v>
      </c>
      <c r="AM69">
        <v>45.767306300000001</v>
      </c>
      <c r="AN69">
        <v>4.8343065000000003</v>
      </c>
    </row>
    <row r="70" spans="1:40" x14ac:dyDescent="0.35">
      <c r="A70">
        <v>87</v>
      </c>
      <c r="B70">
        <v>57</v>
      </c>
      <c r="C70" t="s">
        <v>40</v>
      </c>
      <c r="D70" t="s">
        <v>41</v>
      </c>
      <c r="E70" t="s">
        <v>42</v>
      </c>
      <c r="F70" t="s">
        <v>49</v>
      </c>
      <c r="G70">
        <v>5</v>
      </c>
      <c r="H70">
        <v>25</v>
      </c>
      <c r="I70">
        <v>5</v>
      </c>
      <c r="J70" t="s">
        <v>56</v>
      </c>
      <c r="K70" t="s">
        <v>46</v>
      </c>
      <c r="L70" t="s">
        <v>62</v>
      </c>
      <c r="M70">
        <v>119.58129518172009</v>
      </c>
      <c r="N70">
        <v>137</v>
      </c>
      <c r="O70">
        <v>90</v>
      </c>
      <c r="P70">
        <v>116</v>
      </c>
      <c r="Q70">
        <v>0.69314718055994529</v>
      </c>
      <c r="R70">
        <v>3.2580965380214821</v>
      </c>
      <c r="S70">
        <v>3.2580965380214821</v>
      </c>
      <c r="T70">
        <v>95.68</v>
      </c>
      <c r="U70">
        <v>0</v>
      </c>
      <c r="V70">
        <v>1.82802042479695</v>
      </c>
      <c r="W70">
        <v>0.99424279543483596</v>
      </c>
      <c r="X70">
        <v>0.99177342203587404</v>
      </c>
      <c r="Y70">
        <v>-0.96278755162326501</v>
      </c>
      <c r="Z70">
        <v>-0.75605764486205096</v>
      </c>
      <c r="AA70">
        <v>-0.80037586101695801</v>
      </c>
      <c r="AB70">
        <v>2092.91</v>
      </c>
      <c r="AC70">
        <v>0</v>
      </c>
      <c r="AD70">
        <v>2.1</v>
      </c>
      <c r="AE70">
        <v>-1.0768626388726401</v>
      </c>
      <c r="AF70">
        <v>0.379944109132279</v>
      </c>
      <c r="AG70">
        <v>-0.58184848625949004</v>
      </c>
      <c r="AH70">
        <v>0.33891042607090299</v>
      </c>
      <c r="AI70">
        <v>0.84743917601476004</v>
      </c>
      <c r="AJ70">
        <v>0.597594022889681</v>
      </c>
      <c r="AK70">
        <v>49.042560999999999</v>
      </c>
      <c r="AL70">
        <v>3.9528660000000002</v>
      </c>
      <c r="AM70">
        <v>48.808999999999997</v>
      </c>
      <c r="AN70">
        <v>2.3570000000000002</v>
      </c>
    </row>
    <row r="71" spans="1:40" x14ac:dyDescent="0.35">
      <c r="A71">
        <v>88</v>
      </c>
      <c r="B71">
        <v>72</v>
      </c>
      <c r="C71" t="s">
        <v>40</v>
      </c>
      <c r="D71" t="s">
        <v>52</v>
      </c>
      <c r="E71" t="s">
        <v>42</v>
      </c>
      <c r="F71" t="s">
        <v>49</v>
      </c>
      <c r="G71">
        <v>4</v>
      </c>
      <c r="H71">
        <v>16</v>
      </c>
      <c r="I71">
        <v>6</v>
      </c>
      <c r="J71" t="s">
        <v>56</v>
      </c>
      <c r="K71" t="s">
        <v>46</v>
      </c>
      <c r="L71" t="s">
        <v>77</v>
      </c>
      <c r="M71">
        <v>230.71628374428789</v>
      </c>
      <c r="N71">
        <v>311</v>
      </c>
      <c r="O71">
        <v>194</v>
      </c>
      <c r="P71">
        <v>218</v>
      </c>
      <c r="Q71">
        <v>0</v>
      </c>
      <c r="R71">
        <v>2.3978952727983707</v>
      </c>
      <c r="S71">
        <v>5.1416635565026603</v>
      </c>
      <c r="T71">
        <v>90.472417453603512</v>
      </c>
      <c r="U71">
        <v>2.7735735584863375</v>
      </c>
      <c r="V71">
        <v>-0.15231437986527399</v>
      </c>
      <c r="W71">
        <v>3.49635939345109E-2</v>
      </c>
      <c r="X71">
        <v>-0.19627808847033801</v>
      </c>
      <c r="Y71">
        <v>-0.57382446736590997</v>
      </c>
      <c r="Z71">
        <v>-0.74335605457542497</v>
      </c>
      <c r="AA71">
        <v>-0.53588051656191904</v>
      </c>
      <c r="AB71">
        <v>3937</v>
      </c>
      <c r="AC71">
        <v>0</v>
      </c>
      <c r="AD71">
        <v>1</v>
      </c>
      <c r="AE71">
        <v>-0.72244456620022002</v>
      </c>
      <c r="AF71">
        <v>-0.48865708706445798</v>
      </c>
      <c r="AG71">
        <v>-0.86347785604831895</v>
      </c>
      <c r="AH71">
        <v>0.97014347613539997</v>
      </c>
      <c r="AI71">
        <v>0.90499834970280602</v>
      </c>
      <c r="AJ71">
        <v>-0.44165309134151298</v>
      </c>
      <c r="AK71">
        <v>47.259622</v>
      </c>
      <c r="AL71">
        <v>-7.8518000000000004E-2</v>
      </c>
      <c r="AM71">
        <v>48.692999999999998</v>
      </c>
      <c r="AN71">
        <v>2.1579999999999999</v>
      </c>
    </row>
    <row r="72" spans="1:40" x14ac:dyDescent="0.35">
      <c r="A72">
        <v>90</v>
      </c>
      <c r="B72">
        <v>72</v>
      </c>
      <c r="C72" t="s">
        <v>40</v>
      </c>
      <c r="D72" t="s">
        <v>52</v>
      </c>
      <c r="E72" t="s">
        <v>42</v>
      </c>
      <c r="F72" t="s">
        <v>49</v>
      </c>
      <c r="G72">
        <v>5</v>
      </c>
      <c r="H72">
        <v>25</v>
      </c>
      <c r="I72">
        <v>5</v>
      </c>
      <c r="J72" t="s">
        <v>56</v>
      </c>
      <c r="K72" t="s">
        <v>46</v>
      </c>
      <c r="L72" t="s">
        <v>57</v>
      </c>
      <c r="M72">
        <v>420.59998140167318</v>
      </c>
      <c r="N72">
        <v>541</v>
      </c>
      <c r="O72">
        <v>335</v>
      </c>
      <c r="P72">
        <v>229</v>
      </c>
      <c r="Q72">
        <v>0.69314718055994529</v>
      </c>
      <c r="R72">
        <v>3.6109179126442243</v>
      </c>
      <c r="S72">
        <v>5.8833223884882786</v>
      </c>
      <c r="T72">
        <v>90.922105263157903</v>
      </c>
      <c r="U72">
        <v>2.3923758041545438</v>
      </c>
      <c r="V72">
        <v>-0.399596989308249</v>
      </c>
      <c r="W72">
        <v>-0.58810405700346202</v>
      </c>
      <c r="X72">
        <v>-0.29041857108635599</v>
      </c>
      <c r="Y72">
        <v>-0.846122564821426</v>
      </c>
      <c r="Z72">
        <v>-0.92679578564836795</v>
      </c>
      <c r="AA72">
        <v>0.86332342905974202</v>
      </c>
      <c r="AB72">
        <v>2050</v>
      </c>
      <c r="AC72">
        <v>1</v>
      </c>
      <c r="AD72">
        <v>2</v>
      </c>
      <c r="AE72">
        <v>-0.51011828243844404</v>
      </c>
      <c r="AF72">
        <v>-0.69087144000224199</v>
      </c>
      <c r="AG72">
        <v>-0.82853986313327799</v>
      </c>
      <c r="AH72">
        <v>-0.62094152804389302</v>
      </c>
      <c r="AI72">
        <v>0.31866749528971899</v>
      </c>
      <c r="AJ72">
        <v>3.7961652424323297E-2</v>
      </c>
      <c r="AK72">
        <v>47.023905999999997</v>
      </c>
      <c r="AL72">
        <v>4.8380429999999999</v>
      </c>
      <c r="AM72">
        <v>50.621499999999997</v>
      </c>
      <c r="AN72">
        <v>3.0829999999999997</v>
      </c>
    </row>
    <row r="73" spans="1:40" x14ac:dyDescent="0.35">
      <c r="A73">
        <v>92</v>
      </c>
      <c r="B73">
        <v>42</v>
      </c>
      <c r="C73" t="s">
        <v>48</v>
      </c>
      <c r="D73" t="s">
        <v>41</v>
      </c>
      <c r="E73" t="s">
        <v>42</v>
      </c>
      <c r="F73" t="s">
        <v>49</v>
      </c>
      <c r="G73">
        <v>4</v>
      </c>
      <c r="H73">
        <v>16</v>
      </c>
      <c r="I73">
        <v>5</v>
      </c>
      <c r="J73" t="s">
        <v>56</v>
      </c>
      <c r="K73" t="s">
        <v>46</v>
      </c>
      <c r="L73" t="s">
        <v>54</v>
      </c>
      <c r="M73">
        <v>459.84219831431682</v>
      </c>
      <c r="N73">
        <v>627</v>
      </c>
      <c r="O73">
        <v>382</v>
      </c>
      <c r="P73">
        <v>605</v>
      </c>
      <c r="Q73">
        <v>3.9889840465642745</v>
      </c>
      <c r="R73">
        <v>3.0910424533583161</v>
      </c>
      <c r="S73">
        <v>4.1271343850450917</v>
      </c>
      <c r="T73">
        <v>92.826666666666668</v>
      </c>
      <c r="U73">
        <v>2.9827057067926286</v>
      </c>
      <c r="V73">
        <v>-0.16604708794949699</v>
      </c>
      <c r="W73">
        <v>-0.150727876652859</v>
      </c>
      <c r="X73">
        <v>-0.19602043866096</v>
      </c>
      <c r="Y73">
        <v>1.4483117406157899</v>
      </c>
      <c r="Z73">
        <v>1.7680602694732599</v>
      </c>
      <c r="AA73">
        <v>0.26366440732357699</v>
      </c>
      <c r="AB73">
        <v>4236</v>
      </c>
      <c r="AC73">
        <v>0</v>
      </c>
      <c r="AD73">
        <v>4</v>
      </c>
      <c r="AE73">
        <v>1.6751267091712101</v>
      </c>
      <c r="AF73">
        <v>1.6712537129020699</v>
      </c>
      <c r="AG73">
        <v>0.11821805627490101</v>
      </c>
      <c r="AH73">
        <v>0.91879163679488896</v>
      </c>
      <c r="AI73">
        <v>-0.36398323851568998</v>
      </c>
      <c r="AJ73">
        <v>0.77396009955765699</v>
      </c>
      <c r="AK73">
        <v>44.917983300000003</v>
      </c>
      <c r="AL73">
        <v>-0.22352169999999999</v>
      </c>
      <c r="AM73">
        <v>45.622500000000002</v>
      </c>
      <c r="AN73">
        <v>5.5615000000000006</v>
      </c>
    </row>
    <row r="74" spans="1:40" x14ac:dyDescent="0.35">
      <c r="A74">
        <v>93</v>
      </c>
      <c r="B74">
        <v>57</v>
      </c>
      <c r="C74" t="s">
        <v>40</v>
      </c>
      <c r="D74" t="s">
        <v>41</v>
      </c>
      <c r="E74" t="s">
        <v>42</v>
      </c>
      <c r="F74" t="s">
        <v>49</v>
      </c>
      <c r="G74">
        <v>5</v>
      </c>
      <c r="H74">
        <v>25</v>
      </c>
      <c r="I74">
        <v>6</v>
      </c>
      <c r="J74" t="s">
        <v>50</v>
      </c>
      <c r="K74" t="s">
        <v>46</v>
      </c>
      <c r="L74" t="s">
        <v>72</v>
      </c>
      <c r="M74">
        <v>438.55279388778791</v>
      </c>
      <c r="N74">
        <v>590</v>
      </c>
      <c r="O74">
        <v>360</v>
      </c>
      <c r="P74">
        <v>419</v>
      </c>
      <c r="Q74">
        <v>0.69314718055994529</v>
      </c>
      <c r="R74">
        <v>1.3862943611198906</v>
      </c>
      <c r="S74">
        <v>4.5538768916005408</v>
      </c>
      <c r="T74">
        <v>89.340161030595823</v>
      </c>
      <c r="U74">
        <v>1.4712304197281412</v>
      </c>
      <c r="V74">
        <v>0.59716251398508702</v>
      </c>
      <c r="W74">
        <v>0.91068296986709796</v>
      </c>
      <c r="X74">
        <v>1.2273243988355</v>
      </c>
      <c r="Y74">
        <v>-0.4121809470949</v>
      </c>
      <c r="Z74">
        <v>-0.86472582726521097</v>
      </c>
      <c r="AA74">
        <v>-1.0172779374790899</v>
      </c>
      <c r="AB74">
        <v>1828.1689246701658</v>
      </c>
      <c r="AC74">
        <v>1.1127464888636687</v>
      </c>
      <c r="AD74">
        <v>1.8630656830756136</v>
      </c>
      <c r="AE74">
        <v>-0.53926882203722504</v>
      </c>
      <c r="AF74">
        <v>0.95939628612373895</v>
      </c>
      <c r="AG74">
        <v>-2.2608523956852999</v>
      </c>
      <c r="AH74">
        <v>-1.6128731230703299</v>
      </c>
      <c r="AI74">
        <v>-1.77730209268957</v>
      </c>
      <c r="AJ74">
        <v>0.86446221625714004</v>
      </c>
      <c r="AK74">
        <v>44.503641999999999</v>
      </c>
      <c r="AL74">
        <v>1.1863669999999999</v>
      </c>
      <c r="AM74">
        <v>48.307000000000002</v>
      </c>
      <c r="AN74">
        <v>2.677</v>
      </c>
    </row>
    <row r="75" spans="1:40" x14ac:dyDescent="0.35">
      <c r="A75">
        <v>94</v>
      </c>
      <c r="B75">
        <v>72</v>
      </c>
      <c r="C75" t="s">
        <v>40</v>
      </c>
      <c r="D75" t="s">
        <v>52</v>
      </c>
      <c r="E75" t="s">
        <v>68</v>
      </c>
      <c r="F75" t="s">
        <v>43</v>
      </c>
      <c r="G75">
        <v>5</v>
      </c>
      <c r="H75">
        <v>25</v>
      </c>
      <c r="I75">
        <v>6</v>
      </c>
      <c r="J75" t="s">
        <v>50</v>
      </c>
      <c r="K75" t="s">
        <v>46</v>
      </c>
      <c r="L75" t="s">
        <v>77</v>
      </c>
      <c r="M75">
        <v>511.37379025477219</v>
      </c>
      <c r="N75">
        <v>632</v>
      </c>
      <c r="O75">
        <v>423</v>
      </c>
      <c r="P75">
        <v>274</v>
      </c>
      <c r="Q75">
        <v>0</v>
      </c>
      <c r="R75">
        <v>2.3978952727983707</v>
      </c>
      <c r="S75">
        <v>5.1416635565026603</v>
      </c>
      <c r="T75">
        <v>90.472417453603512</v>
      </c>
      <c r="U75">
        <v>2.7735735584863375</v>
      </c>
      <c r="V75">
        <v>-0.15231437986527399</v>
      </c>
      <c r="W75">
        <v>3.49635939345109E-2</v>
      </c>
      <c r="X75">
        <v>-0.19627808847033801</v>
      </c>
      <c r="Y75">
        <v>-0.57382446736590997</v>
      </c>
      <c r="Z75">
        <v>-0.74335605457542497</v>
      </c>
      <c r="AA75">
        <v>-0.53588051656191904</v>
      </c>
      <c r="AB75">
        <v>3937</v>
      </c>
      <c r="AC75">
        <v>0</v>
      </c>
      <c r="AD75">
        <v>1</v>
      </c>
      <c r="AE75">
        <v>-0.72244456620022002</v>
      </c>
      <c r="AF75">
        <v>-6.9062996274791002E-3</v>
      </c>
      <c r="AG75">
        <v>-1.18918191309147</v>
      </c>
      <c r="AH75">
        <v>1.1472891804693099</v>
      </c>
      <c r="AI75">
        <v>0.507986636003807</v>
      </c>
      <c r="AJ75">
        <v>0.22427996989692001</v>
      </c>
      <c r="AK75">
        <v>47.259622</v>
      </c>
      <c r="AL75">
        <v>-7.8518000000000004E-2</v>
      </c>
      <c r="AM75">
        <v>50.640682937000001</v>
      </c>
      <c r="AN75">
        <v>4.6610704270000003</v>
      </c>
    </row>
    <row r="76" spans="1:40" x14ac:dyDescent="0.35">
      <c r="A76">
        <v>97</v>
      </c>
      <c r="B76">
        <v>57</v>
      </c>
      <c r="C76" t="s">
        <v>40</v>
      </c>
      <c r="D76" t="s">
        <v>41</v>
      </c>
      <c r="E76" t="s">
        <v>42</v>
      </c>
      <c r="F76" t="s">
        <v>61</v>
      </c>
      <c r="G76">
        <v>3</v>
      </c>
      <c r="H76">
        <v>9</v>
      </c>
      <c r="I76">
        <v>7</v>
      </c>
      <c r="J76" t="s">
        <v>45</v>
      </c>
      <c r="K76" t="s">
        <v>46</v>
      </c>
      <c r="L76" t="s">
        <v>65</v>
      </c>
      <c r="M76">
        <v>668.44573473989135</v>
      </c>
      <c r="N76">
        <v>881</v>
      </c>
      <c r="O76">
        <v>470</v>
      </c>
      <c r="P76">
        <v>367</v>
      </c>
      <c r="Q76">
        <v>0</v>
      </c>
      <c r="R76">
        <v>0</v>
      </c>
      <c r="S76">
        <v>4.4543472962535073</v>
      </c>
      <c r="T76">
        <v>89.333044733044744</v>
      </c>
      <c r="U76">
        <v>1.2554235437523662</v>
      </c>
      <c r="V76">
        <v>1.64975517953679</v>
      </c>
      <c r="W76">
        <v>2.4220969657957299</v>
      </c>
      <c r="X76">
        <v>1.68128863126442</v>
      </c>
      <c r="Y76">
        <v>2.0553398017137301</v>
      </c>
      <c r="Z76">
        <v>2.0921400018840099</v>
      </c>
      <c r="AA76">
        <v>2.0596698968962701</v>
      </c>
      <c r="AB76">
        <v>3262.71</v>
      </c>
      <c r="AC76">
        <v>0.33</v>
      </c>
      <c r="AD76">
        <v>0.66</v>
      </c>
      <c r="AE76">
        <v>1.9221838973381</v>
      </c>
      <c r="AF76">
        <v>0.39272561358480501</v>
      </c>
      <c r="AG76">
        <v>6.0999233349998197E-2</v>
      </c>
      <c r="AH76">
        <v>-0.962568062572699</v>
      </c>
      <c r="AI76">
        <v>0.97069596298295502</v>
      </c>
      <c r="AJ76">
        <v>-7.7184051219009994E-2</v>
      </c>
      <c r="AK76">
        <v>43.537466000000002</v>
      </c>
      <c r="AL76">
        <v>6.4627330000000001</v>
      </c>
      <c r="AM76">
        <v>48.884999999999998</v>
      </c>
      <c r="AN76">
        <v>2.5089999999999999</v>
      </c>
    </row>
    <row r="77" spans="1:40" x14ac:dyDescent="0.35">
      <c r="A77">
        <v>99</v>
      </c>
      <c r="B77">
        <v>72</v>
      </c>
      <c r="C77" t="s">
        <v>40</v>
      </c>
      <c r="D77" t="s">
        <v>52</v>
      </c>
      <c r="E77" t="s">
        <v>42</v>
      </c>
      <c r="F77" t="s">
        <v>5</v>
      </c>
      <c r="G77">
        <v>5</v>
      </c>
      <c r="H77">
        <v>25</v>
      </c>
      <c r="I77">
        <v>5</v>
      </c>
      <c r="J77" t="s">
        <v>56</v>
      </c>
      <c r="K77" t="s">
        <v>46</v>
      </c>
      <c r="L77" t="s">
        <v>71</v>
      </c>
      <c r="M77">
        <v>438.2957353768922</v>
      </c>
      <c r="N77">
        <v>451</v>
      </c>
      <c r="O77">
        <v>240</v>
      </c>
      <c r="P77">
        <v>229</v>
      </c>
      <c r="Q77">
        <v>4.5747109785033828</v>
      </c>
      <c r="R77">
        <v>3.5263605246161616</v>
      </c>
      <c r="S77">
        <v>5.1416635565026603</v>
      </c>
      <c r="T77">
        <v>92.265120976563693</v>
      </c>
      <c r="U77">
        <v>2.9351954657362995</v>
      </c>
      <c r="V77">
        <v>-8.3509539921858403E-2</v>
      </c>
      <c r="W77">
        <v>-8.6188355584626702E-2</v>
      </c>
      <c r="X77">
        <v>-6.2117403422328299E-2</v>
      </c>
      <c r="Y77">
        <v>-0.51135009403950604</v>
      </c>
      <c r="Z77">
        <v>-0.669554030021006</v>
      </c>
      <c r="AA77">
        <v>-1.4915282051312999</v>
      </c>
      <c r="AB77">
        <v>1813.5248996931791</v>
      </c>
      <c r="AC77">
        <v>1.6535284399339156</v>
      </c>
      <c r="AD77">
        <v>0.49421760679726223</v>
      </c>
      <c r="AE77">
        <v>-0.18520258641298501</v>
      </c>
      <c r="AF77">
        <v>-0.55798090721828397</v>
      </c>
      <c r="AG77">
        <v>-0.67609744058965504</v>
      </c>
      <c r="AH77">
        <v>-0.32833692281028398</v>
      </c>
      <c r="AI77">
        <v>-0.64199695077255303</v>
      </c>
      <c r="AJ77">
        <v>-2.0588203992811098</v>
      </c>
      <c r="AK77">
        <v>45.071283999999999</v>
      </c>
      <c r="AL77">
        <v>4.8370730000000002</v>
      </c>
      <c r="AM77">
        <v>48.550166666666655</v>
      </c>
      <c r="AN77">
        <v>7.5330000000000021</v>
      </c>
    </row>
    <row r="78" spans="1:40" x14ac:dyDescent="0.35">
      <c r="A78">
        <v>100</v>
      </c>
      <c r="B78">
        <v>57</v>
      </c>
      <c r="C78" t="s">
        <v>40</v>
      </c>
      <c r="D78" t="s">
        <v>66</v>
      </c>
      <c r="E78" t="s">
        <v>42</v>
      </c>
      <c r="F78" t="s">
        <v>49</v>
      </c>
      <c r="G78">
        <v>5</v>
      </c>
      <c r="H78">
        <v>25</v>
      </c>
      <c r="I78">
        <v>6</v>
      </c>
      <c r="J78" t="s">
        <v>56</v>
      </c>
      <c r="K78" t="s">
        <v>46</v>
      </c>
      <c r="L78" t="s">
        <v>47</v>
      </c>
      <c r="M78">
        <v>246.90424310133639</v>
      </c>
      <c r="N78">
        <v>347</v>
      </c>
      <c r="O78">
        <v>226</v>
      </c>
      <c r="P78">
        <v>347</v>
      </c>
      <c r="Q78">
        <v>5.9107966440405271</v>
      </c>
      <c r="R78">
        <v>6.4997870406558542</v>
      </c>
      <c r="S78">
        <v>8.6415324656718457</v>
      </c>
      <c r="T78">
        <v>89.265350482850479</v>
      </c>
      <c r="U78">
        <v>1.4417786561042019</v>
      </c>
      <c r="V78">
        <v>-0.22886708829074301</v>
      </c>
      <c r="W78">
        <v>0.28745285629339301</v>
      </c>
      <c r="X78">
        <v>-0.15627425222847</v>
      </c>
      <c r="Y78">
        <v>1.45226138127617</v>
      </c>
      <c r="Z78">
        <v>0.98247225355557</v>
      </c>
      <c r="AA78">
        <v>0.627775520474398</v>
      </c>
      <c r="AB78">
        <v>3362.2959371744532</v>
      </c>
      <c r="AC78">
        <v>2.8998317172850387</v>
      </c>
      <c r="AD78">
        <v>2.9499158586425196</v>
      </c>
      <c r="AE78">
        <v>1.06273170356322</v>
      </c>
      <c r="AF78">
        <v>0.41743121816416201</v>
      </c>
      <c r="AG78">
        <v>-0.24422084072104699</v>
      </c>
      <c r="AH78">
        <v>-6.5363377575710603E-3</v>
      </c>
      <c r="AI78">
        <v>-0.92958115135271202</v>
      </c>
      <c r="AJ78">
        <v>0.13622531368409199</v>
      </c>
      <c r="AK78">
        <v>43.3535629403058</v>
      </c>
      <c r="AL78">
        <v>3.21615314793977</v>
      </c>
      <c r="AM78">
        <v>45.53629999999999</v>
      </c>
      <c r="AN78">
        <v>3.7678999999999996</v>
      </c>
    </row>
    <row r="79" spans="1:40" x14ac:dyDescent="0.35">
      <c r="A79">
        <v>101</v>
      </c>
      <c r="B79">
        <v>72</v>
      </c>
      <c r="C79" t="s">
        <v>40</v>
      </c>
      <c r="D79" t="s">
        <v>52</v>
      </c>
      <c r="E79" t="s">
        <v>42</v>
      </c>
      <c r="F79" t="s">
        <v>49</v>
      </c>
      <c r="G79">
        <v>5</v>
      </c>
      <c r="H79">
        <v>25</v>
      </c>
      <c r="I79">
        <v>6</v>
      </c>
      <c r="J79" t="s">
        <v>50</v>
      </c>
      <c r="K79" t="s">
        <v>46</v>
      </c>
      <c r="L79" t="s">
        <v>59</v>
      </c>
      <c r="M79">
        <v>185.73583311501531</v>
      </c>
      <c r="N79">
        <v>216</v>
      </c>
      <c r="O79">
        <v>161</v>
      </c>
      <c r="P79">
        <v>152</v>
      </c>
      <c r="Q79">
        <v>1.3862943611198906</v>
      </c>
      <c r="R79">
        <v>1.3862943611198906</v>
      </c>
      <c r="S79">
        <v>4.9972122737641147</v>
      </c>
      <c r="T79">
        <v>90.035146103896111</v>
      </c>
      <c r="U79">
        <v>1.418823059726001</v>
      </c>
      <c r="V79">
        <v>-0.52223564926899602</v>
      </c>
      <c r="W79">
        <v>-0.46072710968150399</v>
      </c>
      <c r="X79">
        <v>-0.361786268345754</v>
      </c>
      <c r="Y79">
        <v>-0.552694479448822</v>
      </c>
      <c r="Z79">
        <v>2.1676297177028899E-2</v>
      </c>
      <c r="AA79">
        <v>0.625223797005378</v>
      </c>
      <c r="AB79">
        <v>2234.6992515788952</v>
      </c>
      <c r="AC79">
        <v>0</v>
      </c>
      <c r="AD79">
        <v>0.12112735591028891</v>
      </c>
      <c r="AE79">
        <v>-0.60610368582010199</v>
      </c>
      <c r="AF79">
        <v>1.2926909372265301</v>
      </c>
      <c r="AG79">
        <v>3.4060982068424103E-2</v>
      </c>
      <c r="AH79">
        <v>0.134082675087627</v>
      </c>
      <c r="AI79">
        <v>1.406801452198621</v>
      </c>
      <c r="AJ79">
        <v>0.11901470108199866</v>
      </c>
      <c r="AK79">
        <v>47.411035099999999</v>
      </c>
      <c r="AL79">
        <v>0.98369799999999996</v>
      </c>
      <c r="AM79">
        <v>48.893999999999998</v>
      </c>
      <c r="AN79">
        <v>2.13</v>
      </c>
    </row>
    <row r="80" spans="1:40" x14ac:dyDescent="0.35">
      <c r="A80">
        <v>102</v>
      </c>
      <c r="B80">
        <v>72</v>
      </c>
      <c r="C80" t="s">
        <v>40</v>
      </c>
      <c r="D80" t="s">
        <v>52</v>
      </c>
      <c r="E80" t="s">
        <v>68</v>
      </c>
      <c r="F80" t="s">
        <v>49</v>
      </c>
      <c r="G80">
        <v>5</v>
      </c>
      <c r="H80">
        <v>25</v>
      </c>
      <c r="I80">
        <v>7</v>
      </c>
      <c r="J80" t="s">
        <v>45</v>
      </c>
      <c r="K80" t="s">
        <v>46</v>
      </c>
      <c r="L80" t="s">
        <v>60</v>
      </c>
      <c r="M80">
        <v>733.1172243891192</v>
      </c>
      <c r="N80">
        <v>927</v>
      </c>
      <c r="O80">
        <v>564</v>
      </c>
      <c r="P80">
        <v>468</v>
      </c>
      <c r="Q80">
        <v>3.8501476017100584</v>
      </c>
      <c r="R80">
        <v>2.9957322735539909</v>
      </c>
      <c r="S80">
        <v>5.4424177105217932</v>
      </c>
      <c r="T80">
        <v>88.975873222691746</v>
      </c>
      <c r="U80">
        <v>2.5514539469641888</v>
      </c>
      <c r="V80">
        <v>2.9336799326863701</v>
      </c>
      <c r="W80">
        <v>3.3730943146768602</v>
      </c>
      <c r="X80">
        <v>3.6072071704345601</v>
      </c>
      <c r="Y80">
        <v>-0.19189497559235799</v>
      </c>
      <c r="Z80">
        <v>0.17569111512999699</v>
      </c>
      <c r="AA80">
        <v>-0.304970615080496</v>
      </c>
      <c r="AB80">
        <v>1906.836709612184</v>
      </c>
      <c r="AC80">
        <v>0.7978420820676605</v>
      </c>
      <c r="AD80">
        <v>2.1056638128240834</v>
      </c>
      <c r="AE80">
        <v>-0.25037207080954499</v>
      </c>
      <c r="AF80">
        <v>-0.42412749496339902</v>
      </c>
      <c r="AG80">
        <v>1.04198898606642</v>
      </c>
      <c r="AH80">
        <v>-1.54859196437429</v>
      </c>
      <c r="AI80">
        <v>-2.6476956984752199E-2</v>
      </c>
      <c r="AJ80">
        <v>5.9501493995411103E-2</v>
      </c>
      <c r="AK80">
        <v>44.055988999999997</v>
      </c>
      <c r="AL80">
        <v>4.8317350000000001</v>
      </c>
      <c r="AM80">
        <v>50.640682937000001</v>
      </c>
      <c r="AN80">
        <v>4.6610704270000003</v>
      </c>
    </row>
    <row r="81" spans="1:40" x14ac:dyDescent="0.35">
      <c r="A81">
        <v>103</v>
      </c>
      <c r="B81">
        <v>57</v>
      </c>
      <c r="C81" t="s">
        <v>40</v>
      </c>
      <c r="D81" t="s">
        <v>66</v>
      </c>
      <c r="E81" t="s">
        <v>42</v>
      </c>
      <c r="F81" t="s">
        <v>49</v>
      </c>
      <c r="G81">
        <v>6</v>
      </c>
      <c r="H81">
        <v>36</v>
      </c>
      <c r="I81">
        <v>6</v>
      </c>
      <c r="J81" t="s">
        <v>50</v>
      </c>
      <c r="K81" t="s">
        <v>46</v>
      </c>
      <c r="L81" t="s">
        <v>74</v>
      </c>
      <c r="M81">
        <v>518.29461854763758</v>
      </c>
      <c r="N81">
        <v>657</v>
      </c>
      <c r="O81">
        <v>420</v>
      </c>
      <c r="P81">
        <v>377</v>
      </c>
      <c r="Q81">
        <v>1.6094379124341003</v>
      </c>
      <c r="R81">
        <v>2.5649493574615367</v>
      </c>
      <c r="S81">
        <v>4.8202815656050371</v>
      </c>
      <c r="T81">
        <v>91.984920634920627</v>
      </c>
      <c r="U81">
        <v>1.0351430572167302</v>
      </c>
      <c r="V81">
        <v>-0.45376679124596098</v>
      </c>
      <c r="W81">
        <v>-0.56138574648679695</v>
      </c>
      <c r="X81">
        <v>-0.92192590083580195</v>
      </c>
      <c r="Y81">
        <v>-1.17232967929859</v>
      </c>
      <c r="Z81">
        <v>-0.98267194414701198</v>
      </c>
      <c r="AA81">
        <v>-0.89586780259421905</v>
      </c>
      <c r="AB81">
        <v>1270</v>
      </c>
      <c r="AC81">
        <v>3</v>
      </c>
      <c r="AD81">
        <v>1</v>
      </c>
      <c r="AE81">
        <v>-1.1438350904766701</v>
      </c>
      <c r="AF81">
        <v>-1.49685199993891</v>
      </c>
      <c r="AG81">
        <v>0.37969401962352001</v>
      </c>
      <c r="AH81">
        <v>1.15664606314305</v>
      </c>
      <c r="AI81">
        <v>-0.23648528271987199</v>
      </c>
      <c r="AJ81">
        <v>1.0902570152523401</v>
      </c>
      <c r="AK81">
        <v>46.672161000000003</v>
      </c>
      <c r="AL81">
        <v>5.558465</v>
      </c>
      <c r="AM81">
        <v>44.834995499999998</v>
      </c>
      <c r="AN81">
        <v>-0.57549519999999998</v>
      </c>
    </row>
    <row r="82" spans="1:40" x14ac:dyDescent="0.35">
      <c r="A82">
        <v>104</v>
      </c>
      <c r="B82">
        <v>72</v>
      </c>
      <c r="C82" t="s">
        <v>40</v>
      </c>
      <c r="D82" t="s">
        <v>52</v>
      </c>
      <c r="E82" t="s">
        <v>42</v>
      </c>
      <c r="F82" t="s">
        <v>43</v>
      </c>
      <c r="G82">
        <v>6</v>
      </c>
      <c r="H82">
        <v>36</v>
      </c>
      <c r="I82">
        <v>5</v>
      </c>
      <c r="J82" t="s">
        <v>50</v>
      </c>
      <c r="K82" t="s">
        <v>46</v>
      </c>
      <c r="L82" t="s">
        <v>51</v>
      </c>
      <c r="M82">
        <v>157.82131685425651</v>
      </c>
      <c r="N82">
        <v>184</v>
      </c>
      <c r="O82">
        <v>154</v>
      </c>
      <c r="P82">
        <v>161</v>
      </c>
      <c r="Q82">
        <v>0</v>
      </c>
      <c r="R82">
        <v>1.3862943611198906</v>
      </c>
      <c r="S82">
        <v>4.3438054218536841</v>
      </c>
      <c r="T82">
        <v>91.16</v>
      </c>
      <c r="U82">
        <v>2.3174698847378039</v>
      </c>
      <c r="V82">
        <v>-0.58471966768986094</v>
      </c>
      <c r="W82">
        <v>-0.55557078097057</v>
      </c>
      <c r="X82">
        <v>-0.47566183223429498</v>
      </c>
      <c r="Y82">
        <v>-0.95884680312505799</v>
      </c>
      <c r="Z82">
        <v>-0.76521334103430205</v>
      </c>
      <c r="AA82">
        <v>-0.77245900699560299</v>
      </c>
      <c r="AB82">
        <v>1376</v>
      </c>
      <c r="AC82">
        <v>0</v>
      </c>
      <c r="AD82">
        <v>2</v>
      </c>
      <c r="AE82">
        <v>-1.2769936012368599</v>
      </c>
      <c r="AF82">
        <v>-0.42059355246375801</v>
      </c>
      <c r="AG82">
        <v>-0.44314218921479398</v>
      </c>
      <c r="AH82">
        <v>0.59095743157589897</v>
      </c>
      <c r="AI82">
        <v>1.4836044289928401</v>
      </c>
      <c r="AJ82">
        <v>0.76193534118230599</v>
      </c>
      <c r="AK82">
        <v>47.815207299999997</v>
      </c>
      <c r="AL82">
        <v>3.8001657</v>
      </c>
      <c r="AM82">
        <v>48.856372813999997</v>
      </c>
      <c r="AN82">
        <v>2.3525296170000001</v>
      </c>
    </row>
    <row r="83" spans="1:40" x14ac:dyDescent="0.35">
      <c r="A83">
        <v>108</v>
      </c>
      <c r="B83">
        <v>72</v>
      </c>
      <c r="C83" t="s">
        <v>40</v>
      </c>
      <c r="D83" t="s">
        <v>52</v>
      </c>
      <c r="E83" t="s">
        <v>42</v>
      </c>
      <c r="F83" t="s">
        <v>49</v>
      </c>
      <c r="G83">
        <v>5</v>
      </c>
      <c r="H83">
        <v>25</v>
      </c>
      <c r="I83">
        <v>7</v>
      </c>
      <c r="J83" t="s">
        <v>56</v>
      </c>
      <c r="K83" t="s">
        <v>46</v>
      </c>
      <c r="L83" t="s">
        <v>57</v>
      </c>
      <c r="M83">
        <v>721.77755679220377</v>
      </c>
      <c r="N83">
        <v>829</v>
      </c>
      <c r="O83">
        <v>499</v>
      </c>
      <c r="P83">
        <v>472</v>
      </c>
      <c r="Q83">
        <v>0.69314718055994529</v>
      </c>
      <c r="R83">
        <v>3.6109179126442243</v>
      </c>
      <c r="S83">
        <v>5.8833223884882786</v>
      </c>
      <c r="T83">
        <v>90.922105263157903</v>
      </c>
      <c r="U83">
        <v>2.3923758041545438</v>
      </c>
      <c r="V83">
        <v>-0.399596989308249</v>
      </c>
      <c r="W83">
        <v>-0.58810405700346202</v>
      </c>
      <c r="X83">
        <v>-0.29041857108635599</v>
      </c>
      <c r="Y83">
        <v>-0.846122564821426</v>
      </c>
      <c r="Z83">
        <v>-0.92679578564836795</v>
      </c>
      <c r="AA83">
        <v>0.86332342905974202</v>
      </c>
      <c r="AB83">
        <v>2050</v>
      </c>
      <c r="AC83">
        <v>1</v>
      </c>
      <c r="AD83">
        <v>2</v>
      </c>
      <c r="AE83">
        <v>-0.51011828243844404</v>
      </c>
      <c r="AF83">
        <v>0.52383681563907902</v>
      </c>
      <c r="AG83">
        <v>0.200268750643641</v>
      </c>
      <c r="AH83">
        <v>-0.40422744009878397</v>
      </c>
      <c r="AI83">
        <v>1.3328400348318501</v>
      </c>
      <c r="AJ83">
        <v>-0.32345627269182597</v>
      </c>
      <c r="AK83">
        <v>47.023905999999997</v>
      </c>
      <c r="AL83">
        <v>4.8380429999999999</v>
      </c>
      <c r="AM83">
        <v>48.552999999999997</v>
      </c>
      <c r="AN83">
        <v>-4.54725</v>
      </c>
    </row>
    <row r="84" spans="1:40" x14ac:dyDescent="0.35">
      <c r="A84">
        <v>109</v>
      </c>
      <c r="B84">
        <v>72</v>
      </c>
      <c r="C84" t="s">
        <v>40</v>
      </c>
      <c r="D84" t="s">
        <v>52</v>
      </c>
      <c r="E84" t="s">
        <v>42</v>
      </c>
      <c r="F84" t="s">
        <v>49</v>
      </c>
      <c r="G84">
        <v>5</v>
      </c>
      <c r="H84">
        <v>25</v>
      </c>
      <c r="I84">
        <v>6</v>
      </c>
      <c r="J84" t="s">
        <v>56</v>
      </c>
      <c r="K84" t="s">
        <v>46</v>
      </c>
      <c r="L84" t="s">
        <v>65</v>
      </c>
      <c r="M84">
        <v>71.75980938321571</v>
      </c>
      <c r="N84">
        <v>85</v>
      </c>
      <c r="O84">
        <v>55</v>
      </c>
      <c r="P84">
        <v>80</v>
      </c>
      <c r="Q84">
        <v>0</v>
      </c>
      <c r="R84">
        <v>0</v>
      </c>
      <c r="S84">
        <v>4.4543472962535073</v>
      </c>
      <c r="T84">
        <v>89.333044733044744</v>
      </c>
      <c r="U84">
        <v>1.2554235437523662</v>
      </c>
      <c r="V84">
        <v>1.64975517953679</v>
      </c>
      <c r="W84">
        <v>2.4220969657957299</v>
      </c>
      <c r="X84">
        <v>1.68128863126442</v>
      </c>
      <c r="Y84">
        <v>2.0553398017137301</v>
      </c>
      <c r="Z84">
        <v>2.0921400018840099</v>
      </c>
      <c r="AA84">
        <v>2.0596698968962701</v>
      </c>
      <c r="AB84">
        <v>3262.71</v>
      </c>
      <c r="AC84">
        <v>0.33</v>
      </c>
      <c r="AD84">
        <v>0.66</v>
      </c>
      <c r="AE84">
        <v>1.9221838973381</v>
      </c>
      <c r="AF84">
        <v>0.77651153853281796</v>
      </c>
      <c r="AG84">
        <v>1.1757976072860199</v>
      </c>
      <c r="AH84">
        <v>-0.82401071745349197</v>
      </c>
      <c r="AI84">
        <v>-0.13685537087216301</v>
      </c>
      <c r="AJ84">
        <v>0.44784290717132602</v>
      </c>
      <c r="AK84">
        <v>43.537466000000002</v>
      </c>
      <c r="AL84">
        <v>6.4627330000000001</v>
      </c>
      <c r="AM84">
        <v>43.087000000000003</v>
      </c>
      <c r="AN84">
        <v>5.8289999999999997</v>
      </c>
    </row>
    <row r="85" spans="1:40" x14ac:dyDescent="0.35">
      <c r="A85">
        <v>110</v>
      </c>
      <c r="B85">
        <v>72</v>
      </c>
      <c r="C85" t="s">
        <v>40</v>
      </c>
      <c r="D85" t="s">
        <v>52</v>
      </c>
      <c r="E85" t="s">
        <v>42</v>
      </c>
      <c r="F85" t="s">
        <v>49</v>
      </c>
      <c r="G85">
        <v>6</v>
      </c>
      <c r="H85">
        <v>36</v>
      </c>
      <c r="I85">
        <v>6</v>
      </c>
      <c r="J85" t="s">
        <v>56</v>
      </c>
      <c r="K85" t="s">
        <v>46</v>
      </c>
      <c r="L85" t="s">
        <v>55</v>
      </c>
      <c r="M85">
        <v>423.3918724304271</v>
      </c>
      <c r="N85">
        <v>554</v>
      </c>
      <c r="O85">
        <v>374</v>
      </c>
      <c r="P85">
        <v>249</v>
      </c>
      <c r="Q85">
        <v>2.0794415416798357</v>
      </c>
      <c r="R85">
        <v>2.3025850929940459</v>
      </c>
      <c r="S85">
        <v>3.2580965380214821</v>
      </c>
      <c r="T85">
        <v>95.12</v>
      </c>
      <c r="U85">
        <v>0</v>
      </c>
      <c r="V85">
        <v>1.89305099905856</v>
      </c>
      <c r="W85">
        <v>0.59880690621441701</v>
      </c>
      <c r="X85">
        <v>1.1856460040685599</v>
      </c>
      <c r="Y85">
        <v>-0.15565097555555901</v>
      </c>
      <c r="Z85">
        <v>-0.22748295097212001</v>
      </c>
      <c r="AA85">
        <v>1.0415013010201299</v>
      </c>
      <c r="AB85">
        <v>2939.9504036908884</v>
      </c>
      <c r="AC85">
        <v>2</v>
      </c>
      <c r="AD85">
        <v>0.42868127643214149</v>
      </c>
      <c r="AE85">
        <v>-2.40641039566141E-2</v>
      </c>
      <c r="AF85">
        <v>-2.0701595615688602</v>
      </c>
      <c r="AG85">
        <v>0.70778261824104804</v>
      </c>
      <c r="AH85">
        <v>-0.211819098537814</v>
      </c>
      <c r="AI85">
        <v>3.2713323083316502E-2</v>
      </c>
      <c r="AJ85">
        <v>1.16097282901619</v>
      </c>
      <c r="AK85">
        <v>48.0777517</v>
      </c>
      <c r="AL85">
        <v>7.3579641000000002</v>
      </c>
      <c r="AM85">
        <v>50.725000000000001</v>
      </c>
      <c r="AN85">
        <v>3.1589999999999998</v>
      </c>
    </row>
    <row r="86" spans="1:40" x14ac:dyDescent="0.35">
      <c r="A86">
        <v>111</v>
      </c>
      <c r="B86">
        <v>72</v>
      </c>
      <c r="C86" t="s">
        <v>48</v>
      </c>
      <c r="D86" t="s">
        <v>52</v>
      </c>
      <c r="E86" t="s">
        <v>42</v>
      </c>
      <c r="F86" t="s">
        <v>49</v>
      </c>
      <c r="G86">
        <v>6</v>
      </c>
      <c r="H86">
        <v>36</v>
      </c>
      <c r="I86">
        <v>7</v>
      </c>
      <c r="J86" t="s">
        <v>50</v>
      </c>
      <c r="K86" t="s">
        <v>46</v>
      </c>
      <c r="L86" t="s">
        <v>76</v>
      </c>
      <c r="M86">
        <v>157.6697405851333</v>
      </c>
      <c r="N86">
        <v>166</v>
      </c>
      <c r="O86">
        <v>101</v>
      </c>
      <c r="P86">
        <v>183</v>
      </c>
      <c r="Q86">
        <v>0</v>
      </c>
      <c r="R86">
        <v>1.0986122886681098</v>
      </c>
      <c r="S86">
        <v>4.1588830833596715</v>
      </c>
      <c r="T86">
        <v>91.226666666666674</v>
      </c>
      <c r="U86">
        <v>1.418823059726001</v>
      </c>
      <c r="V86">
        <v>-0.39095273818515502</v>
      </c>
      <c r="W86">
        <v>-0.53446083104759001</v>
      </c>
      <c r="X86">
        <v>-0.40804429067029002</v>
      </c>
      <c r="Y86">
        <v>-0.56789545922357498</v>
      </c>
      <c r="Z86">
        <v>-0.94760790482486201</v>
      </c>
      <c r="AA86">
        <v>-1.0848673571571601</v>
      </c>
      <c r="AB86">
        <v>1770.5103102717287</v>
      </c>
      <c r="AC86">
        <v>0.28213528618230871</v>
      </c>
      <c r="AD86">
        <v>1.7130468298323378</v>
      </c>
      <c r="AE86">
        <v>-1.13486126839574</v>
      </c>
      <c r="AF86">
        <v>0.17711552307526801</v>
      </c>
      <c r="AG86">
        <v>0.61359913056292703</v>
      </c>
      <c r="AH86">
        <v>-0.891585224462352</v>
      </c>
      <c r="AI86">
        <v>0.49386847442194098</v>
      </c>
      <c r="AJ86">
        <v>-1.85330120943704</v>
      </c>
      <c r="AK86">
        <v>47.330690599999997</v>
      </c>
      <c r="AL86">
        <v>2.8390453999999998</v>
      </c>
      <c r="AM86">
        <v>48.686999999999998</v>
      </c>
      <c r="AN86">
        <v>2.2289999999999996</v>
      </c>
    </row>
    <row r="87" spans="1:40" x14ac:dyDescent="0.35">
      <c r="A87">
        <v>112</v>
      </c>
      <c r="B87">
        <v>57</v>
      </c>
      <c r="C87" t="s">
        <v>40</v>
      </c>
      <c r="D87" t="s">
        <v>52</v>
      </c>
      <c r="E87" t="s">
        <v>42</v>
      </c>
      <c r="F87" t="s">
        <v>49</v>
      </c>
      <c r="G87">
        <v>4</v>
      </c>
      <c r="H87">
        <v>16</v>
      </c>
      <c r="I87">
        <v>5</v>
      </c>
      <c r="J87" t="s">
        <v>45</v>
      </c>
      <c r="K87" t="s">
        <v>46</v>
      </c>
      <c r="L87" t="s">
        <v>78</v>
      </c>
      <c r="M87">
        <v>883.77267220037493</v>
      </c>
      <c r="N87">
        <v>1161</v>
      </c>
      <c r="O87">
        <v>932</v>
      </c>
      <c r="P87">
        <v>1620</v>
      </c>
      <c r="Q87">
        <v>0</v>
      </c>
      <c r="R87">
        <v>0</v>
      </c>
      <c r="S87">
        <v>3.784189633918261</v>
      </c>
      <c r="T87">
        <v>88.642856449106446</v>
      </c>
      <c r="U87">
        <v>1.0940428522509147</v>
      </c>
      <c r="V87">
        <v>8.5508000285955607E-3</v>
      </c>
      <c r="W87">
        <v>-0.51120442009665101</v>
      </c>
      <c r="X87">
        <v>-0.50395056569549701</v>
      </c>
      <c r="Y87">
        <v>-1.08176131679965</v>
      </c>
      <c r="Z87">
        <v>-1.2254354371323599</v>
      </c>
      <c r="AA87">
        <v>-2.1159072764009799</v>
      </c>
      <c r="AB87">
        <v>465.17385257301805</v>
      </c>
      <c r="AC87">
        <v>0.43254520166898469</v>
      </c>
      <c r="AD87">
        <v>0.43254520166898469</v>
      </c>
      <c r="AE87">
        <v>7.7424783941295205E-2</v>
      </c>
      <c r="AF87">
        <v>-0.68402533887710903</v>
      </c>
      <c r="AG87">
        <v>0.66305444704148797</v>
      </c>
      <c r="AH87">
        <v>1.08137406409759</v>
      </c>
      <c r="AI87">
        <v>-0.61131653711107303</v>
      </c>
      <c r="AJ87">
        <v>1.16757863244356</v>
      </c>
      <c r="AK87">
        <v>42.680641999999999</v>
      </c>
      <c r="AL87">
        <v>9.3018979999999996</v>
      </c>
      <c r="AM87">
        <v>48.922000000000004</v>
      </c>
      <c r="AN87">
        <v>2.2469999999999999</v>
      </c>
    </row>
    <row r="88" spans="1:40" x14ac:dyDescent="0.35">
      <c r="A88">
        <v>113</v>
      </c>
      <c r="B88">
        <v>42</v>
      </c>
      <c r="C88" t="s">
        <v>40</v>
      </c>
      <c r="D88" t="s">
        <v>41</v>
      </c>
      <c r="E88" t="s">
        <v>42</v>
      </c>
      <c r="F88" t="s">
        <v>49</v>
      </c>
      <c r="G88">
        <v>4</v>
      </c>
      <c r="H88">
        <v>16</v>
      </c>
      <c r="I88">
        <v>5</v>
      </c>
      <c r="J88" t="s">
        <v>45</v>
      </c>
      <c r="K88" t="s">
        <v>46</v>
      </c>
      <c r="L88" t="s">
        <v>55</v>
      </c>
      <c r="M88">
        <v>400.62732944050958</v>
      </c>
      <c r="N88">
        <v>573</v>
      </c>
      <c r="O88">
        <v>376</v>
      </c>
      <c r="P88">
        <v>220</v>
      </c>
      <c r="Q88">
        <v>2.0794415416798357</v>
      </c>
      <c r="R88">
        <v>2.3025850929940459</v>
      </c>
      <c r="S88">
        <v>3.2580965380214821</v>
      </c>
      <c r="T88">
        <v>95.12</v>
      </c>
      <c r="U88">
        <v>0</v>
      </c>
      <c r="V88">
        <v>1.89305099905856</v>
      </c>
      <c r="W88">
        <v>0.59880690621441701</v>
      </c>
      <c r="X88">
        <v>1.1856460040685599</v>
      </c>
      <c r="Y88">
        <v>-0.15565097555555901</v>
      </c>
      <c r="Z88">
        <v>-0.22748295097212001</v>
      </c>
      <c r="AA88">
        <v>1.0415013010201299</v>
      </c>
      <c r="AB88">
        <v>2939.9504036908884</v>
      </c>
      <c r="AC88">
        <v>2</v>
      </c>
      <c r="AD88">
        <v>0.42868127643214149</v>
      </c>
      <c r="AE88">
        <v>-2.40641039566141E-2</v>
      </c>
      <c r="AF88">
        <v>0.48078071120256799</v>
      </c>
      <c r="AG88">
        <v>-0.69790476624056397</v>
      </c>
      <c r="AH88">
        <v>-1.00947007360798</v>
      </c>
      <c r="AI88">
        <v>-0.49881829090360502</v>
      </c>
      <c r="AJ88">
        <v>-0.42123788355685898</v>
      </c>
      <c r="AK88">
        <v>48.0777517</v>
      </c>
      <c r="AL88">
        <v>7.3579641000000002</v>
      </c>
      <c r="AM88">
        <v>48.817999999999998</v>
      </c>
      <c r="AN88">
        <v>2.0470000000000002</v>
      </c>
    </row>
    <row r="89" spans="1:40" x14ac:dyDescent="0.35">
      <c r="A89">
        <v>115</v>
      </c>
      <c r="B89">
        <v>72</v>
      </c>
      <c r="C89" t="s">
        <v>48</v>
      </c>
      <c r="D89" t="s">
        <v>52</v>
      </c>
      <c r="E89" t="s">
        <v>42</v>
      </c>
      <c r="F89" t="s">
        <v>49</v>
      </c>
      <c r="G89">
        <v>3</v>
      </c>
      <c r="H89">
        <v>9</v>
      </c>
      <c r="I89">
        <v>5</v>
      </c>
      <c r="J89" t="s">
        <v>45</v>
      </c>
      <c r="K89" t="s">
        <v>46</v>
      </c>
      <c r="L89" t="s">
        <v>71</v>
      </c>
      <c r="M89">
        <v>637.75646821949181</v>
      </c>
      <c r="N89">
        <v>756</v>
      </c>
      <c r="O89">
        <v>390</v>
      </c>
      <c r="P89">
        <v>382</v>
      </c>
      <c r="Q89">
        <v>4.5747109785033828</v>
      </c>
      <c r="R89">
        <v>3.5263605246161616</v>
      </c>
      <c r="S89">
        <v>5.1416635565026603</v>
      </c>
      <c r="T89">
        <v>92.265120976563693</v>
      </c>
      <c r="U89">
        <v>2.9351954657362995</v>
      </c>
      <c r="V89">
        <v>-8.3509539921858403E-2</v>
      </c>
      <c r="W89">
        <v>-8.6188355584626702E-2</v>
      </c>
      <c r="X89">
        <v>-6.2117403422328299E-2</v>
      </c>
      <c r="Y89">
        <v>-0.51135009403950604</v>
      </c>
      <c r="Z89">
        <v>-0.669554030021006</v>
      </c>
      <c r="AA89">
        <v>-1.4915282051312999</v>
      </c>
      <c r="AB89">
        <v>1813.5248996931791</v>
      </c>
      <c r="AC89">
        <v>1.6535284399339156</v>
      </c>
      <c r="AD89">
        <v>0.49421760679726223</v>
      </c>
      <c r="AE89">
        <v>-0.18520258641298501</v>
      </c>
      <c r="AF89">
        <v>1.2678340067339799</v>
      </c>
      <c r="AG89">
        <v>0.45592153101521798</v>
      </c>
      <c r="AH89">
        <v>0.20141699967254201</v>
      </c>
      <c r="AI89">
        <v>1.2229651154971699</v>
      </c>
      <c r="AJ89">
        <v>-1.1389844391127799</v>
      </c>
      <c r="AK89">
        <v>45.071283999999999</v>
      </c>
      <c r="AL89">
        <v>4.8370730000000002</v>
      </c>
      <c r="AM89">
        <v>47.937375000000003</v>
      </c>
      <c r="AN89">
        <v>-2.37575</v>
      </c>
    </row>
    <row r="90" spans="1:40" x14ac:dyDescent="0.35">
      <c r="A90">
        <v>116</v>
      </c>
      <c r="B90">
        <v>72</v>
      </c>
      <c r="C90" t="s">
        <v>40</v>
      </c>
      <c r="D90" t="s">
        <v>52</v>
      </c>
      <c r="E90" t="s">
        <v>42</v>
      </c>
      <c r="F90" t="s">
        <v>61</v>
      </c>
      <c r="G90">
        <v>4</v>
      </c>
      <c r="H90">
        <v>16</v>
      </c>
      <c r="I90">
        <v>4</v>
      </c>
      <c r="J90" t="s">
        <v>45</v>
      </c>
      <c r="K90" t="s">
        <v>46</v>
      </c>
      <c r="L90" t="s">
        <v>51</v>
      </c>
      <c r="M90">
        <v>159.16673243094709</v>
      </c>
      <c r="N90">
        <v>152</v>
      </c>
      <c r="O90">
        <v>99</v>
      </c>
      <c r="P90">
        <v>224</v>
      </c>
      <c r="Q90">
        <v>0</v>
      </c>
      <c r="R90">
        <v>1.3862943611198906</v>
      </c>
      <c r="S90">
        <v>4.3438054218536841</v>
      </c>
      <c r="T90">
        <v>91.16</v>
      </c>
      <c r="U90">
        <v>2.3174698847378039</v>
      </c>
      <c r="V90">
        <v>-0.58471966768986094</v>
      </c>
      <c r="W90">
        <v>-0.55557078097057</v>
      </c>
      <c r="X90">
        <v>-0.47566183223429498</v>
      </c>
      <c r="Y90">
        <v>-0.95884680312505799</v>
      </c>
      <c r="Z90">
        <v>-0.76521334103430205</v>
      </c>
      <c r="AA90">
        <v>-0.77245900699560299</v>
      </c>
      <c r="AB90">
        <v>1376</v>
      </c>
      <c r="AC90">
        <v>0</v>
      </c>
      <c r="AD90">
        <v>2</v>
      </c>
      <c r="AE90">
        <v>-1.2769936012368599</v>
      </c>
      <c r="AF90">
        <v>-0.62697543639062403</v>
      </c>
      <c r="AG90">
        <v>0.75891852916764002</v>
      </c>
      <c r="AH90">
        <v>-0.30404389997910403</v>
      </c>
      <c r="AI90">
        <v>-0.54155811794742803</v>
      </c>
      <c r="AJ90">
        <v>-1.0035246712497501</v>
      </c>
      <c r="AK90">
        <v>47.815207299999997</v>
      </c>
      <c r="AL90">
        <v>3.8001657</v>
      </c>
      <c r="AM90">
        <v>48.714333333333336</v>
      </c>
      <c r="AN90">
        <v>2.1300000000000003</v>
      </c>
    </row>
    <row r="91" spans="1:40" x14ac:dyDescent="0.35">
      <c r="A91">
        <v>117</v>
      </c>
      <c r="B91">
        <v>72</v>
      </c>
      <c r="C91" t="s">
        <v>40</v>
      </c>
      <c r="D91" t="s">
        <v>52</v>
      </c>
      <c r="E91" t="s">
        <v>42</v>
      </c>
      <c r="F91" t="s">
        <v>49</v>
      </c>
      <c r="G91">
        <v>4</v>
      </c>
      <c r="H91">
        <v>16</v>
      </c>
      <c r="I91">
        <v>5</v>
      </c>
      <c r="J91" t="s">
        <v>56</v>
      </c>
      <c r="K91" t="s">
        <v>46</v>
      </c>
      <c r="L91" t="s">
        <v>55</v>
      </c>
      <c r="M91">
        <v>62.737498289962559</v>
      </c>
      <c r="N91">
        <v>73</v>
      </c>
      <c r="O91">
        <v>61</v>
      </c>
      <c r="P91">
        <v>30</v>
      </c>
      <c r="Q91">
        <v>2.0794415416798357</v>
      </c>
      <c r="R91">
        <v>2.3025850929940459</v>
      </c>
      <c r="S91">
        <v>3.2580965380214821</v>
      </c>
      <c r="T91">
        <v>95.12</v>
      </c>
      <c r="U91">
        <v>0</v>
      </c>
      <c r="V91">
        <v>1.89305099905856</v>
      </c>
      <c r="W91">
        <v>0.59880690621441701</v>
      </c>
      <c r="X91">
        <v>1.1856460040685599</v>
      </c>
      <c r="Y91">
        <v>-0.15565097555555901</v>
      </c>
      <c r="Z91">
        <v>-0.22748295097212001</v>
      </c>
      <c r="AA91">
        <v>1.0415013010201299</v>
      </c>
      <c r="AB91">
        <v>2939.9504036908884</v>
      </c>
      <c r="AC91">
        <v>2</v>
      </c>
      <c r="AD91">
        <v>0.42868127643214149</v>
      </c>
      <c r="AE91">
        <v>-2.40641039566141E-2</v>
      </c>
      <c r="AF91">
        <v>0.17759940238572999</v>
      </c>
      <c r="AG91">
        <v>-2.0428853999216101</v>
      </c>
      <c r="AH91">
        <v>1.2345072367830401</v>
      </c>
      <c r="AI91">
        <v>-1.0410034333110501</v>
      </c>
      <c r="AJ91">
        <v>-0.81748015312812605</v>
      </c>
      <c r="AK91">
        <v>48.0777517</v>
      </c>
      <c r="AL91">
        <v>7.3579641000000002</v>
      </c>
      <c r="AM91">
        <v>48.570999999999998</v>
      </c>
      <c r="AN91">
        <v>7.7679999999999998</v>
      </c>
    </row>
    <row r="92" spans="1:40" x14ac:dyDescent="0.35">
      <c r="A92">
        <v>120</v>
      </c>
      <c r="B92">
        <v>72</v>
      </c>
      <c r="C92" t="s">
        <v>40</v>
      </c>
      <c r="D92" t="s">
        <v>52</v>
      </c>
      <c r="E92" t="s">
        <v>68</v>
      </c>
      <c r="F92" t="s">
        <v>49</v>
      </c>
      <c r="G92">
        <v>5</v>
      </c>
      <c r="H92">
        <v>25</v>
      </c>
      <c r="I92">
        <v>6</v>
      </c>
      <c r="J92" t="s">
        <v>50</v>
      </c>
      <c r="K92" t="s">
        <v>46</v>
      </c>
      <c r="L92" t="s">
        <v>57</v>
      </c>
      <c r="M92">
        <v>402.82622077649421</v>
      </c>
      <c r="N92">
        <v>571</v>
      </c>
      <c r="O92">
        <v>359</v>
      </c>
      <c r="P92">
        <v>264</v>
      </c>
      <c r="Q92">
        <v>0.69314718055994529</v>
      </c>
      <c r="R92">
        <v>3.6109179126442243</v>
      </c>
      <c r="S92">
        <v>5.8833223884882786</v>
      </c>
      <c r="T92">
        <v>90.922105263157903</v>
      </c>
      <c r="U92">
        <v>2.3923758041545438</v>
      </c>
      <c r="V92">
        <v>-0.399596989308249</v>
      </c>
      <c r="W92">
        <v>-0.58810405700346202</v>
      </c>
      <c r="X92">
        <v>-0.29041857108635599</v>
      </c>
      <c r="Y92">
        <v>-0.846122564821426</v>
      </c>
      <c r="Z92">
        <v>-0.92679578564836795</v>
      </c>
      <c r="AA92">
        <v>0.86332342905974202</v>
      </c>
      <c r="AB92">
        <v>2050</v>
      </c>
      <c r="AC92">
        <v>1</v>
      </c>
      <c r="AD92">
        <v>2</v>
      </c>
      <c r="AE92">
        <v>-0.51011828243844404</v>
      </c>
      <c r="AF92">
        <v>-0.18252253647284999</v>
      </c>
      <c r="AG92">
        <v>1.0705218735155</v>
      </c>
      <c r="AH92">
        <v>1.8914779382914297E-2</v>
      </c>
      <c r="AI92">
        <v>0.41116801586320301</v>
      </c>
      <c r="AJ92">
        <v>-7.8370899698403496E-2</v>
      </c>
      <c r="AK92">
        <v>47.023905999999997</v>
      </c>
      <c r="AL92">
        <v>4.8380429999999999</v>
      </c>
      <c r="AM92">
        <v>50.640682937000001</v>
      </c>
      <c r="AN92">
        <v>4.6610704270000003</v>
      </c>
    </row>
    <row r="93" spans="1:40" x14ac:dyDescent="0.35">
      <c r="A93">
        <v>121</v>
      </c>
      <c r="B93">
        <v>57</v>
      </c>
      <c r="C93" t="s">
        <v>40</v>
      </c>
      <c r="D93" t="s">
        <v>41</v>
      </c>
      <c r="E93" t="s">
        <v>42</v>
      </c>
      <c r="F93" t="s">
        <v>61</v>
      </c>
      <c r="G93">
        <v>4</v>
      </c>
      <c r="H93">
        <v>16</v>
      </c>
      <c r="I93">
        <v>5</v>
      </c>
      <c r="J93" t="s">
        <v>45</v>
      </c>
      <c r="K93" t="s">
        <v>46</v>
      </c>
      <c r="L93" t="s">
        <v>60</v>
      </c>
      <c r="M93">
        <v>637.15343073328268</v>
      </c>
      <c r="N93">
        <v>779</v>
      </c>
      <c r="O93">
        <v>521</v>
      </c>
      <c r="P93">
        <v>671</v>
      </c>
      <c r="Q93">
        <v>3.8501476017100584</v>
      </c>
      <c r="R93">
        <v>2.9957322735539909</v>
      </c>
      <c r="S93">
        <v>5.4424177105217932</v>
      </c>
      <c r="T93">
        <v>88.975873222691746</v>
      </c>
      <c r="U93">
        <v>2.5514539469641888</v>
      </c>
      <c r="V93">
        <v>2.9336799326863701</v>
      </c>
      <c r="W93">
        <v>3.3730943146768602</v>
      </c>
      <c r="X93">
        <v>3.6072071704345601</v>
      </c>
      <c r="Y93">
        <v>-0.19189497559235799</v>
      </c>
      <c r="Z93">
        <v>0.17569111512999699</v>
      </c>
      <c r="AA93">
        <v>-0.304970615080496</v>
      </c>
      <c r="AB93">
        <v>1906.836709612184</v>
      </c>
      <c r="AC93">
        <v>0.7978420820676605</v>
      </c>
      <c r="AD93">
        <v>2.1056638128240834</v>
      </c>
      <c r="AE93">
        <v>-0.25037207080954499</v>
      </c>
      <c r="AF93">
        <v>0.674485567285243</v>
      </c>
      <c r="AG93">
        <v>-0.87382560440916102</v>
      </c>
      <c r="AH93">
        <v>0.390783499120613</v>
      </c>
      <c r="AI93">
        <v>0.79250010349533895</v>
      </c>
      <c r="AJ93">
        <v>1.1471634246589</v>
      </c>
      <c r="AK93">
        <v>44.055988999999997</v>
      </c>
      <c r="AL93">
        <v>4.8317350000000001</v>
      </c>
      <c r="AM93">
        <v>49.33528571428571</v>
      </c>
      <c r="AN93">
        <v>1.6026666666666667</v>
      </c>
    </row>
    <row r="94" spans="1:40" x14ac:dyDescent="0.35">
      <c r="A94">
        <v>122</v>
      </c>
      <c r="B94">
        <v>72</v>
      </c>
      <c r="C94" t="s">
        <v>40</v>
      </c>
      <c r="D94" t="s">
        <v>52</v>
      </c>
      <c r="E94" t="s">
        <v>42</v>
      </c>
      <c r="F94" t="s">
        <v>49</v>
      </c>
      <c r="G94">
        <v>4</v>
      </c>
      <c r="H94">
        <v>16</v>
      </c>
      <c r="I94">
        <v>5</v>
      </c>
      <c r="J94" t="s">
        <v>50</v>
      </c>
      <c r="K94" t="s">
        <v>46</v>
      </c>
      <c r="L94" t="s">
        <v>59</v>
      </c>
      <c r="M94">
        <v>428.58734109640721</v>
      </c>
      <c r="N94">
        <v>566</v>
      </c>
      <c r="O94">
        <v>336</v>
      </c>
      <c r="P94">
        <v>241</v>
      </c>
      <c r="Q94">
        <v>1.3862943611198906</v>
      </c>
      <c r="R94">
        <v>1.3862943611198906</v>
      </c>
      <c r="S94">
        <v>4.9972122737641147</v>
      </c>
      <c r="T94">
        <v>90.035146103896111</v>
      </c>
      <c r="U94">
        <v>1.418823059726001</v>
      </c>
      <c r="V94">
        <v>-0.52223564926899602</v>
      </c>
      <c r="W94">
        <v>-0.46072710968150399</v>
      </c>
      <c r="X94">
        <v>-0.361786268345754</v>
      </c>
      <c r="Y94">
        <v>-0.552694479448822</v>
      </c>
      <c r="Z94">
        <v>2.1676297177028899E-2</v>
      </c>
      <c r="AA94">
        <v>0.625223797005378</v>
      </c>
      <c r="AB94">
        <v>2234.6992515788952</v>
      </c>
      <c r="AC94">
        <v>0</v>
      </c>
      <c r="AD94">
        <v>0.12112735591028891</v>
      </c>
      <c r="AE94">
        <v>-0.60610368582010199</v>
      </c>
      <c r="AF94">
        <v>0.44173247261571602</v>
      </c>
      <c r="AG94">
        <v>-0.39071016778763101</v>
      </c>
      <c r="AH94">
        <v>1.1789072563271701</v>
      </c>
      <c r="AI94">
        <v>0.61387660218822004</v>
      </c>
      <c r="AJ94">
        <v>-0.20946407357694399</v>
      </c>
      <c r="AK94">
        <v>47.411035099999999</v>
      </c>
      <c r="AL94">
        <v>0.98369799999999996</v>
      </c>
      <c r="AM94">
        <v>49.114461900000002</v>
      </c>
      <c r="AN94">
        <v>6.1720901000000001</v>
      </c>
    </row>
    <row r="95" spans="1:40" x14ac:dyDescent="0.35">
      <c r="A95">
        <v>123</v>
      </c>
      <c r="B95">
        <v>72</v>
      </c>
      <c r="C95" t="s">
        <v>40</v>
      </c>
      <c r="D95" t="s">
        <v>52</v>
      </c>
      <c r="E95" t="s">
        <v>68</v>
      </c>
      <c r="F95" t="s">
        <v>49</v>
      </c>
      <c r="G95">
        <v>5</v>
      </c>
      <c r="H95">
        <v>25</v>
      </c>
      <c r="I95">
        <v>7</v>
      </c>
      <c r="J95" t="s">
        <v>50</v>
      </c>
      <c r="K95" t="s">
        <v>46</v>
      </c>
      <c r="L95" t="s">
        <v>63</v>
      </c>
      <c r="M95">
        <v>732.39509136202378</v>
      </c>
      <c r="N95">
        <v>858</v>
      </c>
      <c r="O95">
        <v>532</v>
      </c>
      <c r="P95">
        <v>315</v>
      </c>
      <c r="Q95">
        <v>0</v>
      </c>
      <c r="R95">
        <v>0</v>
      </c>
      <c r="S95">
        <v>2.1972245773362196</v>
      </c>
      <c r="T95">
        <v>88.571764705882345</v>
      </c>
      <c r="U95">
        <v>1.0581645007873905</v>
      </c>
      <c r="V95">
        <v>-0.86345913794285001</v>
      </c>
      <c r="W95">
        <v>-0.82100750411685597</v>
      </c>
      <c r="X95">
        <v>-0.74332398245148801</v>
      </c>
      <c r="Y95">
        <v>1.4483117406157899</v>
      </c>
      <c r="Z95">
        <v>1.7680602694732599</v>
      </c>
      <c r="AA95">
        <v>0.26366440732357699</v>
      </c>
      <c r="AB95">
        <v>4236</v>
      </c>
      <c r="AC95">
        <v>0</v>
      </c>
      <c r="AD95">
        <v>4</v>
      </c>
      <c r="AE95">
        <v>1.6751267091712101</v>
      </c>
      <c r="AF95">
        <v>-0.394924502473877</v>
      </c>
      <c r="AG95">
        <v>-0.22401489782105599</v>
      </c>
      <c r="AH95">
        <v>1.11487635436938</v>
      </c>
      <c r="AI95">
        <v>0.28222254233565303</v>
      </c>
      <c r="AJ95">
        <v>-0.92340590098527497</v>
      </c>
      <c r="AK95">
        <v>45.086143999999997</v>
      </c>
      <c r="AL95">
        <v>-0.60531999999999997</v>
      </c>
      <c r="AM95">
        <v>50.640682937000001</v>
      </c>
      <c r="AN95">
        <v>4.6610704270000003</v>
      </c>
    </row>
    <row r="96" spans="1:40" x14ac:dyDescent="0.35">
      <c r="A96">
        <v>124</v>
      </c>
      <c r="B96">
        <v>72</v>
      </c>
      <c r="C96" t="s">
        <v>40</v>
      </c>
      <c r="D96" t="s">
        <v>52</v>
      </c>
      <c r="E96" t="s">
        <v>42</v>
      </c>
      <c r="F96" t="s">
        <v>49</v>
      </c>
      <c r="G96">
        <v>5</v>
      </c>
      <c r="H96">
        <v>25</v>
      </c>
      <c r="I96">
        <v>2</v>
      </c>
      <c r="J96" t="s">
        <v>45</v>
      </c>
      <c r="K96" t="s">
        <v>46</v>
      </c>
      <c r="L96" t="s">
        <v>79</v>
      </c>
      <c r="M96">
        <v>129.2595064427972</v>
      </c>
      <c r="N96">
        <v>279</v>
      </c>
      <c r="O96">
        <v>175</v>
      </c>
      <c r="P96">
        <v>212</v>
      </c>
      <c r="Q96">
        <v>0</v>
      </c>
      <c r="R96">
        <v>1.0986122886681098</v>
      </c>
      <c r="S96">
        <v>4.4659081186545837</v>
      </c>
      <c r="T96">
        <v>90.88000000000001</v>
      </c>
      <c r="U96">
        <v>0.63076672920079646</v>
      </c>
      <c r="V96">
        <v>-0.66459185691613598</v>
      </c>
      <c r="W96">
        <v>-0.11297510960708999</v>
      </c>
      <c r="X96">
        <v>-0.19037106594949799</v>
      </c>
      <c r="Y96">
        <v>-0.374020329094302</v>
      </c>
      <c r="Z96">
        <v>-0.78642831806525804</v>
      </c>
      <c r="AA96">
        <v>-1.3830773108541501</v>
      </c>
      <c r="AB96">
        <v>1910</v>
      </c>
      <c r="AC96">
        <v>4</v>
      </c>
      <c r="AD96">
        <v>0</v>
      </c>
      <c r="AE96">
        <v>3.4620335695619099E-2</v>
      </c>
      <c r="AF96">
        <v>-0.40132398725016399</v>
      </c>
      <c r="AG96">
        <v>1.60485974276781</v>
      </c>
      <c r="AH96">
        <v>0.18352055219545901</v>
      </c>
      <c r="AI96">
        <v>1.0878903622112901</v>
      </c>
      <c r="AJ96">
        <v>-0.215615313543361</v>
      </c>
      <c r="AK96">
        <v>42.698529999999998</v>
      </c>
      <c r="AL96">
        <v>2.8953120000000001</v>
      </c>
      <c r="AM96">
        <v>43.717300000000009</v>
      </c>
      <c r="AN96">
        <v>2.1308999999999996</v>
      </c>
    </row>
    <row r="97" spans="1:40" x14ac:dyDescent="0.35">
      <c r="A97">
        <v>127</v>
      </c>
      <c r="B97">
        <v>72</v>
      </c>
      <c r="C97" t="s">
        <v>40</v>
      </c>
      <c r="D97" t="s">
        <v>52</v>
      </c>
      <c r="E97" t="s">
        <v>42</v>
      </c>
      <c r="F97" t="s">
        <v>49</v>
      </c>
      <c r="G97">
        <v>7</v>
      </c>
      <c r="H97">
        <v>49</v>
      </c>
      <c r="I97">
        <v>7</v>
      </c>
      <c r="J97" t="s">
        <v>50</v>
      </c>
      <c r="K97" t="s">
        <v>46</v>
      </c>
      <c r="L97" t="s">
        <v>59</v>
      </c>
      <c r="M97">
        <v>190.33174110274479</v>
      </c>
      <c r="N97">
        <v>224</v>
      </c>
      <c r="O97">
        <v>178</v>
      </c>
      <c r="P97">
        <v>97</v>
      </c>
      <c r="Q97">
        <v>1.3862943611198906</v>
      </c>
      <c r="R97">
        <v>1.3862943611198906</v>
      </c>
      <c r="S97">
        <v>4.9972122737641147</v>
      </c>
      <c r="T97">
        <v>90.035146103896111</v>
      </c>
      <c r="U97">
        <v>1.418823059726001</v>
      </c>
      <c r="V97">
        <v>-0.52223564926899602</v>
      </c>
      <c r="W97">
        <v>-0.46072710968150399</v>
      </c>
      <c r="X97">
        <v>-0.361786268345754</v>
      </c>
      <c r="Y97">
        <v>-0.552694479448822</v>
      </c>
      <c r="Z97">
        <v>2.1676297177028899E-2</v>
      </c>
      <c r="AA97">
        <v>0.625223797005378</v>
      </c>
      <c r="AB97">
        <v>2234.6992515788952</v>
      </c>
      <c r="AC97">
        <v>0</v>
      </c>
      <c r="AD97">
        <v>0.12112735591028891</v>
      </c>
      <c r="AE97">
        <v>-0.60610368582010199</v>
      </c>
      <c r="AF97">
        <v>-1.8120166572826499</v>
      </c>
      <c r="AG97">
        <v>-0.46531891020743399</v>
      </c>
      <c r="AH97">
        <v>1.3220378676051401</v>
      </c>
      <c r="AI97">
        <v>0.79250010349533895</v>
      </c>
      <c r="AJ97">
        <v>1.1471634246589</v>
      </c>
      <c r="AK97">
        <v>47.411035099999999</v>
      </c>
      <c r="AL97">
        <v>0.98369799999999996</v>
      </c>
      <c r="AM97">
        <v>48.856372813999997</v>
      </c>
      <c r="AN97">
        <v>2.3525296170000001</v>
      </c>
    </row>
    <row r="98" spans="1:40" x14ac:dyDescent="0.35">
      <c r="A98">
        <v>128</v>
      </c>
      <c r="B98">
        <v>42</v>
      </c>
      <c r="C98" t="s">
        <v>48</v>
      </c>
      <c r="D98" t="s">
        <v>41</v>
      </c>
      <c r="E98" t="s">
        <v>42</v>
      </c>
      <c r="F98" t="s">
        <v>49</v>
      </c>
      <c r="G98">
        <v>4</v>
      </c>
      <c r="H98">
        <v>16</v>
      </c>
      <c r="I98">
        <v>4</v>
      </c>
      <c r="J98" t="s">
        <v>56</v>
      </c>
      <c r="K98" t="s">
        <v>46</v>
      </c>
      <c r="L98" t="s">
        <v>51</v>
      </c>
      <c r="M98">
        <v>157.82131685425651</v>
      </c>
      <c r="N98">
        <v>184</v>
      </c>
      <c r="O98">
        <v>154</v>
      </c>
      <c r="P98">
        <v>161</v>
      </c>
      <c r="Q98">
        <v>0</v>
      </c>
      <c r="R98">
        <v>1.3862943611198906</v>
      </c>
      <c r="S98">
        <v>4.3438054218536841</v>
      </c>
      <c r="T98">
        <v>91.16</v>
      </c>
      <c r="U98">
        <v>2.3174698847378039</v>
      </c>
      <c r="V98">
        <v>-0.58471966768986094</v>
      </c>
      <c r="W98">
        <v>-0.55557078097057</v>
      </c>
      <c r="X98">
        <v>-0.47566183223429498</v>
      </c>
      <c r="Y98">
        <v>-0.95884680312505799</v>
      </c>
      <c r="Z98">
        <v>-0.76521334103430205</v>
      </c>
      <c r="AA98">
        <v>-0.77245900699560299</v>
      </c>
      <c r="AB98">
        <v>1376</v>
      </c>
      <c r="AC98">
        <v>0</v>
      </c>
      <c r="AD98">
        <v>2</v>
      </c>
      <c r="AE98">
        <v>-1.2769936012368599</v>
      </c>
      <c r="AF98">
        <v>0.74064905269528603</v>
      </c>
      <c r="AG98">
        <v>0.65453685304426401</v>
      </c>
      <c r="AH98">
        <v>-0.17191971129460401</v>
      </c>
      <c r="AI98">
        <v>-0.51005905763322201</v>
      </c>
      <c r="AJ98">
        <v>-3.3941009818915902E-2</v>
      </c>
      <c r="AK98">
        <v>47.815207299999997</v>
      </c>
      <c r="AL98">
        <v>3.8001657</v>
      </c>
      <c r="AM98">
        <v>48.856372813999997</v>
      </c>
      <c r="AN98">
        <v>2.3525296170000001</v>
      </c>
    </row>
    <row r="99" spans="1:40" x14ac:dyDescent="0.35">
      <c r="A99">
        <v>129</v>
      </c>
      <c r="B99">
        <v>72</v>
      </c>
      <c r="C99" t="s">
        <v>40</v>
      </c>
      <c r="D99" t="s">
        <v>52</v>
      </c>
      <c r="E99" t="s">
        <v>42</v>
      </c>
      <c r="F99" t="s">
        <v>49</v>
      </c>
      <c r="G99">
        <v>4</v>
      </c>
      <c r="H99">
        <v>16</v>
      </c>
      <c r="I99">
        <v>6</v>
      </c>
      <c r="J99" t="s">
        <v>45</v>
      </c>
      <c r="K99" t="s">
        <v>46</v>
      </c>
      <c r="L99" t="s">
        <v>71</v>
      </c>
      <c r="M99">
        <v>461.63476637503351</v>
      </c>
      <c r="N99">
        <v>423</v>
      </c>
      <c r="O99">
        <v>220</v>
      </c>
      <c r="P99">
        <v>168</v>
      </c>
      <c r="Q99">
        <v>4.5747109785033828</v>
      </c>
      <c r="R99">
        <v>3.5263605246161616</v>
      </c>
      <c r="S99">
        <v>5.1416635565026603</v>
      </c>
      <c r="T99">
        <v>92.265120976563693</v>
      </c>
      <c r="U99">
        <v>2.9351954657362995</v>
      </c>
      <c r="V99">
        <v>-8.3509539921858403E-2</v>
      </c>
      <c r="W99">
        <v>-8.6188355584626702E-2</v>
      </c>
      <c r="X99">
        <v>-6.2117403422328299E-2</v>
      </c>
      <c r="Y99">
        <v>-0.51135009403950604</v>
      </c>
      <c r="Z99">
        <v>-0.669554030021006</v>
      </c>
      <c r="AA99">
        <v>-1.4915282051312999</v>
      </c>
      <c r="AB99">
        <v>1813.5248996931791</v>
      </c>
      <c r="AC99">
        <v>1.6535284399339156</v>
      </c>
      <c r="AD99">
        <v>0.49421760679726223</v>
      </c>
      <c r="AE99">
        <v>-0.18520258641298501</v>
      </c>
      <c r="AF99">
        <v>1.1241639884261201</v>
      </c>
      <c r="AG99">
        <v>1.04195645168162</v>
      </c>
      <c r="AH99">
        <v>-0.14983460663716799</v>
      </c>
      <c r="AI99">
        <v>1.1261812845277765</v>
      </c>
      <c r="AJ99">
        <v>0.59821877775654853</v>
      </c>
      <c r="AK99">
        <v>45.071283999999999</v>
      </c>
      <c r="AL99">
        <v>4.8370730000000002</v>
      </c>
      <c r="AM99">
        <v>48.856372813999997</v>
      </c>
      <c r="AN99">
        <v>2.3525296170000001</v>
      </c>
    </row>
    <row r="100" spans="1:40" x14ac:dyDescent="0.35">
      <c r="A100">
        <v>130</v>
      </c>
      <c r="B100">
        <v>42</v>
      </c>
      <c r="C100" t="s">
        <v>40</v>
      </c>
      <c r="D100" t="s">
        <v>41</v>
      </c>
      <c r="E100" t="s">
        <v>42</v>
      </c>
      <c r="F100" t="s">
        <v>49</v>
      </c>
      <c r="G100">
        <v>5</v>
      </c>
      <c r="H100">
        <v>25</v>
      </c>
      <c r="I100">
        <v>5</v>
      </c>
      <c r="J100" t="s">
        <v>56</v>
      </c>
      <c r="K100" t="s">
        <v>46</v>
      </c>
      <c r="L100" t="s">
        <v>77</v>
      </c>
      <c r="M100">
        <v>253.57285753495381</v>
      </c>
      <c r="N100">
        <v>321</v>
      </c>
      <c r="O100">
        <v>204</v>
      </c>
      <c r="P100">
        <v>127</v>
      </c>
      <c r="Q100">
        <v>0</v>
      </c>
      <c r="R100">
        <v>2.3978952727983707</v>
      </c>
      <c r="S100">
        <v>5.1416635565026603</v>
      </c>
      <c r="T100">
        <v>90.472417453603512</v>
      </c>
      <c r="U100">
        <v>2.7735735584863375</v>
      </c>
      <c r="V100">
        <v>-0.15231437986527399</v>
      </c>
      <c r="W100">
        <v>3.49635939345109E-2</v>
      </c>
      <c r="X100">
        <v>-0.19627808847033801</v>
      </c>
      <c r="Y100">
        <v>-0.57382446736590997</v>
      </c>
      <c r="Z100">
        <v>-0.74335605457542497</v>
      </c>
      <c r="AA100">
        <v>-0.53588051656191904</v>
      </c>
      <c r="AB100">
        <v>3937</v>
      </c>
      <c r="AC100">
        <v>0</v>
      </c>
      <c r="AD100">
        <v>1</v>
      </c>
      <c r="AE100">
        <v>-0.72244456620022002</v>
      </c>
      <c r="AF100">
        <v>0.72310821095060096</v>
      </c>
      <c r="AG100">
        <v>-0.79263266681433697</v>
      </c>
      <c r="AH100">
        <v>-1.3362898458425401</v>
      </c>
      <c r="AI100">
        <v>0.124769663145128</v>
      </c>
      <c r="AJ100">
        <v>-0.15644220776012999</v>
      </c>
      <c r="AK100">
        <v>47.259622</v>
      </c>
      <c r="AL100">
        <v>-7.8518000000000004E-2</v>
      </c>
      <c r="AM100">
        <v>48.856372813999997</v>
      </c>
      <c r="AN100">
        <v>2.3525296170000001</v>
      </c>
    </row>
    <row r="101" spans="1:40" x14ac:dyDescent="0.35">
      <c r="A101">
        <v>138</v>
      </c>
      <c r="B101">
        <v>72</v>
      </c>
      <c r="C101" t="s">
        <v>40</v>
      </c>
      <c r="D101" t="s">
        <v>52</v>
      </c>
      <c r="E101" t="s">
        <v>42</v>
      </c>
      <c r="F101" t="s">
        <v>49</v>
      </c>
      <c r="G101">
        <v>4</v>
      </c>
      <c r="H101">
        <v>16</v>
      </c>
      <c r="I101">
        <v>4</v>
      </c>
      <c r="J101" t="s">
        <v>50</v>
      </c>
      <c r="K101" t="s">
        <v>46</v>
      </c>
      <c r="L101" t="s">
        <v>74</v>
      </c>
      <c r="M101">
        <v>129.3091767260604</v>
      </c>
      <c r="N101">
        <v>87</v>
      </c>
      <c r="O101">
        <v>83</v>
      </c>
      <c r="P101">
        <v>68</v>
      </c>
      <c r="Q101">
        <v>1.6094379124341003</v>
      </c>
      <c r="R101">
        <v>2.5649493574615367</v>
      </c>
      <c r="S101">
        <v>4.8202815656050371</v>
      </c>
      <c r="T101">
        <v>91.984920634920627</v>
      </c>
      <c r="U101">
        <v>1.0351430572167302</v>
      </c>
      <c r="V101">
        <v>-0.45376679124596098</v>
      </c>
      <c r="W101">
        <v>-0.56138574648679695</v>
      </c>
      <c r="X101">
        <v>-0.92192590083580195</v>
      </c>
      <c r="Y101">
        <v>-1.17232967929859</v>
      </c>
      <c r="Z101">
        <v>-0.98267194414701198</v>
      </c>
      <c r="AA101">
        <v>-0.89586780259421905</v>
      </c>
      <c r="AB101">
        <v>1270</v>
      </c>
      <c r="AC101">
        <v>3</v>
      </c>
      <c r="AD101">
        <v>1</v>
      </c>
      <c r="AE101">
        <v>-1.1438350904766701</v>
      </c>
      <c r="AF101">
        <v>1.0659533422472001</v>
      </c>
      <c r="AG101">
        <v>6.5459675642416407E-2</v>
      </c>
      <c r="AH101">
        <v>0.27634134717036501</v>
      </c>
      <c r="AI101">
        <v>0.775761840744847</v>
      </c>
      <c r="AJ101">
        <v>-0.44074004221308599</v>
      </c>
      <c r="AK101">
        <v>46.672161000000003</v>
      </c>
      <c r="AL101">
        <v>5.558465</v>
      </c>
      <c r="AM101">
        <v>47.519222222222218</v>
      </c>
      <c r="AN101">
        <v>6.7261111111111127</v>
      </c>
    </row>
    <row r="102" spans="1:40" x14ac:dyDescent="0.35">
      <c r="A102">
        <v>139</v>
      </c>
      <c r="B102">
        <v>57</v>
      </c>
      <c r="C102" t="s">
        <v>48</v>
      </c>
      <c r="D102" t="s">
        <v>66</v>
      </c>
      <c r="E102" t="s">
        <v>42</v>
      </c>
      <c r="F102" t="s">
        <v>43</v>
      </c>
      <c r="G102">
        <v>5</v>
      </c>
      <c r="H102">
        <v>25</v>
      </c>
      <c r="I102">
        <v>5</v>
      </c>
      <c r="J102" t="s">
        <v>56</v>
      </c>
      <c r="K102" t="s">
        <v>46</v>
      </c>
      <c r="L102" t="s">
        <v>74</v>
      </c>
      <c r="M102">
        <v>237.33176390492511</v>
      </c>
      <c r="N102">
        <v>278</v>
      </c>
      <c r="O102">
        <v>198</v>
      </c>
      <c r="P102">
        <v>309</v>
      </c>
      <c r="Q102">
        <v>1.6094379124341003</v>
      </c>
      <c r="R102">
        <v>2.5649493574615367</v>
      </c>
      <c r="S102">
        <v>4.8202815656050371</v>
      </c>
      <c r="T102">
        <v>91.984920634920627</v>
      </c>
      <c r="U102">
        <v>1.0351430572167302</v>
      </c>
      <c r="V102">
        <v>-0.45376679124596098</v>
      </c>
      <c r="W102">
        <v>-0.56138574648679695</v>
      </c>
      <c r="X102">
        <v>-0.92192590083580195</v>
      </c>
      <c r="Y102">
        <v>-1.17232967929859</v>
      </c>
      <c r="Z102">
        <v>-0.98267194414701198</v>
      </c>
      <c r="AA102">
        <v>-0.89586780259421905</v>
      </c>
      <c r="AB102">
        <v>1270</v>
      </c>
      <c r="AC102">
        <v>3</v>
      </c>
      <c r="AD102">
        <v>1</v>
      </c>
      <c r="AE102">
        <v>-1.1438350904766701</v>
      </c>
      <c r="AF102">
        <v>2.0118955684044102</v>
      </c>
      <c r="AG102">
        <v>-1.08579043134824</v>
      </c>
      <c r="AH102">
        <v>0.31477558426008601</v>
      </c>
      <c r="AI102">
        <v>0.64881794907365797</v>
      </c>
      <c r="AJ102">
        <v>0.71345048853152304</v>
      </c>
      <c r="AK102">
        <v>46.672161000000003</v>
      </c>
      <c r="AL102">
        <v>5.558465</v>
      </c>
      <c r="AM102">
        <v>45.155499999999996</v>
      </c>
      <c r="AN102">
        <v>3.4045000000000001</v>
      </c>
    </row>
    <row r="103" spans="1:40" x14ac:dyDescent="0.35">
      <c r="A103">
        <v>140</v>
      </c>
      <c r="B103">
        <v>72</v>
      </c>
      <c r="C103" t="s">
        <v>40</v>
      </c>
      <c r="D103" t="s">
        <v>52</v>
      </c>
      <c r="E103" t="s">
        <v>42</v>
      </c>
      <c r="F103" t="s">
        <v>49</v>
      </c>
      <c r="G103">
        <v>6</v>
      </c>
      <c r="H103">
        <v>36</v>
      </c>
      <c r="I103">
        <v>7</v>
      </c>
      <c r="J103" t="s">
        <v>50</v>
      </c>
      <c r="K103" t="s">
        <v>46</v>
      </c>
      <c r="L103" t="s">
        <v>47</v>
      </c>
      <c r="M103">
        <v>153.03295534654561</v>
      </c>
      <c r="N103">
        <v>232</v>
      </c>
      <c r="O103">
        <v>160</v>
      </c>
      <c r="P103">
        <v>137</v>
      </c>
      <c r="Q103">
        <v>5.9107966440405271</v>
      </c>
      <c r="R103">
        <v>6.4997870406558542</v>
      </c>
      <c r="S103">
        <v>8.6415324656718457</v>
      </c>
      <c r="T103">
        <v>89.265350482850479</v>
      </c>
      <c r="U103">
        <v>1.4417786561042019</v>
      </c>
      <c r="V103">
        <v>-0.22886708829074301</v>
      </c>
      <c r="W103">
        <v>0.28745285629339301</v>
      </c>
      <c r="X103">
        <v>-0.15627425222847</v>
      </c>
      <c r="Y103">
        <v>1.45226138127617</v>
      </c>
      <c r="Z103">
        <v>0.98247225355557</v>
      </c>
      <c r="AA103">
        <v>0.627775520474398</v>
      </c>
      <c r="AB103">
        <v>3362.2959371744532</v>
      </c>
      <c r="AC103">
        <v>2.8998317172850387</v>
      </c>
      <c r="AD103">
        <v>2.9499158586425196</v>
      </c>
      <c r="AE103">
        <v>1.06273170356322</v>
      </c>
      <c r="AF103">
        <v>0.63077123965868398</v>
      </c>
      <c r="AG103">
        <v>0.56279646695903196</v>
      </c>
      <c r="AH103">
        <v>0.95113357000451804</v>
      </c>
      <c r="AI103">
        <v>-4.6908824409383001E-2</v>
      </c>
      <c r="AJ103">
        <v>0.99086872020614003</v>
      </c>
      <c r="AK103">
        <v>43.3535629403058</v>
      </c>
      <c r="AL103">
        <v>3.21615314793977</v>
      </c>
      <c r="AM103">
        <v>43.646000000000001</v>
      </c>
      <c r="AN103">
        <v>5.0679999999999996</v>
      </c>
    </row>
    <row r="104" spans="1:40" x14ac:dyDescent="0.35">
      <c r="A104">
        <v>143</v>
      </c>
      <c r="B104">
        <v>72</v>
      </c>
      <c r="C104" t="s">
        <v>48</v>
      </c>
      <c r="D104" t="s">
        <v>52</v>
      </c>
      <c r="E104" t="s">
        <v>42</v>
      </c>
      <c r="F104" t="s">
        <v>43</v>
      </c>
      <c r="G104">
        <v>5</v>
      </c>
      <c r="H104">
        <v>25</v>
      </c>
      <c r="I104">
        <v>6</v>
      </c>
      <c r="J104" t="s">
        <v>56</v>
      </c>
      <c r="K104" t="s">
        <v>46</v>
      </c>
      <c r="L104" t="s">
        <v>58</v>
      </c>
      <c r="M104">
        <v>468.58731540409332</v>
      </c>
      <c r="N104">
        <v>570</v>
      </c>
      <c r="O104">
        <v>405</v>
      </c>
      <c r="P104">
        <v>249</v>
      </c>
      <c r="Q104">
        <v>3.2580965380214821</v>
      </c>
      <c r="R104">
        <v>2.8903717578961645</v>
      </c>
      <c r="S104">
        <v>4.7535901911063645</v>
      </c>
      <c r="T104">
        <v>90.794285714285706</v>
      </c>
      <c r="U104">
        <v>0</v>
      </c>
      <c r="V104">
        <v>0.63905639120027702</v>
      </c>
      <c r="W104">
        <v>0.692565001186083</v>
      </c>
      <c r="X104">
        <v>0.56469097254324596</v>
      </c>
      <c r="Y104">
        <v>1.4483117406157899</v>
      </c>
      <c r="Z104">
        <v>1.7680602694732599</v>
      </c>
      <c r="AA104">
        <v>0.26366440732357699</v>
      </c>
      <c r="AB104">
        <v>4236</v>
      </c>
      <c r="AC104">
        <v>0</v>
      </c>
      <c r="AD104">
        <v>4</v>
      </c>
      <c r="AE104">
        <v>1.6751267091712101</v>
      </c>
      <c r="AF104">
        <v>-0.26272478263008903</v>
      </c>
      <c r="AG104">
        <v>-0.38854787568821197</v>
      </c>
      <c r="AH104">
        <v>0.82596868405425306</v>
      </c>
      <c r="AI104">
        <v>0.88769765597694605</v>
      </c>
      <c r="AJ104">
        <v>-3.0938408011112702E-2</v>
      </c>
      <c r="AK104">
        <v>45.198478000000001</v>
      </c>
      <c r="AL104">
        <v>-0.74874399999999997</v>
      </c>
      <c r="AM104">
        <v>48.884000000000007</v>
      </c>
      <c r="AN104">
        <v>2.238</v>
      </c>
    </row>
    <row r="105" spans="1:40" x14ac:dyDescent="0.35">
      <c r="A105">
        <v>144</v>
      </c>
      <c r="B105">
        <v>57</v>
      </c>
      <c r="C105" t="s">
        <v>48</v>
      </c>
      <c r="D105" t="s">
        <v>41</v>
      </c>
      <c r="E105" t="s">
        <v>42</v>
      </c>
      <c r="F105" t="s">
        <v>49</v>
      </c>
      <c r="G105">
        <v>4</v>
      </c>
      <c r="H105">
        <v>16</v>
      </c>
      <c r="I105">
        <v>3</v>
      </c>
      <c r="J105" t="s">
        <v>56</v>
      </c>
      <c r="K105" t="s">
        <v>46</v>
      </c>
      <c r="L105" t="s">
        <v>77</v>
      </c>
      <c r="M105">
        <v>245.44233304298629</v>
      </c>
      <c r="N105">
        <v>327</v>
      </c>
      <c r="O105">
        <v>202</v>
      </c>
      <c r="P105">
        <v>166</v>
      </c>
      <c r="Q105">
        <v>0</v>
      </c>
      <c r="R105">
        <v>2.3978952727983707</v>
      </c>
      <c r="S105">
        <v>5.1416635565026603</v>
      </c>
      <c r="T105">
        <v>90.472417453603512</v>
      </c>
      <c r="U105">
        <v>2.7735735584863375</v>
      </c>
      <c r="V105">
        <v>-0.15231437986527399</v>
      </c>
      <c r="W105">
        <v>3.49635939345109E-2</v>
      </c>
      <c r="X105">
        <v>-0.19627808847033801</v>
      </c>
      <c r="Y105">
        <v>-0.57382446736590997</v>
      </c>
      <c r="Z105">
        <v>-0.74335605457542497</v>
      </c>
      <c r="AA105">
        <v>-0.53588051656191904</v>
      </c>
      <c r="AB105">
        <v>3937</v>
      </c>
      <c r="AC105">
        <v>0</v>
      </c>
      <c r="AD105">
        <v>1</v>
      </c>
      <c r="AE105">
        <v>-0.72244456620022002</v>
      </c>
      <c r="AF105">
        <v>0.74891704943525095</v>
      </c>
      <c r="AG105">
        <v>1.0528302773909199</v>
      </c>
      <c r="AH105">
        <v>0.95429747866750603</v>
      </c>
      <c r="AI105">
        <v>1.0572002228745001</v>
      </c>
      <c r="AJ105">
        <v>0.51251086113817701</v>
      </c>
      <c r="AK105">
        <v>47.259622</v>
      </c>
      <c r="AL105">
        <v>-7.8518000000000004E-2</v>
      </c>
      <c r="AM105">
        <v>48.869000000000014</v>
      </c>
      <c r="AN105">
        <v>2.177</v>
      </c>
    </row>
    <row r="106" spans="1:40" x14ac:dyDescent="0.35">
      <c r="A106">
        <v>145</v>
      </c>
      <c r="B106">
        <v>72</v>
      </c>
      <c r="C106" t="s">
        <v>40</v>
      </c>
      <c r="D106" t="s">
        <v>52</v>
      </c>
      <c r="E106" t="s">
        <v>42</v>
      </c>
      <c r="F106" t="s">
        <v>49</v>
      </c>
      <c r="G106">
        <v>5</v>
      </c>
      <c r="H106">
        <v>25</v>
      </c>
      <c r="I106">
        <v>7</v>
      </c>
      <c r="J106" t="s">
        <v>50</v>
      </c>
      <c r="K106" t="s">
        <v>46</v>
      </c>
      <c r="L106" t="s">
        <v>79</v>
      </c>
      <c r="M106">
        <v>851.15173404750408</v>
      </c>
      <c r="N106">
        <v>1064</v>
      </c>
      <c r="O106">
        <v>635</v>
      </c>
      <c r="P106">
        <v>398</v>
      </c>
      <c r="Q106">
        <v>0</v>
      </c>
      <c r="R106">
        <v>1.0986122886681098</v>
      </c>
      <c r="S106">
        <v>4.4659081186545837</v>
      </c>
      <c r="T106">
        <v>90.88000000000001</v>
      </c>
      <c r="U106">
        <v>0.63076672920079646</v>
      </c>
      <c r="V106">
        <v>-0.66459185691613598</v>
      </c>
      <c r="W106">
        <v>-0.11297510960708999</v>
      </c>
      <c r="X106">
        <v>-0.19037106594949799</v>
      </c>
      <c r="Y106">
        <v>-0.374020329094302</v>
      </c>
      <c r="Z106">
        <v>-0.78642831806525804</v>
      </c>
      <c r="AA106">
        <v>-1.3830773108541501</v>
      </c>
      <c r="AB106">
        <v>1910</v>
      </c>
      <c r="AC106">
        <v>4</v>
      </c>
      <c r="AD106">
        <v>0</v>
      </c>
      <c r="AE106">
        <v>3.4620335695619099E-2</v>
      </c>
      <c r="AF106">
        <v>-0.847217476482791</v>
      </c>
      <c r="AG106">
        <v>0.52354401456264599</v>
      </c>
      <c r="AH106">
        <v>0.20147006518106</v>
      </c>
      <c r="AI106">
        <v>8.6649058382678001E-2</v>
      </c>
      <c r="AJ106">
        <v>1.2837478263083699</v>
      </c>
      <c r="AK106">
        <v>42.698529999999998</v>
      </c>
      <c r="AL106">
        <v>2.8953120000000001</v>
      </c>
      <c r="AM106">
        <v>50.332333333333338</v>
      </c>
      <c r="AN106">
        <v>3.5253333333333337</v>
      </c>
    </row>
    <row r="107" spans="1:40" x14ac:dyDescent="0.35">
      <c r="A107">
        <v>146</v>
      </c>
      <c r="B107">
        <v>57</v>
      </c>
      <c r="C107" t="s">
        <v>48</v>
      </c>
      <c r="D107" t="s">
        <v>41</v>
      </c>
      <c r="E107" t="s">
        <v>42</v>
      </c>
      <c r="F107" t="s">
        <v>49</v>
      </c>
      <c r="G107">
        <v>4</v>
      </c>
      <c r="H107">
        <v>16</v>
      </c>
      <c r="I107">
        <v>5</v>
      </c>
      <c r="J107" t="s">
        <v>56</v>
      </c>
      <c r="K107" t="s">
        <v>46</v>
      </c>
      <c r="L107" t="s">
        <v>58</v>
      </c>
      <c r="M107">
        <v>43.054387284428778</v>
      </c>
      <c r="N107">
        <v>52</v>
      </c>
      <c r="O107">
        <v>68</v>
      </c>
      <c r="P107">
        <v>67</v>
      </c>
      <c r="Q107">
        <v>3.2580965380214821</v>
      </c>
      <c r="R107">
        <v>2.8903717578961645</v>
      </c>
      <c r="S107">
        <v>4.7535901911063645</v>
      </c>
      <c r="T107">
        <v>90.794285714285706</v>
      </c>
      <c r="U107">
        <v>0</v>
      </c>
      <c r="V107">
        <v>0.63905639120027702</v>
      </c>
      <c r="W107">
        <v>0.692565001186083</v>
      </c>
      <c r="X107">
        <v>0.56469097254324596</v>
      </c>
      <c r="Y107">
        <v>1.4483117406157899</v>
      </c>
      <c r="Z107">
        <v>1.7680602694732599</v>
      </c>
      <c r="AA107">
        <v>0.26366440732357699</v>
      </c>
      <c r="AB107">
        <v>4236</v>
      </c>
      <c r="AC107">
        <v>0</v>
      </c>
      <c r="AD107">
        <v>4</v>
      </c>
      <c r="AE107">
        <v>1.6751267091712101</v>
      </c>
      <c r="AF107">
        <v>1.2954789570380001</v>
      </c>
      <c r="AG107">
        <v>-4.90371661508218E-2</v>
      </c>
      <c r="AH107">
        <v>0.93828256801611898</v>
      </c>
      <c r="AI107">
        <v>1.5878567888260799</v>
      </c>
      <c r="AJ107">
        <v>0.227331084903274</v>
      </c>
      <c r="AK107">
        <v>45.198478000000001</v>
      </c>
      <c r="AL107">
        <v>-0.74874399999999997</v>
      </c>
      <c r="AM107">
        <v>44.833882600000003</v>
      </c>
      <c r="AN107">
        <v>-0.5661716</v>
      </c>
    </row>
    <row r="108" spans="1:40" x14ac:dyDescent="0.35">
      <c r="A108">
        <v>147</v>
      </c>
      <c r="B108">
        <v>57</v>
      </c>
      <c r="C108" t="s">
        <v>48</v>
      </c>
      <c r="D108" t="s">
        <v>66</v>
      </c>
      <c r="E108" t="s">
        <v>68</v>
      </c>
      <c r="F108" t="s">
        <v>49</v>
      </c>
      <c r="G108">
        <v>5</v>
      </c>
      <c r="H108">
        <v>25</v>
      </c>
      <c r="I108">
        <v>5</v>
      </c>
      <c r="J108" t="s">
        <v>56</v>
      </c>
      <c r="K108" t="s">
        <v>46</v>
      </c>
      <c r="L108" t="s">
        <v>59</v>
      </c>
      <c r="M108">
        <v>448.55387495827227</v>
      </c>
      <c r="N108">
        <v>538</v>
      </c>
      <c r="O108">
        <v>378</v>
      </c>
      <c r="P108">
        <v>268</v>
      </c>
      <c r="Q108">
        <v>1.3862943611198906</v>
      </c>
      <c r="R108">
        <v>1.3862943611198906</v>
      </c>
      <c r="S108">
        <v>4.9972122737641147</v>
      </c>
      <c r="T108">
        <v>90.035146103896111</v>
      </c>
      <c r="U108">
        <v>1.418823059726001</v>
      </c>
      <c r="V108">
        <v>-0.52223564926899602</v>
      </c>
      <c r="W108">
        <v>-0.46072710968150399</v>
      </c>
      <c r="X108">
        <v>-0.361786268345754</v>
      </c>
      <c r="Y108">
        <v>-0.552694479448822</v>
      </c>
      <c r="Z108">
        <v>2.1676297177028899E-2</v>
      </c>
      <c r="AA108">
        <v>0.625223797005378</v>
      </c>
      <c r="AB108">
        <v>2234.6992515788952</v>
      </c>
      <c r="AC108">
        <v>0</v>
      </c>
      <c r="AD108">
        <v>0.12112735591028891</v>
      </c>
      <c r="AE108">
        <v>-0.60610368582010199</v>
      </c>
      <c r="AF108">
        <v>0.10272677772616</v>
      </c>
      <c r="AG108">
        <v>-1.1133109165550701</v>
      </c>
      <c r="AH108">
        <v>-0.70046689992421896</v>
      </c>
      <c r="AI108">
        <v>-0.89320232545656797</v>
      </c>
      <c r="AJ108">
        <v>0.927912214398118</v>
      </c>
      <c r="AK108">
        <v>47.411035099999999</v>
      </c>
      <c r="AL108">
        <v>0.98369799999999996</v>
      </c>
      <c r="AM108">
        <v>50.640682937000001</v>
      </c>
      <c r="AN108">
        <v>4.6610704270000003</v>
      </c>
    </row>
    <row r="109" spans="1:40" x14ac:dyDescent="0.35">
      <c r="A109">
        <v>149</v>
      </c>
      <c r="B109">
        <v>72</v>
      </c>
      <c r="C109" t="s">
        <v>40</v>
      </c>
      <c r="D109" t="s">
        <v>52</v>
      </c>
      <c r="E109" t="s">
        <v>42</v>
      </c>
      <c r="F109" t="s">
        <v>49</v>
      </c>
      <c r="G109">
        <v>4</v>
      </c>
      <c r="H109">
        <v>16</v>
      </c>
      <c r="I109">
        <v>5</v>
      </c>
      <c r="J109" t="s">
        <v>56</v>
      </c>
      <c r="K109" t="s">
        <v>46</v>
      </c>
      <c r="L109" t="s">
        <v>57</v>
      </c>
      <c r="M109">
        <v>268.77272276258981</v>
      </c>
      <c r="N109">
        <v>279</v>
      </c>
      <c r="O109">
        <v>171</v>
      </c>
      <c r="P109">
        <v>171</v>
      </c>
      <c r="Q109">
        <v>0.69314718055994529</v>
      </c>
      <c r="R109">
        <v>3.6109179126442243</v>
      </c>
      <c r="S109">
        <v>5.8833223884882786</v>
      </c>
      <c r="T109">
        <v>90.922105263157903</v>
      </c>
      <c r="U109">
        <v>2.3923758041545438</v>
      </c>
      <c r="V109">
        <v>-0.399596989308249</v>
      </c>
      <c r="W109">
        <v>-0.58810405700346202</v>
      </c>
      <c r="X109">
        <v>-0.29041857108635599</v>
      </c>
      <c r="Y109">
        <v>-0.846122564821426</v>
      </c>
      <c r="Z109">
        <v>-0.92679578564836795</v>
      </c>
      <c r="AA109">
        <v>0.86332342905974202</v>
      </c>
      <c r="AB109">
        <v>2050</v>
      </c>
      <c r="AC109">
        <v>1</v>
      </c>
      <c r="AD109">
        <v>2</v>
      </c>
      <c r="AE109">
        <v>-0.51011828243844404</v>
      </c>
      <c r="AF109">
        <v>0.29371863887928901</v>
      </c>
      <c r="AG109">
        <v>-0.76152963067244195</v>
      </c>
      <c r="AH109">
        <v>3.1287955486516798E-2</v>
      </c>
      <c r="AI109">
        <v>4.4846441500993199E-2</v>
      </c>
      <c r="AJ109">
        <v>-0.14056401314150799</v>
      </c>
      <c r="AK109">
        <v>47.023905999999997</v>
      </c>
      <c r="AL109">
        <v>4.8380429999999999</v>
      </c>
      <c r="AM109">
        <v>48.686999999999998</v>
      </c>
      <c r="AN109">
        <v>2.2289999999999996</v>
      </c>
    </row>
    <row r="110" spans="1:40" x14ac:dyDescent="0.35">
      <c r="A110">
        <v>150</v>
      </c>
      <c r="B110">
        <v>42</v>
      </c>
      <c r="C110" t="s">
        <v>40</v>
      </c>
      <c r="D110" t="s">
        <v>41</v>
      </c>
      <c r="E110" t="s">
        <v>42</v>
      </c>
      <c r="F110" t="s">
        <v>49</v>
      </c>
      <c r="G110">
        <v>6</v>
      </c>
      <c r="H110">
        <v>36</v>
      </c>
      <c r="I110">
        <v>7</v>
      </c>
      <c r="J110" t="s">
        <v>56</v>
      </c>
      <c r="K110" t="s">
        <v>46</v>
      </c>
      <c r="L110" t="s">
        <v>57</v>
      </c>
      <c r="M110">
        <v>270.57613383737709</v>
      </c>
      <c r="N110">
        <v>317</v>
      </c>
      <c r="O110">
        <v>216</v>
      </c>
      <c r="P110">
        <v>158</v>
      </c>
      <c r="Q110">
        <v>0.69314718055994529</v>
      </c>
      <c r="R110">
        <v>3.6109179126442243</v>
      </c>
      <c r="S110">
        <v>5.8833223884882786</v>
      </c>
      <c r="T110">
        <v>90.922105263157903</v>
      </c>
      <c r="U110">
        <v>2.3923758041545438</v>
      </c>
      <c r="V110">
        <v>-0.399596989308249</v>
      </c>
      <c r="W110">
        <v>-0.58810405700346202</v>
      </c>
      <c r="X110">
        <v>-0.29041857108635599</v>
      </c>
      <c r="Y110">
        <v>-0.846122564821426</v>
      </c>
      <c r="Z110">
        <v>-0.92679578564836795</v>
      </c>
      <c r="AA110">
        <v>0.86332342905974202</v>
      </c>
      <c r="AB110">
        <v>2050</v>
      </c>
      <c r="AC110">
        <v>1</v>
      </c>
      <c r="AD110">
        <v>2</v>
      </c>
      <c r="AE110">
        <v>-0.51011828243844404</v>
      </c>
      <c r="AF110">
        <v>-0.509887240514311</v>
      </c>
      <c r="AG110">
        <v>-0.63782701861478996</v>
      </c>
      <c r="AH110">
        <v>0.94883812996818295</v>
      </c>
      <c r="AI110">
        <v>0.69649363003631504</v>
      </c>
      <c r="AJ110">
        <v>0.62755542121655095</v>
      </c>
      <c r="AK110">
        <v>47.023905999999997</v>
      </c>
      <c r="AL110">
        <v>4.8380429999999999</v>
      </c>
      <c r="AM110">
        <v>48.847000000000001</v>
      </c>
      <c r="AN110">
        <v>2.4380000000000002</v>
      </c>
    </row>
    <row r="111" spans="1:40" x14ac:dyDescent="0.35">
      <c r="A111">
        <v>152</v>
      </c>
      <c r="B111">
        <v>72</v>
      </c>
      <c r="C111" t="s">
        <v>40</v>
      </c>
      <c r="D111" t="s">
        <v>52</v>
      </c>
      <c r="E111" t="s">
        <v>42</v>
      </c>
      <c r="F111" t="s">
        <v>49</v>
      </c>
      <c r="G111">
        <v>4</v>
      </c>
      <c r="H111">
        <v>16</v>
      </c>
      <c r="I111">
        <v>4</v>
      </c>
      <c r="J111" t="s">
        <v>56</v>
      </c>
      <c r="K111" t="s">
        <v>46</v>
      </c>
      <c r="L111" t="s">
        <v>47</v>
      </c>
      <c r="M111">
        <v>69.896977556491777</v>
      </c>
      <c r="N111">
        <v>93</v>
      </c>
      <c r="O111">
        <v>70</v>
      </c>
      <c r="P111">
        <v>59</v>
      </c>
      <c r="Q111">
        <v>5.9107966440405271</v>
      </c>
      <c r="R111">
        <v>6.4997870406558542</v>
      </c>
      <c r="S111">
        <v>8.6415324656718457</v>
      </c>
      <c r="T111">
        <v>89.265350482850479</v>
      </c>
      <c r="U111">
        <v>1.4417786561042019</v>
      </c>
      <c r="V111">
        <v>-0.22886708829074301</v>
      </c>
      <c r="W111">
        <v>0.28745285629339301</v>
      </c>
      <c r="X111">
        <v>-0.15627425222847</v>
      </c>
      <c r="Y111">
        <v>1.45226138127617</v>
      </c>
      <c r="Z111">
        <v>0.98247225355557</v>
      </c>
      <c r="AA111">
        <v>0.627775520474398</v>
      </c>
      <c r="AB111">
        <v>3362.2959371744532</v>
      </c>
      <c r="AC111">
        <v>2.8998317172850387</v>
      </c>
      <c r="AD111">
        <v>2.9499158586425196</v>
      </c>
      <c r="AE111">
        <v>1.06273170356322</v>
      </c>
      <c r="AF111">
        <v>-6.2755485124068394E-2</v>
      </c>
      <c r="AG111">
        <v>1.0634760864150199</v>
      </c>
      <c r="AH111">
        <v>-0.12226285945300799</v>
      </c>
      <c r="AI111">
        <v>4.7019136453782001E-2</v>
      </c>
      <c r="AJ111">
        <v>8.3342759702343699E-2</v>
      </c>
      <c r="AK111">
        <v>43.3535629403058</v>
      </c>
      <c r="AL111">
        <v>3.21615314793977</v>
      </c>
      <c r="AM111">
        <v>43.211500000000001</v>
      </c>
      <c r="AN111">
        <v>2.3759999999999999</v>
      </c>
    </row>
    <row r="112" spans="1:40" x14ac:dyDescent="0.35">
      <c r="A112">
        <v>154</v>
      </c>
      <c r="B112">
        <v>57</v>
      </c>
      <c r="C112" t="s">
        <v>40</v>
      </c>
      <c r="D112" t="s">
        <v>52</v>
      </c>
      <c r="E112" t="s">
        <v>42</v>
      </c>
      <c r="F112" t="s">
        <v>43</v>
      </c>
      <c r="G112">
        <v>6</v>
      </c>
      <c r="H112">
        <v>36</v>
      </c>
      <c r="I112">
        <v>6</v>
      </c>
      <c r="J112" t="s">
        <v>50</v>
      </c>
      <c r="K112" t="s">
        <v>46</v>
      </c>
      <c r="L112" t="s">
        <v>55</v>
      </c>
      <c r="M112">
        <v>383.81313365692768</v>
      </c>
      <c r="N112">
        <v>583</v>
      </c>
      <c r="O112">
        <v>387</v>
      </c>
      <c r="P112">
        <v>177</v>
      </c>
      <c r="Q112">
        <v>2.0794415416798357</v>
      </c>
      <c r="R112">
        <v>2.3025850929940459</v>
      </c>
      <c r="S112">
        <v>3.2580965380214821</v>
      </c>
      <c r="T112">
        <v>95.12</v>
      </c>
      <c r="U112">
        <v>0</v>
      </c>
      <c r="V112">
        <v>1.89305099905856</v>
      </c>
      <c r="W112">
        <v>0.59880690621441701</v>
      </c>
      <c r="X112">
        <v>1.1856460040685599</v>
      </c>
      <c r="Y112">
        <v>-0.15565097555555901</v>
      </c>
      <c r="Z112">
        <v>-0.22748295097212001</v>
      </c>
      <c r="AA112">
        <v>1.0415013010201299</v>
      </c>
      <c r="AB112">
        <v>2939.9504036908884</v>
      </c>
      <c r="AC112">
        <v>2</v>
      </c>
      <c r="AD112">
        <v>0.42868127643214149</v>
      </c>
      <c r="AE112">
        <v>-2.40641039566141E-2</v>
      </c>
      <c r="AF112">
        <v>-2.7805771728195199E-2</v>
      </c>
      <c r="AG112">
        <v>0.99315350493450605</v>
      </c>
      <c r="AH112">
        <v>0.651195480819168</v>
      </c>
      <c r="AI112">
        <v>1.2579064623826099</v>
      </c>
      <c r="AJ112">
        <v>-0.21606987700431601</v>
      </c>
      <c r="AK112">
        <v>48.0777517</v>
      </c>
      <c r="AL112">
        <v>7.3579641000000002</v>
      </c>
      <c r="AM112">
        <v>48.904000000000003</v>
      </c>
      <c r="AN112">
        <v>2.3060000000000005</v>
      </c>
    </row>
    <row r="113" spans="1:40" x14ac:dyDescent="0.35">
      <c r="A113">
        <v>155</v>
      </c>
      <c r="B113">
        <v>72</v>
      </c>
      <c r="C113" t="s">
        <v>40</v>
      </c>
      <c r="D113" t="s">
        <v>52</v>
      </c>
      <c r="E113" t="s">
        <v>42</v>
      </c>
      <c r="F113" t="s">
        <v>49</v>
      </c>
      <c r="G113">
        <v>6</v>
      </c>
      <c r="H113">
        <v>36</v>
      </c>
      <c r="I113">
        <v>6</v>
      </c>
      <c r="J113" t="s">
        <v>56</v>
      </c>
      <c r="K113" t="s">
        <v>46</v>
      </c>
      <c r="L113" t="s">
        <v>58</v>
      </c>
      <c r="M113">
        <v>486.33457803836029</v>
      </c>
      <c r="N113">
        <v>552</v>
      </c>
      <c r="O113">
        <v>397</v>
      </c>
      <c r="P113">
        <v>291</v>
      </c>
      <c r="Q113">
        <v>3.2580965380214821</v>
      </c>
      <c r="R113">
        <v>2.8903717578961645</v>
      </c>
      <c r="S113">
        <v>4.7535901911063645</v>
      </c>
      <c r="T113">
        <v>90.794285714285706</v>
      </c>
      <c r="U113">
        <v>0</v>
      </c>
      <c r="V113">
        <v>0.63905639120027702</v>
      </c>
      <c r="W113">
        <v>0.692565001186083</v>
      </c>
      <c r="X113">
        <v>0.56469097254324596</v>
      </c>
      <c r="Y113">
        <v>1.4483117406157899</v>
      </c>
      <c r="Z113">
        <v>1.7680602694732599</v>
      </c>
      <c r="AA113">
        <v>0.26366440732357699</v>
      </c>
      <c r="AB113">
        <v>4236</v>
      </c>
      <c r="AC113">
        <v>0</v>
      </c>
      <c r="AD113">
        <v>4</v>
      </c>
      <c r="AE113">
        <v>1.6751267091712101</v>
      </c>
      <c r="AF113">
        <v>0.75631243663683301</v>
      </c>
      <c r="AG113">
        <v>0.401611036091234</v>
      </c>
      <c r="AH113">
        <v>-0.109626163220311</v>
      </c>
      <c r="AI113">
        <v>0.41505524790665699</v>
      </c>
      <c r="AJ113">
        <v>-0.325695482134712</v>
      </c>
      <c r="AK113">
        <v>45.198478000000001</v>
      </c>
      <c r="AL113">
        <v>-0.74874399999999997</v>
      </c>
      <c r="AM113">
        <v>48.881714285714295</v>
      </c>
      <c r="AN113">
        <v>2.7018571428571438</v>
      </c>
    </row>
    <row r="114" spans="1:40" x14ac:dyDescent="0.35">
      <c r="A114">
        <v>156</v>
      </c>
      <c r="B114">
        <v>72</v>
      </c>
      <c r="C114" t="s">
        <v>40</v>
      </c>
      <c r="D114" t="s">
        <v>52</v>
      </c>
      <c r="E114" t="s">
        <v>42</v>
      </c>
      <c r="F114" t="s">
        <v>49</v>
      </c>
      <c r="G114">
        <v>5</v>
      </c>
      <c r="H114">
        <v>25</v>
      </c>
      <c r="I114">
        <v>3</v>
      </c>
      <c r="J114" t="s">
        <v>50</v>
      </c>
      <c r="K114" t="s">
        <v>46</v>
      </c>
      <c r="L114" t="s">
        <v>60</v>
      </c>
      <c r="M114">
        <v>158.03404442646419</v>
      </c>
      <c r="N114">
        <v>208</v>
      </c>
      <c r="O114">
        <v>139</v>
      </c>
      <c r="P114">
        <v>182</v>
      </c>
      <c r="Q114">
        <v>3.8501476017100584</v>
      </c>
      <c r="R114">
        <v>2.9957322735539909</v>
      </c>
      <c r="S114">
        <v>5.4424177105217932</v>
      </c>
      <c r="T114">
        <v>88.975873222691746</v>
      </c>
      <c r="U114">
        <v>2.5514539469641888</v>
      </c>
      <c r="V114">
        <v>2.9336799326863701</v>
      </c>
      <c r="W114">
        <v>3.3730943146768602</v>
      </c>
      <c r="X114">
        <v>3.6072071704345601</v>
      </c>
      <c r="Y114">
        <v>-0.19189497559235799</v>
      </c>
      <c r="Z114">
        <v>0.17569111512999699</v>
      </c>
      <c r="AA114">
        <v>-0.304970615080496</v>
      </c>
      <c r="AB114">
        <v>1906.836709612184</v>
      </c>
      <c r="AC114">
        <v>0.7978420820676605</v>
      </c>
      <c r="AD114">
        <v>2.1056638128240834</v>
      </c>
      <c r="AE114">
        <v>-0.25037207080954499</v>
      </c>
      <c r="AF114">
        <v>0.5718271975869651</v>
      </c>
      <c r="AG114">
        <v>1.0918517370718566</v>
      </c>
      <c r="AH114">
        <v>-2.1396859381134594</v>
      </c>
      <c r="AI114">
        <v>0.181292546739657</v>
      </c>
      <c r="AJ114">
        <v>-1.36484145280094</v>
      </c>
      <c r="AK114">
        <v>44.055988999999997</v>
      </c>
      <c r="AL114">
        <v>4.8317350000000001</v>
      </c>
      <c r="AM114">
        <v>45.367000000000004</v>
      </c>
      <c r="AN114">
        <v>5.5982000000000003</v>
      </c>
    </row>
    <row r="115" spans="1:40" x14ac:dyDescent="0.35">
      <c r="A115">
        <v>157</v>
      </c>
      <c r="B115">
        <v>42</v>
      </c>
      <c r="C115" t="s">
        <v>40</v>
      </c>
      <c r="D115" t="s">
        <v>41</v>
      </c>
      <c r="E115" t="s">
        <v>42</v>
      </c>
      <c r="F115" t="s">
        <v>49</v>
      </c>
      <c r="G115">
        <v>5</v>
      </c>
      <c r="H115">
        <v>25</v>
      </c>
      <c r="I115">
        <v>6</v>
      </c>
      <c r="J115" t="s">
        <v>50</v>
      </c>
      <c r="K115" t="s">
        <v>46</v>
      </c>
      <c r="L115" t="s">
        <v>74</v>
      </c>
      <c r="M115">
        <v>51.422984786855011</v>
      </c>
      <c r="N115">
        <v>87</v>
      </c>
      <c r="O115">
        <v>83</v>
      </c>
      <c r="P115">
        <v>68</v>
      </c>
      <c r="Q115">
        <v>1.6094379124341003</v>
      </c>
      <c r="R115">
        <v>2.5649493574615367</v>
      </c>
      <c r="S115">
        <v>4.8202815656050371</v>
      </c>
      <c r="T115">
        <v>91.984920634920627</v>
      </c>
      <c r="U115">
        <v>1.0351430572167302</v>
      </c>
      <c r="V115">
        <v>-0.45376679124596098</v>
      </c>
      <c r="W115">
        <v>-0.56138574648679695</v>
      </c>
      <c r="X115">
        <v>-0.92192590083580195</v>
      </c>
      <c r="Y115">
        <v>-1.17232967929859</v>
      </c>
      <c r="Z115">
        <v>-0.98267194414701198</v>
      </c>
      <c r="AA115">
        <v>-0.89586780259421905</v>
      </c>
      <c r="AB115">
        <v>1270</v>
      </c>
      <c r="AC115">
        <v>3</v>
      </c>
      <c r="AD115">
        <v>1</v>
      </c>
      <c r="AE115">
        <v>-1.1438350904766701</v>
      </c>
      <c r="AF115">
        <v>-1.43450530748979</v>
      </c>
      <c r="AG115">
        <v>-0.48463661721381501</v>
      </c>
      <c r="AH115">
        <v>0.28217861505858499</v>
      </c>
      <c r="AI115">
        <v>0.36773350372816799</v>
      </c>
      <c r="AJ115">
        <v>0.99859915741994698</v>
      </c>
      <c r="AK115">
        <v>46.672161000000003</v>
      </c>
      <c r="AL115">
        <v>5.558465</v>
      </c>
      <c r="AM115">
        <v>47.070931034482768</v>
      </c>
      <c r="AN115">
        <v>5.8995517241379307</v>
      </c>
    </row>
    <row r="116" spans="1:40" x14ac:dyDescent="0.35">
      <c r="A116">
        <v>158</v>
      </c>
      <c r="B116">
        <v>72</v>
      </c>
      <c r="C116" t="s">
        <v>40</v>
      </c>
      <c r="D116" t="s">
        <v>52</v>
      </c>
      <c r="E116" t="s">
        <v>42</v>
      </c>
      <c r="F116" t="s">
        <v>49</v>
      </c>
      <c r="G116">
        <v>5</v>
      </c>
      <c r="H116">
        <v>25</v>
      </c>
      <c r="I116">
        <v>6</v>
      </c>
      <c r="J116" t="s">
        <v>50</v>
      </c>
      <c r="K116" t="s">
        <v>46</v>
      </c>
      <c r="L116" t="s">
        <v>65</v>
      </c>
      <c r="M116">
        <v>659.56619472559726</v>
      </c>
      <c r="N116">
        <v>835</v>
      </c>
      <c r="O116">
        <v>420</v>
      </c>
      <c r="P116">
        <v>374</v>
      </c>
      <c r="Q116">
        <v>0</v>
      </c>
      <c r="R116">
        <v>0</v>
      </c>
      <c r="S116">
        <v>4.4543472962535073</v>
      </c>
      <c r="T116">
        <v>89.333044733044744</v>
      </c>
      <c r="U116">
        <v>1.2554235437523662</v>
      </c>
      <c r="V116">
        <v>1.64975517953679</v>
      </c>
      <c r="W116">
        <v>2.4220969657957299</v>
      </c>
      <c r="X116">
        <v>1.68128863126442</v>
      </c>
      <c r="Y116">
        <v>2.0553398017137301</v>
      </c>
      <c r="Z116">
        <v>2.0921400018840099</v>
      </c>
      <c r="AA116">
        <v>2.0596698968962701</v>
      </c>
      <c r="AB116">
        <v>3262.71</v>
      </c>
      <c r="AC116">
        <v>0.33</v>
      </c>
      <c r="AD116">
        <v>0.66</v>
      </c>
      <c r="AE116">
        <v>1.9221838973381</v>
      </c>
      <c r="AF116">
        <v>0.23359744578528399</v>
      </c>
      <c r="AG116">
        <v>0.98926349447812501</v>
      </c>
      <c r="AH116">
        <v>0.25404583565849698</v>
      </c>
      <c r="AI116">
        <v>-0.59844820275131405</v>
      </c>
      <c r="AJ116">
        <v>0.221176224524158</v>
      </c>
      <c r="AK116">
        <v>43.537466000000002</v>
      </c>
      <c r="AL116">
        <v>6.4627330000000001</v>
      </c>
      <c r="AM116">
        <v>48.686999999999998</v>
      </c>
      <c r="AN116">
        <v>2.2289999999999996</v>
      </c>
    </row>
    <row r="117" spans="1:40" x14ac:dyDescent="0.35">
      <c r="A117">
        <v>159</v>
      </c>
      <c r="B117">
        <v>72</v>
      </c>
      <c r="C117" t="s">
        <v>40</v>
      </c>
      <c r="D117" t="s">
        <v>52</v>
      </c>
      <c r="E117" t="s">
        <v>42</v>
      </c>
      <c r="F117" t="s">
        <v>49</v>
      </c>
      <c r="G117">
        <v>4</v>
      </c>
      <c r="H117">
        <v>16</v>
      </c>
      <c r="I117">
        <v>5</v>
      </c>
      <c r="J117" t="s">
        <v>56</v>
      </c>
      <c r="K117" t="s">
        <v>46</v>
      </c>
      <c r="L117" t="s">
        <v>80</v>
      </c>
      <c r="M117">
        <v>71.169923065685751</v>
      </c>
      <c r="N117">
        <v>56</v>
      </c>
      <c r="O117">
        <v>59</v>
      </c>
      <c r="P117">
        <v>32</v>
      </c>
      <c r="Q117">
        <v>0</v>
      </c>
      <c r="R117">
        <v>0</v>
      </c>
      <c r="S117">
        <v>2.3978952727983707</v>
      </c>
      <c r="T117">
        <v>89.244444444444454</v>
      </c>
      <c r="U117">
        <v>2.8365341397427142</v>
      </c>
      <c r="V117">
        <v>-0.913094936359653</v>
      </c>
      <c r="W117">
        <v>-0.65053416903877104</v>
      </c>
      <c r="X117">
        <v>-0.84161646442580296</v>
      </c>
      <c r="Y117">
        <v>-0.417210198705049</v>
      </c>
      <c r="Z117">
        <v>-0.72387803684780205</v>
      </c>
      <c r="AA117">
        <v>-1.2864028892777799</v>
      </c>
      <c r="AB117">
        <v>1649.4284274193549</v>
      </c>
      <c r="AC117">
        <v>3.0423387096774195</v>
      </c>
      <c r="AD117">
        <v>1.344758064516129</v>
      </c>
      <c r="AE117">
        <v>-0.93842607425381097</v>
      </c>
      <c r="AF117">
        <v>0.22270864245163499</v>
      </c>
      <c r="AG117">
        <v>0.95058292498795605</v>
      </c>
      <c r="AH117">
        <v>1.0607250385670499</v>
      </c>
      <c r="AI117">
        <v>1.00226115035508</v>
      </c>
      <c r="AJ117">
        <v>1.0620802629074</v>
      </c>
      <c r="AK117">
        <v>46.124017000000002</v>
      </c>
      <c r="AL117">
        <v>3.420366</v>
      </c>
      <c r="AM117">
        <v>46.476545454545459</v>
      </c>
      <c r="AN117">
        <v>2.6483636363636363</v>
      </c>
    </row>
    <row r="118" spans="1:40" x14ac:dyDescent="0.35">
      <c r="A118">
        <v>160</v>
      </c>
      <c r="B118">
        <v>72</v>
      </c>
      <c r="C118" t="s">
        <v>40</v>
      </c>
      <c r="D118" t="s">
        <v>52</v>
      </c>
      <c r="E118" t="s">
        <v>42</v>
      </c>
      <c r="F118" t="s">
        <v>43</v>
      </c>
      <c r="G118">
        <v>6</v>
      </c>
      <c r="H118">
        <v>36</v>
      </c>
      <c r="I118">
        <v>6</v>
      </c>
      <c r="J118" t="s">
        <v>56</v>
      </c>
      <c r="K118" t="s">
        <v>46</v>
      </c>
      <c r="L118" t="s">
        <v>69</v>
      </c>
      <c r="M118">
        <v>269.71472991387122</v>
      </c>
      <c r="N118">
        <v>331</v>
      </c>
      <c r="O118">
        <v>180</v>
      </c>
      <c r="P118">
        <v>133</v>
      </c>
      <c r="Q118">
        <v>2.3978952727983707</v>
      </c>
      <c r="R118">
        <v>4.5538768916005408</v>
      </c>
      <c r="S118">
        <v>5.4847969334906548</v>
      </c>
      <c r="T118">
        <v>93.296000000000006</v>
      </c>
      <c r="U118">
        <v>2.2325431437911538</v>
      </c>
      <c r="V118">
        <v>-0.44922684044461197</v>
      </c>
      <c r="W118">
        <v>-0.76855194782346203</v>
      </c>
      <c r="X118">
        <v>-0.44700324392789598</v>
      </c>
      <c r="Y118">
        <v>-0.846122564821426</v>
      </c>
      <c r="Z118">
        <v>-0.92679578564836795</v>
      </c>
      <c r="AA118">
        <v>0.86332342905974202</v>
      </c>
      <c r="AB118">
        <v>2050</v>
      </c>
      <c r="AC118">
        <v>1</v>
      </c>
      <c r="AD118">
        <v>2</v>
      </c>
      <c r="AE118">
        <v>-0.51011828243844404</v>
      </c>
      <c r="AF118">
        <v>0.51268613168557997</v>
      </c>
      <c r="AG118">
        <v>1.0419775386365999</v>
      </c>
      <c r="AH118">
        <v>1.0251200257579001</v>
      </c>
      <c r="AI118">
        <v>0.34266914959697398</v>
      </c>
      <c r="AJ118">
        <v>1.1621907848420601</v>
      </c>
      <c r="AK118">
        <v>47.177235000000003</v>
      </c>
      <c r="AL118">
        <v>4.964315</v>
      </c>
      <c r="AM118">
        <v>48.856372813999997</v>
      </c>
      <c r="AN118">
        <v>2.3525296170000001</v>
      </c>
    </row>
    <row r="119" spans="1:40" x14ac:dyDescent="0.35">
      <c r="A119">
        <v>161</v>
      </c>
      <c r="B119">
        <v>72</v>
      </c>
      <c r="C119" t="s">
        <v>48</v>
      </c>
      <c r="D119" t="s">
        <v>52</v>
      </c>
      <c r="E119" t="s">
        <v>42</v>
      </c>
      <c r="F119" t="s">
        <v>49</v>
      </c>
      <c r="G119">
        <v>4</v>
      </c>
      <c r="H119">
        <v>16</v>
      </c>
      <c r="I119">
        <v>5</v>
      </c>
      <c r="J119" t="s">
        <v>50</v>
      </c>
      <c r="K119" t="s">
        <v>46</v>
      </c>
      <c r="L119" t="s">
        <v>75</v>
      </c>
      <c r="M119">
        <v>132.40938296729789</v>
      </c>
      <c r="N119">
        <v>152</v>
      </c>
      <c r="O119">
        <v>111</v>
      </c>
      <c r="P119">
        <v>110</v>
      </c>
      <c r="Q119">
        <v>0</v>
      </c>
      <c r="R119">
        <v>0</v>
      </c>
      <c r="S119">
        <v>3.5553480614894135</v>
      </c>
      <c r="T119">
        <v>87.721111111111114</v>
      </c>
      <c r="U119">
        <v>1.8185946276597997</v>
      </c>
      <c r="V119">
        <v>-1.01058566247205</v>
      </c>
      <c r="W119">
        <v>-0.72487722485772399</v>
      </c>
      <c r="X119">
        <v>-0.83814251792544203</v>
      </c>
      <c r="Y119">
        <v>0.643019057251217</v>
      </c>
      <c r="Z119">
        <v>0.97010361819212798</v>
      </c>
      <c r="AA119">
        <v>-1.0557286875948499</v>
      </c>
      <c r="AB119">
        <v>4179</v>
      </c>
      <c r="AC119">
        <v>0</v>
      </c>
      <c r="AD119">
        <v>0</v>
      </c>
      <c r="AE119">
        <v>0.59808311135132897</v>
      </c>
      <c r="AF119">
        <v>0.52600823038068201</v>
      </c>
      <c r="AG119">
        <v>0.70414281431840098</v>
      </c>
      <c r="AH119">
        <v>0.97798697500749299</v>
      </c>
      <c r="AI119">
        <v>-2.2586453713273298</v>
      </c>
      <c r="AJ119">
        <v>1.16460713798223</v>
      </c>
      <c r="AK119">
        <v>47.087721999999999</v>
      </c>
      <c r="AL119">
        <v>-1.2817419999999999</v>
      </c>
      <c r="AM119">
        <v>47.706666666666671</v>
      </c>
      <c r="AN119">
        <v>-2.7823333333333338</v>
      </c>
    </row>
    <row r="120" spans="1:40" x14ac:dyDescent="0.35">
      <c r="A120">
        <v>162</v>
      </c>
      <c r="B120">
        <v>42</v>
      </c>
      <c r="C120" t="s">
        <v>40</v>
      </c>
      <c r="D120" t="s">
        <v>41</v>
      </c>
      <c r="E120" t="s">
        <v>42</v>
      </c>
      <c r="F120" t="s">
        <v>49</v>
      </c>
      <c r="G120">
        <v>7</v>
      </c>
      <c r="H120">
        <v>49</v>
      </c>
      <c r="I120">
        <v>6</v>
      </c>
      <c r="J120" t="s">
        <v>50</v>
      </c>
      <c r="K120" t="s">
        <v>46</v>
      </c>
      <c r="L120" t="s">
        <v>76</v>
      </c>
      <c r="M120">
        <v>159.14897351483231</v>
      </c>
      <c r="N120">
        <v>166</v>
      </c>
      <c r="O120">
        <v>101</v>
      </c>
      <c r="P120">
        <v>183</v>
      </c>
      <c r="Q120">
        <v>0</v>
      </c>
      <c r="R120">
        <v>1.0986122886681098</v>
      </c>
      <c r="S120">
        <v>4.1588830833596715</v>
      </c>
      <c r="T120">
        <v>91.226666666666674</v>
      </c>
      <c r="U120">
        <v>1.418823059726001</v>
      </c>
      <c r="V120">
        <v>-0.39095273818515502</v>
      </c>
      <c r="W120">
        <v>-0.53446083104759001</v>
      </c>
      <c r="X120">
        <v>-0.40804429067029002</v>
      </c>
      <c r="Y120">
        <v>-0.56789545922357498</v>
      </c>
      <c r="Z120">
        <v>-0.94760790482486201</v>
      </c>
      <c r="AA120">
        <v>-1.0848673571571601</v>
      </c>
      <c r="AB120">
        <v>1770.5103102717287</v>
      </c>
      <c r="AC120">
        <v>0.28213528618230871</v>
      </c>
      <c r="AD120">
        <v>1.7130468298323378</v>
      </c>
      <c r="AE120">
        <v>-1.13486126839574</v>
      </c>
      <c r="AF120">
        <v>1.8885540353189301</v>
      </c>
      <c r="AG120">
        <v>-2.0206218038480401E-2</v>
      </c>
      <c r="AH120">
        <v>0.84986899663802395</v>
      </c>
      <c r="AI120">
        <v>1.4836044289928401</v>
      </c>
      <c r="AJ120">
        <v>0.76193534118230599</v>
      </c>
      <c r="AK120">
        <v>47.330690599999997</v>
      </c>
      <c r="AL120">
        <v>2.8390453999999998</v>
      </c>
      <c r="AM120">
        <v>48.723999999999997</v>
      </c>
      <c r="AN120">
        <v>2.36</v>
      </c>
    </row>
    <row r="121" spans="1:40" x14ac:dyDescent="0.35">
      <c r="A121">
        <v>163</v>
      </c>
      <c r="B121">
        <v>72</v>
      </c>
      <c r="C121" t="s">
        <v>40</v>
      </c>
      <c r="D121" t="s">
        <v>52</v>
      </c>
      <c r="E121" t="s">
        <v>42</v>
      </c>
      <c r="F121" t="s">
        <v>49</v>
      </c>
      <c r="G121">
        <v>5</v>
      </c>
      <c r="H121">
        <v>25</v>
      </c>
      <c r="I121">
        <v>7</v>
      </c>
      <c r="J121" t="s">
        <v>56</v>
      </c>
      <c r="K121" t="s">
        <v>46</v>
      </c>
      <c r="L121" t="s">
        <v>72</v>
      </c>
      <c r="M121">
        <v>487.02381986152591</v>
      </c>
      <c r="N121">
        <v>581</v>
      </c>
      <c r="O121">
        <v>359</v>
      </c>
      <c r="P121">
        <v>365</v>
      </c>
      <c r="Q121">
        <v>0.69314718055994529</v>
      </c>
      <c r="R121">
        <v>1.3862943611198906</v>
      </c>
      <c r="S121">
        <v>4.5538768916005408</v>
      </c>
      <c r="T121">
        <v>89.340161030595823</v>
      </c>
      <c r="U121">
        <v>1.4712304197281412</v>
      </c>
      <c r="V121">
        <v>0.59716251398508702</v>
      </c>
      <c r="W121">
        <v>0.91068296986709796</v>
      </c>
      <c r="X121">
        <v>1.2273243988355</v>
      </c>
      <c r="Y121">
        <v>-0.4121809470949</v>
      </c>
      <c r="Z121">
        <v>-0.86472582726521097</v>
      </c>
      <c r="AA121">
        <v>-1.0172779374790899</v>
      </c>
      <c r="AB121">
        <v>1828.1689246701658</v>
      </c>
      <c r="AC121">
        <v>1.1127464888636687</v>
      </c>
      <c r="AD121">
        <v>1.8630656830756136</v>
      </c>
      <c r="AE121">
        <v>-0.53926882203722504</v>
      </c>
      <c r="AF121">
        <v>0.25290092017649701</v>
      </c>
      <c r="AG121">
        <v>0.275607982918671</v>
      </c>
      <c r="AH121">
        <v>-0.38216043418615597</v>
      </c>
      <c r="AI121">
        <v>0.294418562107087</v>
      </c>
      <c r="AJ121">
        <v>-0.140595120487987</v>
      </c>
      <c r="AK121">
        <v>44.503641999999999</v>
      </c>
      <c r="AL121">
        <v>1.1863669999999999</v>
      </c>
      <c r="AM121">
        <v>48.822000000000003</v>
      </c>
      <c r="AN121">
        <v>2.21</v>
      </c>
    </row>
    <row r="122" spans="1:40" x14ac:dyDescent="0.35">
      <c r="A122">
        <v>165</v>
      </c>
      <c r="B122">
        <v>72</v>
      </c>
      <c r="C122" t="s">
        <v>40</v>
      </c>
      <c r="D122" t="s">
        <v>52</v>
      </c>
      <c r="E122" t="s">
        <v>42</v>
      </c>
      <c r="F122" t="s">
        <v>49</v>
      </c>
      <c r="G122">
        <v>5</v>
      </c>
      <c r="H122">
        <v>25</v>
      </c>
      <c r="I122">
        <v>7</v>
      </c>
      <c r="J122" t="s">
        <v>45</v>
      </c>
      <c r="K122" t="s">
        <v>46</v>
      </c>
      <c r="L122" t="s">
        <v>75</v>
      </c>
      <c r="M122">
        <v>323.90890721224912</v>
      </c>
      <c r="N122">
        <v>411</v>
      </c>
      <c r="O122">
        <v>253</v>
      </c>
      <c r="P122">
        <v>224</v>
      </c>
      <c r="Q122">
        <v>0</v>
      </c>
      <c r="R122">
        <v>0</v>
      </c>
      <c r="S122">
        <v>3.5553480614894135</v>
      </c>
      <c r="T122">
        <v>87.721111111111114</v>
      </c>
      <c r="U122">
        <v>1.8185946276597997</v>
      </c>
      <c r="V122">
        <v>-1.01058566247205</v>
      </c>
      <c r="W122">
        <v>-0.72487722485772399</v>
      </c>
      <c r="X122">
        <v>-0.83814251792544203</v>
      </c>
      <c r="Y122">
        <v>0.643019057251217</v>
      </c>
      <c r="Z122">
        <v>0.97010361819212798</v>
      </c>
      <c r="AA122">
        <v>-1.0557286875948499</v>
      </c>
      <c r="AB122">
        <v>4179</v>
      </c>
      <c r="AC122">
        <v>0</v>
      </c>
      <c r="AD122">
        <v>0</v>
      </c>
      <c r="AE122">
        <v>0.59808311135132897</v>
      </c>
      <c r="AF122">
        <v>-0.114486589353027</v>
      </c>
      <c r="AG122">
        <v>0.70583762561760199</v>
      </c>
      <c r="AH122">
        <v>-1.1626244539836099</v>
      </c>
      <c r="AI122">
        <v>-1.5626713189689201</v>
      </c>
      <c r="AJ122">
        <v>-5.8483453197806803E-2</v>
      </c>
      <c r="AK122">
        <v>47.087721999999999</v>
      </c>
      <c r="AL122">
        <v>-1.2817419999999999</v>
      </c>
      <c r="AM122">
        <v>48.804000000000002</v>
      </c>
      <c r="AN122">
        <v>2.2269999999999999</v>
      </c>
    </row>
    <row r="123" spans="1:40" x14ac:dyDescent="0.35">
      <c r="A123">
        <v>166</v>
      </c>
      <c r="B123">
        <v>72</v>
      </c>
      <c r="C123" t="s">
        <v>40</v>
      </c>
      <c r="D123" t="s">
        <v>52</v>
      </c>
      <c r="E123" t="s">
        <v>42</v>
      </c>
      <c r="F123" t="s">
        <v>49</v>
      </c>
      <c r="G123">
        <v>5</v>
      </c>
      <c r="H123">
        <v>25</v>
      </c>
      <c r="I123">
        <v>5</v>
      </c>
      <c r="J123" t="s">
        <v>56</v>
      </c>
      <c r="K123" t="s">
        <v>46</v>
      </c>
      <c r="L123" t="s">
        <v>81</v>
      </c>
      <c r="M123">
        <v>22.633835511873389</v>
      </c>
      <c r="N123">
        <v>527</v>
      </c>
      <c r="O123">
        <v>312</v>
      </c>
      <c r="P123">
        <v>269</v>
      </c>
      <c r="Q123">
        <v>0</v>
      </c>
      <c r="R123">
        <v>0</v>
      </c>
      <c r="S123">
        <v>4.0430512678345503</v>
      </c>
      <c r="T123">
        <v>88.705120018058608</v>
      </c>
      <c r="U123">
        <v>1.1736806104474848</v>
      </c>
      <c r="V123">
        <v>-0.47558929701305802</v>
      </c>
      <c r="W123">
        <v>-0.86536000504125898</v>
      </c>
      <c r="X123">
        <v>-0.756079468432718</v>
      </c>
      <c r="Y123">
        <v>-0.29991099617686701</v>
      </c>
      <c r="Z123">
        <v>-0.41295088194839003</v>
      </c>
      <c r="AA123">
        <v>-1.4747044340851601</v>
      </c>
      <c r="AB123">
        <v>2397.9202643171807</v>
      </c>
      <c r="AC123">
        <v>4.5123348017621154</v>
      </c>
      <c r="AD123">
        <v>0.89074889867841411</v>
      </c>
      <c r="AE123">
        <v>2.0319785812814501</v>
      </c>
      <c r="AF123">
        <v>-0.50801367558680699</v>
      </c>
      <c r="AG123">
        <v>1.25820141600126</v>
      </c>
      <c r="AH123">
        <v>-0.44713765881343698</v>
      </c>
      <c r="AI123">
        <v>-1.7762393928656399</v>
      </c>
      <c r="AJ123">
        <v>-0.42335854358271502</v>
      </c>
      <c r="AK123">
        <v>48.862724999999998</v>
      </c>
      <c r="AL123">
        <v>2.2875920000000001</v>
      </c>
      <c r="AM123">
        <v>48.695</v>
      </c>
      <c r="AN123">
        <v>2.4620000000000002</v>
      </c>
    </row>
    <row r="124" spans="1:40" x14ac:dyDescent="0.35">
      <c r="A124">
        <v>167</v>
      </c>
      <c r="B124">
        <v>72</v>
      </c>
      <c r="C124" t="s">
        <v>48</v>
      </c>
      <c r="D124" t="s">
        <v>52</v>
      </c>
      <c r="E124" t="s">
        <v>42</v>
      </c>
      <c r="F124" t="s">
        <v>49</v>
      </c>
      <c r="G124">
        <v>4</v>
      </c>
      <c r="H124">
        <v>16</v>
      </c>
      <c r="I124">
        <v>6</v>
      </c>
      <c r="J124" t="s">
        <v>45</v>
      </c>
      <c r="K124" t="s">
        <v>46</v>
      </c>
      <c r="L124" t="s">
        <v>76</v>
      </c>
      <c r="M124">
        <v>177.37464294825261</v>
      </c>
      <c r="N124">
        <v>211</v>
      </c>
      <c r="O124">
        <v>159</v>
      </c>
      <c r="P124">
        <v>171</v>
      </c>
      <c r="Q124">
        <v>0</v>
      </c>
      <c r="R124">
        <v>1.0986122886681098</v>
      </c>
      <c r="S124">
        <v>4.1588830833596715</v>
      </c>
      <c r="T124">
        <v>91.226666666666674</v>
      </c>
      <c r="U124">
        <v>1.418823059726001</v>
      </c>
      <c r="V124">
        <v>-0.39095273818515502</v>
      </c>
      <c r="W124">
        <v>-0.53446083104759001</v>
      </c>
      <c r="X124">
        <v>-0.40804429067029002</v>
      </c>
      <c r="Y124">
        <v>-0.56789545922357498</v>
      </c>
      <c r="Z124">
        <v>-0.94760790482486201</v>
      </c>
      <c r="AA124">
        <v>-1.0848673571571601</v>
      </c>
      <c r="AB124">
        <v>1770.5103102717287</v>
      </c>
      <c r="AC124">
        <v>0.28213528618230871</v>
      </c>
      <c r="AD124">
        <v>1.7130468298323378</v>
      </c>
      <c r="AE124">
        <v>-0.60610368582010199</v>
      </c>
      <c r="AF124">
        <v>-0.88230864971512202</v>
      </c>
      <c r="AG124">
        <v>-0.38788293761982301</v>
      </c>
      <c r="AH124">
        <v>-0.29683371040855699</v>
      </c>
      <c r="AI124">
        <v>-0.59893936552218496</v>
      </c>
      <c r="AJ124">
        <v>0.83503640073984797</v>
      </c>
      <c r="AK124">
        <v>47.330690599999997</v>
      </c>
      <c r="AL124">
        <v>2.8390453999999998</v>
      </c>
      <c r="AM124">
        <v>48.898000000000003</v>
      </c>
      <c r="AN124">
        <v>2.4089999999999998</v>
      </c>
    </row>
    <row r="125" spans="1:40" x14ac:dyDescent="0.35">
      <c r="A125">
        <v>168</v>
      </c>
      <c r="B125">
        <v>72</v>
      </c>
      <c r="C125" t="s">
        <v>40</v>
      </c>
      <c r="D125" t="s">
        <v>52</v>
      </c>
      <c r="E125" t="s">
        <v>42</v>
      </c>
      <c r="F125" t="s">
        <v>49</v>
      </c>
      <c r="G125">
        <v>5</v>
      </c>
      <c r="H125">
        <v>25</v>
      </c>
      <c r="I125">
        <v>5</v>
      </c>
      <c r="J125" t="s">
        <v>56</v>
      </c>
      <c r="K125" t="s">
        <v>46</v>
      </c>
      <c r="L125" t="s">
        <v>77</v>
      </c>
      <c r="M125">
        <v>253.2454726207699</v>
      </c>
      <c r="N125">
        <v>327</v>
      </c>
      <c r="O125">
        <v>202</v>
      </c>
      <c r="P125">
        <v>166</v>
      </c>
      <c r="Q125">
        <v>0</v>
      </c>
      <c r="R125">
        <v>2.3978952727983707</v>
      </c>
      <c r="S125">
        <v>5.1416635565026603</v>
      </c>
      <c r="T125">
        <v>90.472417453603512</v>
      </c>
      <c r="U125">
        <v>2.7735735584863375</v>
      </c>
      <c r="V125">
        <v>-0.15231437986527399</v>
      </c>
      <c r="W125">
        <v>3.49635939345109E-2</v>
      </c>
      <c r="X125">
        <v>-0.19627808847033801</v>
      </c>
      <c r="Y125">
        <v>-0.57382446736590997</v>
      </c>
      <c r="Z125">
        <v>-0.74335605457542497</v>
      </c>
      <c r="AA125">
        <v>-0.53588051656191904</v>
      </c>
      <c r="AB125">
        <v>3937</v>
      </c>
      <c r="AC125">
        <v>0</v>
      </c>
      <c r="AD125">
        <v>1</v>
      </c>
      <c r="AE125">
        <v>-0.72244456620022002</v>
      </c>
      <c r="AF125">
        <v>-0.63437082359220598</v>
      </c>
      <c r="AG125">
        <v>1.4101377704673299</v>
      </c>
      <c r="AH125">
        <v>0.75987974190871299</v>
      </c>
      <c r="AI125">
        <v>0.32628482363064998</v>
      </c>
      <c r="AJ125">
        <v>0.81268689020975504</v>
      </c>
      <c r="AK125">
        <v>47.259622</v>
      </c>
      <c r="AL125">
        <v>-7.8518000000000004E-2</v>
      </c>
      <c r="AM125">
        <v>48.922000000000004</v>
      </c>
      <c r="AN125">
        <v>2.2469999999999999</v>
      </c>
    </row>
    <row r="126" spans="1:40" x14ac:dyDescent="0.35">
      <c r="A126">
        <v>169</v>
      </c>
      <c r="B126">
        <v>72</v>
      </c>
      <c r="C126" t="s">
        <v>40</v>
      </c>
      <c r="D126" t="s">
        <v>52</v>
      </c>
      <c r="E126" t="s">
        <v>68</v>
      </c>
      <c r="F126" t="s">
        <v>49</v>
      </c>
      <c r="G126">
        <v>5</v>
      </c>
      <c r="H126">
        <v>25</v>
      </c>
      <c r="I126">
        <v>7</v>
      </c>
      <c r="J126" t="s">
        <v>56</v>
      </c>
      <c r="K126" t="s">
        <v>46</v>
      </c>
      <c r="L126" t="s">
        <v>60</v>
      </c>
      <c r="M126">
        <v>733.1172243891192</v>
      </c>
      <c r="N126">
        <v>927</v>
      </c>
      <c r="O126">
        <v>564</v>
      </c>
      <c r="P126">
        <v>468</v>
      </c>
      <c r="Q126">
        <v>3.8501476017100584</v>
      </c>
      <c r="R126">
        <v>2.9957322735539909</v>
      </c>
      <c r="S126">
        <v>5.4424177105217932</v>
      </c>
      <c r="T126">
        <v>88.975873222691746</v>
      </c>
      <c r="U126">
        <v>2.5514539469641888</v>
      </c>
      <c r="V126">
        <v>2.9336799326863701</v>
      </c>
      <c r="W126">
        <v>3.3730943146768602</v>
      </c>
      <c r="X126">
        <v>3.6072071704345601</v>
      </c>
      <c r="Y126">
        <v>-0.19189497559235799</v>
      </c>
      <c r="Z126">
        <v>0.17569111512999699</v>
      </c>
      <c r="AA126">
        <v>-0.304970615080496</v>
      </c>
      <c r="AB126">
        <v>1906.836709612184</v>
      </c>
      <c r="AC126">
        <v>0.7978420820676605</v>
      </c>
      <c r="AD126">
        <v>2.1056638128240834</v>
      </c>
      <c r="AE126">
        <v>-0.25037207080954499</v>
      </c>
      <c r="AF126">
        <v>0.35745993495557399</v>
      </c>
      <c r="AG126">
        <v>0.62912274767517495</v>
      </c>
      <c r="AH126">
        <v>0.92056584312202505</v>
      </c>
      <c r="AI126">
        <v>0.10384309419974599</v>
      </c>
      <c r="AJ126">
        <v>-1.31103878876714</v>
      </c>
      <c r="AK126">
        <v>44.055988999999997</v>
      </c>
      <c r="AL126">
        <v>4.8317350000000001</v>
      </c>
      <c r="AM126">
        <v>50.640682937000001</v>
      </c>
      <c r="AN126">
        <v>4.6610704270000003</v>
      </c>
    </row>
    <row r="127" spans="1:40" x14ac:dyDescent="0.35">
      <c r="A127">
        <v>170</v>
      </c>
      <c r="B127">
        <v>72</v>
      </c>
      <c r="C127" t="s">
        <v>40</v>
      </c>
      <c r="D127" t="s">
        <v>52</v>
      </c>
      <c r="E127" t="s">
        <v>42</v>
      </c>
      <c r="F127" t="s">
        <v>49</v>
      </c>
      <c r="G127">
        <v>4</v>
      </c>
      <c r="H127">
        <v>16</v>
      </c>
      <c r="I127">
        <v>7</v>
      </c>
      <c r="J127" t="s">
        <v>56</v>
      </c>
      <c r="K127" t="s">
        <v>46</v>
      </c>
      <c r="L127" t="s">
        <v>47</v>
      </c>
      <c r="M127">
        <v>193.6682308653979</v>
      </c>
      <c r="N127">
        <v>232</v>
      </c>
      <c r="O127">
        <v>160</v>
      </c>
      <c r="P127">
        <v>137</v>
      </c>
      <c r="Q127">
        <v>5.9107966440405271</v>
      </c>
      <c r="R127">
        <v>6.4997870406558542</v>
      </c>
      <c r="S127">
        <v>8.6415324656718457</v>
      </c>
      <c r="T127">
        <v>89.265350482850479</v>
      </c>
      <c r="U127">
        <v>1.4417786561042019</v>
      </c>
      <c r="V127">
        <v>-0.22886708829074301</v>
      </c>
      <c r="W127">
        <v>0.28745285629339301</v>
      </c>
      <c r="X127">
        <v>-0.15627425222847</v>
      </c>
      <c r="Y127">
        <v>1.45226138127617</v>
      </c>
      <c r="Z127">
        <v>0.98247225355557</v>
      </c>
      <c r="AA127">
        <v>0.627775520474398</v>
      </c>
      <c r="AB127">
        <v>3362.2959371744532</v>
      </c>
      <c r="AC127">
        <v>2.8998317172850387</v>
      </c>
      <c r="AD127">
        <v>2.9499158586425196</v>
      </c>
      <c r="AE127">
        <v>1.06273170356322</v>
      </c>
      <c r="AF127">
        <v>-1.6007388954778401</v>
      </c>
      <c r="AG127">
        <v>-1.5198586144076101</v>
      </c>
      <c r="AH127">
        <v>0.200241851551865</v>
      </c>
      <c r="AI127">
        <v>-1.4768557250987757</v>
      </c>
      <c r="AJ127">
        <v>4.0198330452484325E-2</v>
      </c>
      <c r="AK127">
        <v>43.3535629403058</v>
      </c>
      <c r="AL127">
        <v>3.21615314793977</v>
      </c>
      <c r="AM127">
        <v>43.471666666666664</v>
      </c>
      <c r="AN127">
        <v>5.605666666666667</v>
      </c>
    </row>
    <row r="128" spans="1:40" x14ac:dyDescent="0.35">
      <c r="A128">
        <v>172</v>
      </c>
      <c r="B128">
        <v>21.5</v>
      </c>
      <c r="C128" t="s">
        <v>48</v>
      </c>
      <c r="D128" t="s">
        <v>66</v>
      </c>
      <c r="E128" t="s">
        <v>42</v>
      </c>
      <c r="F128" t="s">
        <v>43</v>
      </c>
      <c r="G128">
        <v>5</v>
      </c>
      <c r="H128">
        <v>25</v>
      </c>
      <c r="I128">
        <v>4</v>
      </c>
      <c r="J128" t="s">
        <v>50</v>
      </c>
      <c r="K128" t="s">
        <v>46</v>
      </c>
      <c r="L128" t="s">
        <v>60</v>
      </c>
      <c r="M128">
        <v>10.57320449307813</v>
      </c>
      <c r="N128">
        <v>17</v>
      </c>
      <c r="O128">
        <v>27</v>
      </c>
      <c r="P128">
        <v>33</v>
      </c>
      <c r="Q128">
        <v>3.8501476017100584</v>
      </c>
      <c r="R128">
        <v>2.9957322735539909</v>
      </c>
      <c r="S128">
        <v>5.4424177105217932</v>
      </c>
      <c r="T128">
        <v>88.975873222691746</v>
      </c>
      <c r="U128">
        <v>2.5514539469641888</v>
      </c>
      <c r="V128">
        <v>2.9336799326863701</v>
      </c>
      <c r="W128">
        <v>3.3730943146768602</v>
      </c>
      <c r="X128">
        <v>3.6072071704345601</v>
      </c>
      <c r="Y128">
        <v>-0.19189497559235799</v>
      </c>
      <c r="Z128">
        <v>0.17569111512999699</v>
      </c>
      <c r="AA128">
        <v>-0.304970615080496</v>
      </c>
      <c r="AB128">
        <v>1906.836709612184</v>
      </c>
      <c r="AC128">
        <v>0.7978420820676605</v>
      </c>
      <c r="AD128">
        <v>2.1056638128240834</v>
      </c>
      <c r="AE128">
        <v>-0.25037207080954499</v>
      </c>
      <c r="AF128">
        <v>-0.30915320840391902</v>
      </c>
      <c r="AG128">
        <v>-2.2132988202361599</v>
      </c>
      <c r="AH128">
        <v>1.4949598034506</v>
      </c>
      <c r="AI128">
        <v>0.89549613613533197</v>
      </c>
      <c r="AJ128">
        <v>-0.37156618242668299</v>
      </c>
      <c r="AK128">
        <v>44.055988999999997</v>
      </c>
      <c r="AL128">
        <v>4.8317350000000001</v>
      </c>
      <c r="AM128">
        <v>43.994999999999997</v>
      </c>
      <c r="AN128">
        <v>4.9329999999999998</v>
      </c>
    </row>
    <row r="129" spans="1:40" x14ac:dyDescent="0.35">
      <c r="A129">
        <v>173</v>
      </c>
      <c r="B129">
        <v>57</v>
      </c>
      <c r="C129" t="s">
        <v>40</v>
      </c>
      <c r="D129" t="s">
        <v>41</v>
      </c>
      <c r="E129" t="s">
        <v>42</v>
      </c>
      <c r="F129" t="s">
        <v>49</v>
      </c>
      <c r="G129">
        <v>5</v>
      </c>
      <c r="H129">
        <v>25</v>
      </c>
      <c r="I129">
        <v>5</v>
      </c>
      <c r="J129" t="s">
        <v>50</v>
      </c>
      <c r="K129" t="s">
        <v>46</v>
      </c>
      <c r="L129" t="s">
        <v>65</v>
      </c>
      <c r="M129">
        <v>133.5326802112144</v>
      </c>
      <c r="N129">
        <v>197</v>
      </c>
      <c r="O129">
        <v>110</v>
      </c>
      <c r="P129">
        <v>184</v>
      </c>
      <c r="Q129">
        <v>0</v>
      </c>
      <c r="R129">
        <v>0</v>
      </c>
      <c r="S129">
        <v>4.4543472962535073</v>
      </c>
      <c r="T129">
        <v>89.333044733044744</v>
      </c>
      <c r="U129">
        <v>1.2554235437523662</v>
      </c>
      <c r="V129">
        <v>1.64975517953679</v>
      </c>
      <c r="W129">
        <v>2.4220969657957299</v>
      </c>
      <c r="X129">
        <v>1.68128863126442</v>
      </c>
      <c r="Y129">
        <v>2.0553398017137301</v>
      </c>
      <c r="Z129">
        <v>2.0921400018840099</v>
      </c>
      <c r="AA129">
        <v>2.0596698968962701</v>
      </c>
      <c r="AB129">
        <v>3262.71</v>
      </c>
      <c r="AC129">
        <v>0.33</v>
      </c>
      <c r="AD129">
        <v>0.66</v>
      </c>
      <c r="AE129">
        <v>1.9221838973381</v>
      </c>
      <c r="AF129">
        <v>-0.30430843669908297</v>
      </c>
      <c r="AG129">
        <v>1.0412177576900301</v>
      </c>
      <c r="AH129">
        <v>0.71425068863887298</v>
      </c>
      <c r="AI129">
        <v>0.28004662167869998</v>
      </c>
      <c r="AJ129">
        <v>0.76735429613028505</v>
      </c>
      <c r="AK129">
        <v>43.537466000000002</v>
      </c>
      <c r="AL129">
        <v>6.4627330000000001</v>
      </c>
      <c r="AM129">
        <v>44.151000000000003</v>
      </c>
      <c r="AN129">
        <v>5.0335000000000001</v>
      </c>
    </row>
    <row r="130" spans="1:40" x14ac:dyDescent="0.35">
      <c r="A130">
        <v>175</v>
      </c>
      <c r="B130">
        <v>72</v>
      </c>
      <c r="C130" t="s">
        <v>40</v>
      </c>
      <c r="D130" t="s">
        <v>52</v>
      </c>
      <c r="E130" t="s">
        <v>42</v>
      </c>
      <c r="F130" t="s">
        <v>49</v>
      </c>
      <c r="G130">
        <v>4</v>
      </c>
      <c r="H130">
        <v>16</v>
      </c>
      <c r="I130">
        <v>3</v>
      </c>
      <c r="J130" t="s">
        <v>56</v>
      </c>
      <c r="K130" t="s">
        <v>46</v>
      </c>
      <c r="L130" t="s">
        <v>71</v>
      </c>
      <c r="M130">
        <v>461.63476637503351</v>
      </c>
      <c r="N130">
        <v>423</v>
      </c>
      <c r="O130">
        <v>220</v>
      </c>
      <c r="P130">
        <v>168</v>
      </c>
      <c r="Q130">
        <v>4.5747109785033828</v>
      </c>
      <c r="R130">
        <v>3.5263605246161616</v>
      </c>
      <c r="S130">
        <v>5.1416635565026603</v>
      </c>
      <c r="T130">
        <v>92.265120976563693</v>
      </c>
      <c r="U130">
        <v>2.9351954657362995</v>
      </c>
      <c r="V130">
        <v>-8.3509539921858403E-2</v>
      </c>
      <c r="W130">
        <v>-8.6188355584626702E-2</v>
      </c>
      <c r="X130">
        <v>-6.2117403422328299E-2</v>
      </c>
      <c r="Y130">
        <v>-0.51135009403950604</v>
      </c>
      <c r="Z130">
        <v>-0.669554030021006</v>
      </c>
      <c r="AA130">
        <v>-1.4915282051312999</v>
      </c>
      <c r="AB130">
        <v>1813.5248996931791</v>
      </c>
      <c r="AC130">
        <v>1.6535284399339156</v>
      </c>
      <c r="AD130">
        <v>0.49421760679726223</v>
      </c>
      <c r="AE130">
        <v>-0.18520258641298501</v>
      </c>
      <c r="AF130">
        <v>1.26955868691056</v>
      </c>
      <c r="AG130">
        <v>1.1278026502743901</v>
      </c>
      <c r="AH130">
        <v>0.888858120675032</v>
      </c>
      <c r="AI130">
        <v>1.4836044289928401</v>
      </c>
      <c r="AJ130">
        <v>0.76193534118230599</v>
      </c>
      <c r="AK130">
        <v>45.071283999999999</v>
      </c>
      <c r="AL130">
        <v>4.8370730000000002</v>
      </c>
      <c r="AM130">
        <v>48.856372813999997</v>
      </c>
      <c r="AN130">
        <v>2.3525296170000001</v>
      </c>
    </row>
    <row r="131" spans="1:40" x14ac:dyDescent="0.35">
      <c r="A131">
        <v>178</v>
      </c>
      <c r="B131">
        <v>72</v>
      </c>
      <c r="C131" t="s">
        <v>40</v>
      </c>
      <c r="D131" t="s">
        <v>52</v>
      </c>
      <c r="E131" t="s">
        <v>42</v>
      </c>
      <c r="F131" t="s">
        <v>49</v>
      </c>
      <c r="G131">
        <v>7</v>
      </c>
      <c r="H131">
        <v>49</v>
      </c>
      <c r="I131">
        <v>6</v>
      </c>
      <c r="J131" t="s">
        <v>50</v>
      </c>
      <c r="K131" t="s">
        <v>46</v>
      </c>
      <c r="L131" t="s">
        <v>67</v>
      </c>
      <c r="M131">
        <v>278.72188187549023</v>
      </c>
      <c r="N131">
        <v>343</v>
      </c>
      <c r="O131">
        <v>190</v>
      </c>
      <c r="P131">
        <v>175</v>
      </c>
      <c r="Q131">
        <v>0</v>
      </c>
      <c r="R131">
        <v>1.0986122886681098</v>
      </c>
      <c r="S131">
        <v>4.499809670330265</v>
      </c>
      <c r="T131">
        <v>90.053710317460329</v>
      </c>
      <c r="U131">
        <v>1.5728028449904734</v>
      </c>
      <c r="V131">
        <v>-0.577850340007529</v>
      </c>
      <c r="W131">
        <v>-0.32460727773589898</v>
      </c>
      <c r="X131">
        <v>-0.54369568891204501</v>
      </c>
      <c r="Y131">
        <v>-0.77598924050104101</v>
      </c>
      <c r="Z131">
        <v>0.47668876811384397</v>
      </c>
      <c r="AA131">
        <v>0.85617757356637403</v>
      </c>
      <c r="AB131">
        <v>2565</v>
      </c>
      <c r="AC131">
        <v>1</v>
      </c>
      <c r="AD131">
        <v>0</v>
      </c>
      <c r="AE131">
        <v>-0.72514205471140702</v>
      </c>
      <c r="AF131">
        <v>-1.8126887765227999</v>
      </c>
      <c r="AG131">
        <v>1.08071895906719</v>
      </c>
      <c r="AH131">
        <v>0.97571580188816098</v>
      </c>
      <c r="AI131">
        <v>0.39072610971754601</v>
      </c>
      <c r="AJ131">
        <v>0.19303057952569799</v>
      </c>
      <c r="AK131">
        <v>46.303668000000002</v>
      </c>
      <c r="AL131">
        <v>4.8322269999999996</v>
      </c>
      <c r="AM131">
        <v>48.110000000000007</v>
      </c>
      <c r="AN131">
        <v>7.3849999999999989</v>
      </c>
    </row>
    <row r="132" spans="1:40" x14ac:dyDescent="0.35">
      <c r="A132">
        <v>179</v>
      </c>
      <c r="B132">
        <v>57</v>
      </c>
      <c r="C132" t="s">
        <v>48</v>
      </c>
      <c r="D132" t="s">
        <v>66</v>
      </c>
      <c r="E132" t="s">
        <v>42</v>
      </c>
      <c r="F132" t="s">
        <v>43</v>
      </c>
      <c r="G132">
        <v>5</v>
      </c>
      <c r="H132">
        <v>25</v>
      </c>
      <c r="I132">
        <v>5</v>
      </c>
      <c r="J132" t="s">
        <v>56</v>
      </c>
      <c r="K132" t="s">
        <v>46</v>
      </c>
      <c r="L132" t="s">
        <v>72</v>
      </c>
      <c r="M132">
        <v>492.64404854898049</v>
      </c>
      <c r="N132">
        <v>576</v>
      </c>
      <c r="O132">
        <v>361</v>
      </c>
      <c r="P132">
        <v>326</v>
      </c>
      <c r="Q132">
        <v>0.69314718055994529</v>
      </c>
      <c r="R132">
        <v>1.3862943611198906</v>
      </c>
      <c r="S132">
        <v>4.5538768916005408</v>
      </c>
      <c r="T132">
        <v>89.340161030595823</v>
      </c>
      <c r="U132">
        <v>1.4712304197281412</v>
      </c>
      <c r="V132">
        <v>0.59716251398508702</v>
      </c>
      <c r="W132">
        <v>0.91068296986709796</v>
      </c>
      <c r="X132">
        <v>1.2273243988355</v>
      </c>
      <c r="Y132">
        <v>-0.4121809470949</v>
      </c>
      <c r="Z132">
        <v>-0.86472582726521097</v>
      </c>
      <c r="AA132">
        <v>-1.0172779374790899</v>
      </c>
      <c r="AB132">
        <v>1828.1689246701658</v>
      </c>
      <c r="AC132">
        <v>1.1127464888636687</v>
      </c>
      <c r="AD132">
        <v>1.8630656830756136</v>
      </c>
      <c r="AE132">
        <v>-0.53926882203722504</v>
      </c>
      <c r="AF132">
        <v>-1.54047305053106</v>
      </c>
      <c r="AG132">
        <v>-4.9636999422482397E-2</v>
      </c>
      <c r="AH132">
        <v>0.15479336053946199</v>
      </c>
      <c r="AI132">
        <v>-0.12510353161240101</v>
      </c>
      <c r="AJ132">
        <v>2.9571203015020999E-2</v>
      </c>
      <c r="AK132">
        <v>44.503641999999999</v>
      </c>
      <c r="AL132">
        <v>1.1863669999999999</v>
      </c>
      <c r="AM132">
        <v>48.856372813999997</v>
      </c>
      <c r="AN132">
        <v>2.3525296170000001</v>
      </c>
    </row>
    <row r="133" spans="1:40" x14ac:dyDescent="0.35">
      <c r="A133">
        <v>180</v>
      </c>
      <c r="B133">
        <v>72</v>
      </c>
      <c r="C133" t="s">
        <v>40</v>
      </c>
      <c r="D133" t="s">
        <v>52</v>
      </c>
      <c r="E133" t="s">
        <v>42</v>
      </c>
      <c r="F133" t="s">
        <v>49</v>
      </c>
      <c r="G133">
        <v>4</v>
      </c>
      <c r="H133">
        <v>16</v>
      </c>
      <c r="I133">
        <v>5</v>
      </c>
      <c r="J133" t="s">
        <v>56</v>
      </c>
      <c r="K133" t="s">
        <v>46</v>
      </c>
      <c r="L133" t="s">
        <v>65</v>
      </c>
      <c r="M133">
        <v>41.647301945994833</v>
      </c>
      <c r="N133">
        <v>85</v>
      </c>
      <c r="O133">
        <v>55</v>
      </c>
      <c r="P133">
        <v>80</v>
      </c>
      <c r="Q133">
        <v>0</v>
      </c>
      <c r="R133">
        <v>0</v>
      </c>
      <c r="S133">
        <v>4.4543472962535073</v>
      </c>
      <c r="T133">
        <v>89.333044733044744</v>
      </c>
      <c r="U133">
        <v>1.2554235437523662</v>
      </c>
      <c r="V133">
        <v>1.64975517953679</v>
      </c>
      <c r="W133">
        <v>2.4220969657957299</v>
      </c>
      <c r="X133">
        <v>1.68128863126442</v>
      </c>
      <c r="Y133">
        <v>2.0553398017137301</v>
      </c>
      <c r="Z133">
        <v>2.0921400018840099</v>
      </c>
      <c r="AA133">
        <v>2.0596698968962701</v>
      </c>
      <c r="AB133">
        <v>3262.71</v>
      </c>
      <c r="AC133">
        <v>0.33</v>
      </c>
      <c r="AD133">
        <v>0.66</v>
      </c>
      <c r="AE133">
        <v>1.9221838973381</v>
      </c>
      <c r="AF133">
        <v>-1.4385660417281401</v>
      </c>
      <c r="AG133">
        <v>-1.2792313421788399</v>
      </c>
      <c r="AH133">
        <v>-0.154250724483324</v>
      </c>
      <c r="AI133">
        <v>-1.56836323123243</v>
      </c>
      <c r="AJ133">
        <v>0.336370441366041</v>
      </c>
      <c r="AK133">
        <v>43.537466000000002</v>
      </c>
      <c r="AL133">
        <v>6.4627330000000001</v>
      </c>
      <c r="AM133">
        <v>43.250333333333337</v>
      </c>
      <c r="AN133">
        <v>6.1326666666666663</v>
      </c>
    </row>
    <row r="134" spans="1:40" x14ac:dyDescent="0.35">
      <c r="A134">
        <v>182</v>
      </c>
      <c r="B134">
        <v>72</v>
      </c>
      <c r="C134" t="s">
        <v>40</v>
      </c>
      <c r="D134" t="s">
        <v>52</v>
      </c>
      <c r="E134" t="s">
        <v>42</v>
      </c>
      <c r="F134" t="s">
        <v>49</v>
      </c>
      <c r="G134">
        <v>5</v>
      </c>
      <c r="H134">
        <v>25</v>
      </c>
      <c r="I134">
        <v>5</v>
      </c>
      <c r="J134" t="s">
        <v>45</v>
      </c>
      <c r="K134" t="s">
        <v>46</v>
      </c>
      <c r="L134" t="s">
        <v>59</v>
      </c>
      <c r="M134">
        <v>183.56749447897371</v>
      </c>
      <c r="N134">
        <v>227</v>
      </c>
      <c r="O134">
        <v>173</v>
      </c>
      <c r="P134">
        <v>133</v>
      </c>
      <c r="Q134">
        <v>1.3862943611198906</v>
      </c>
      <c r="R134">
        <v>1.3862943611198906</v>
      </c>
      <c r="S134">
        <v>4.9972122737641147</v>
      </c>
      <c r="T134">
        <v>90.035146103896111</v>
      </c>
      <c r="U134">
        <v>1.418823059726001</v>
      </c>
      <c r="V134">
        <v>-0.52223564926899602</v>
      </c>
      <c r="W134">
        <v>-0.46072710968150399</v>
      </c>
      <c r="X134">
        <v>-0.361786268345754</v>
      </c>
      <c r="Y134">
        <v>-0.552694479448822</v>
      </c>
      <c r="Z134">
        <v>2.1676297177028899E-2</v>
      </c>
      <c r="AA134">
        <v>0.625223797005378</v>
      </c>
      <c r="AB134">
        <v>2234.6992515788952</v>
      </c>
      <c r="AC134">
        <v>0</v>
      </c>
      <c r="AD134">
        <v>0.12112735591028891</v>
      </c>
      <c r="AE134">
        <v>-0.60610368582010199</v>
      </c>
      <c r="AF134">
        <v>-1.7168973243923</v>
      </c>
      <c r="AG134">
        <v>-0.55267286860412201</v>
      </c>
      <c r="AH134">
        <v>0.93173992331712197</v>
      </c>
      <c r="AI134">
        <v>-0.23767548285520301</v>
      </c>
      <c r="AJ134">
        <v>0.27581231714135701</v>
      </c>
      <c r="AK134">
        <v>47.411035099999999</v>
      </c>
      <c r="AL134">
        <v>0.98369799999999996</v>
      </c>
      <c r="AM134">
        <v>48.842999999999996</v>
      </c>
      <c r="AN134">
        <v>2.2090000000000001</v>
      </c>
    </row>
    <row r="135" spans="1:40" x14ac:dyDescent="0.35">
      <c r="A135">
        <v>183</v>
      </c>
      <c r="B135">
        <v>72</v>
      </c>
      <c r="C135" t="s">
        <v>40</v>
      </c>
      <c r="D135" t="s">
        <v>52</v>
      </c>
      <c r="E135" t="s">
        <v>42</v>
      </c>
      <c r="F135" t="s">
        <v>49</v>
      </c>
      <c r="G135">
        <v>5</v>
      </c>
      <c r="H135">
        <v>25</v>
      </c>
      <c r="I135">
        <v>7</v>
      </c>
      <c r="J135" t="s">
        <v>56</v>
      </c>
      <c r="K135" t="s">
        <v>46</v>
      </c>
      <c r="L135" t="s">
        <v>55</v>
      </c>
      <c r="M135">
        <v>50.755455758511602</v>
      </c>
      <c r="N135">
        <v>73</v>
      </c>
      <c r="O135">
        <v>61</v>
      </c>
      <c r="P135">
        <v>30</v>
      </c>
      <c r="Q135">
        <v>2.0794415416798357</v>
      </c>
      <c r="R135">
        <v>2.3025850929940459</v>
      </c>
      <c r="S135">
        <v>3.2580965380214821</v>
      </c>
      <c r="T135">
        <v>95.12</v>
      </c>
      <c r="U135">
        <v>0</v>
      </c>
      <c r="V135">
        <v>1.89305099905856</v>
      </c>
      <c r="W135">
        <v>0.59880690621441701</v>
      </c>
      <c r="X135">
        <v>1.1856460040685599</v>
      </c>
      <c r="Y135">
        <v>-0.15565097555555901</v>
      </c>
      <c r="Z135">
        <v>-0.22748295097212001</v>
      </c>
      <c r="AA135">
        <v>1.0415013010201299</v>
      </c>
      <c r="AB135">
        <v>2939.9504036908884</v>
      </c>
      <c r="AC135">
        <v>2</v>
      </c>
      <c r="AD135">
        <v>0.42868127643214149</v>
      </c>
      <c r="AE135">
        <v>-2.40641039566141E-2</v>
      </c>
      <c r="AF135">
        <v>0.51318936636625501</v>
      </c>
      <c r="AG135">
        <v>-0.13598891812674299</v>
      </c>
      <c r="AH135">
        <v>0.67616877207485704</v>
      </c>
      <c r="AI135">
        <v>0.51405660172107603</v>
      </c>
      <c r="AJ135">
        <v>0.86082790729109104</v>
      </c>
      <c r="AK135">
        <v>48.0777517</v>
      </c>
      <c r="AL135">
        <v>7.3579641000000002</v>
      </c>
      <c r="AM135">
        <v>48.502000000000002</v>
      </c>
      <c r="AN135">
        <v>7.609</v>
      </c>
    </row>
    <row r="136" spans="1:40" x14ac:dyDescent="0.35">
      <c r="A136">
        <v>184</v>
      </c>
      <c r="B136">
        <v>57</v>
      </c>
      <c r="C136" t="s">
        <v>40</v>
      </c>
      <c r="D136" t="s">
        <v>41</v>
      </c>
      <c r="E136" t="s">
        <v>42</v>
      </c>
      <c r="F136" t="s">
        <v>53</v>
      </c>
      <c r="G136">
        <v>6</v>
      </c>
      <c r="H136">
        <v>36</v>
      </c>
      <c r="I136">
        <v>7</v>
      </c>
      <c r="J136" t="s">
        <v>56</v>
      </c>
      <c r="K136" t="s">
        <v>46</v>
      </c>
      <c r="L136" t="s">
        <v>72</v>
      </c>
      <c r="M136">
        <v>572.73111351556895</v>
      </c>
      <c r="N136">
        <v>709</v>
      </c>
      <c r="O136">
        <v>460</v>
      </c>
      <c r="P136">
        <v>513</v>
      </c>
      <c r="Q136">
        <v>0.69314718055994529</v>
      </c>
      <c r="R136">
        <v>1.3862943611198906</v>
      </c>
      <c r="S136">
        <v>4.5538768916005408</v>
      </c>
      <c r="T136">
        <v>89.340161030595823</v>
      </c>
      <c r="U136">
        <v>1.4712304197281412</v>
      </c>
      <c r="V136">
        <v>0.59716251398508702</v>
      </c>
      <c r="W136">
        <v>0.91068296986709796</v>
      </c>
      <c r="X136">
        <v>1.2273243988355</v>
      </c>
      <c r="Y136">
        <v>-0.4121809470949</v>
      </c>
      <c r="Z136">
        <v>-0.86472582726521097</v>
      </c>
      <c r="AA136">
        <v>-1.0172779374790899</v>
      </c>
      <c r="AB136">
        <v>1828.1689246701658</v>
      </c>
      <c r="AC136">
        <v>1.1127464888636687</v>
      </c>
      <c r="AD136">
        <v>1.8630656830756136</v>
      </c>
      <c r="AE136">
        <v>-0.53926882203722504</v>
      </c>
      <c r="AF136">
        <v>-0.59271918885960095</v>
      </c>
      <c r="AG136">
        <v>1.1517182807053199</v>
      </c>
      <c r="AH136">
        <v>0.34958852441541299</v>
      </c>
      <c r="AI136">
        <v>0.23153467736487901</v>
      </c>
      <c r="AJ136">
        <v>1.2772042375739501</v>
      </c>
      <c r="AK136">
        <v>44.503641999999999</v>
      </c>
      <c r="AL136">
        <v>1.1863669999999999</v>
      </c>
      <c r="AM136">
        <v>49.424722222222222</v>
      </c>
      <c r="AN136">
        <v>3.3890000000000002</v>
      </c>
    </row>
    <row r="137" spans="1:40" x14ac:dyDescent="0.35">
      <c r="A137">
        <v>185</v>
      </c>
      <c r="B137">
        <v>72</v>
      </c>
      <c r="C137" t="s">
        <v>40</v>
      </c>
      <c r="D137" t="s">
        <v>52</v>
      </c>
      <c r="E137" t="s">
        <v>42</v>
      </c>
      <c r="F137" t="s">
        <v>43</v>
      </c>
      <c r="G137">
        <v>6</v>
      </c>
      <c r="H137">
        <v>36</v>
      </c>
      <c r="I137">
        <v>7</v>
      </c>
      <c r="J137" t="s">
        <v>50</v>
      </c>
      <c r="K137" t="s">
        <v>46</v>
      </c>
      <c r="L137" t="s">
        <v>55</v>
      </c>
      <c r="M137">
        <v>394.81222261715612</v>
      </c>
      <c r="N137">
        <v>573</v>
      </c>
      <c r="O137">
        <v>376</v>
      </c>
      <c r="P137">
        <v>220</v>
      </c>
      <c r="Q137">
        <v>2.0794415416798357</v>
      </c>
      <c r="R137">
        <v>2.3025850929940459</v>
      </c>
      <c r="S137">
        <v>3.2580965380214821</v>
      </c>
      <c r="T137">
        <v>95.12</v>
      </c>
      <c r="U137">
        <v>0</v>
      </c>
      <c r="V137">
        <v>1.89305099905856</v>
      </c>
      <c r="W137">
        <v>0.59880690621441701</v>
      </c>
      <c r="X137">
        <v>1.1856460040685599</v>
      </c>
      <c r="Y137">
        <v>-0.15565097555555901</v>
      </c>
      <c r="Z137">
        <v>-0.22748295097212001</v>
      </c>
      <c r="AA137">
        <v>1.0415013010201299</v>
      </c>
      <c r="AB137">
        <v>2939.9504036908884</v>
      </c>
      <c r="AC137">
        <v>2</v>
      </c>
      <c r="AD137">
        <v>0.42868127643214149</v>
      </c>
      <c r="AE137">
        <v>-2.40641039566141E-2</v>
      </c>
      <c r="AF137">
        <v>-1.5855623672431292</v>
      </c>
      <c r="AG137">
        <v>-0.85151513868016704</v>
      </c>
      <c r="AH137">
        <v>0.36866036920293477</v>
      </c>
      <c r="AI137">
        <v>0.69966572956570205</v>
      </c>
      <c r="AJ137">
        <v>-0.11345741348597269</v>
      </c>
      <c r="AK137">
        <v>48.0777517</v>
      </c>
      <c r="AL137">
        <v>7.3579641000000002</v>
      </c>
      <c r="AM137">
        <v>48.826999999999998</v>
      </c>
      <c r="AN137">
        <v>2.13</v>
      </c>
    </row>
    <row r="138" spans="1:40" x14ac:dyDescent="0.35">
      <c r="A138">
        <v>186</v>
      </c>
      <c r="B138">
        <v>57</v>
      </c>
      <c r="C138" t="s">
        <v>48</v>
      </c>
      <c r="D138" t="s">
        <v>52</v>
      </c>
      <c r="E138" t="s">
        <v>42</v>
      </c>
      <c r="F138" t="s">
        <v>49</v>
      </c>
      <c r="G138">
        <v>4</v>
      </c>
      <c r="H138">
        <v>16</v>
      </c>
      <c r="I138">
        <v>5</v>
      </c>
      <c r="J138" t="s">
        <v>56</v>
      </c>
      <c r="K138" t="s">
        <v>46</v>
      </c>
      <c r="L138" t="s">
        <v>65</v>
      </c>
      <c r="M138">
        <v>729.90247521218168</v>
      </c>
      <c r="N138">
        <v>959</v>
      </c>
      <c r="O138">
        <v>500</v>
      </c>
      <c r="P138">
        <v>444</v>
      </c>
      <c r="Q138">
        <v>0</v>
      </c>
      <c r="R138">
        <v>0</v>
      </c>
      <c r="S138">
        <v>4.4543472962535073</v>
      </c>
      <c r="T138">
        <v>89.333044733044744</v>
      </c>
      <c r="U138">
        <v>1.2554235437523662</v>
      </c>
      <c r="V138">
        <v>1.64975517953679</v>
      </c>
      <c r="W138">
        <v>2.4220969657957299</v>
      </c>
      <c r="X138">
        <v>1.68128863126442</v>
      </c>
      <c r="Y138">
        <v>2.0553398017137301</v>
      </c>
      <c r="Z138">
        <v>2.0921400018840099</v>
      </c>
      <c r="AA138">
        <v>2.0596698968962701</v>
      </c>
      <c r="AB138">
        <v>3262.71</v>
      </c>
      <c r="AC138">
        <v>0.33</v>
      </c>
      <c r="AD138">
        <v>0.66</v>
      </c>
      <c r="AE138">
        <v>1.9221838973381</v>
      </c>
      <c r="AF138">
        <v>1.0609481372723899</v>
      </c>
      <c r="AG138">
        <v>-0.74410429054433902</v>
      </c>
      <c r="AH138">
        <v>0.26295382834251602</v>
      </c>
      <c r="AI138">
        <v>1.162708909901</v>
      </c>
      <c r="AJ138">
        <v>0.96203195566570499</v>
      </c>
      <c r="AK138">
        <v>43.537466000000002</v>
      </c>
      <c r="AL138">
        <v>6.4627330000000001</v>
      </c>
      <c r="AM138">
        <v>49.086999999999996</v>
      </c>
      <c r="AN138">
        <v>1.3977142857142859</v>
      </c>
    </row>
    <row r="139" spans="1:40" x14ac:dyDescent="0.35">
      <c r="A139">
        <v>187</v>
      </c>
      <c r="B139">
        <v>72</v>
      </c>
      <c r="C139" t="s">
        <v>40</v>
      </c>
      <c r="D139" t="s">
        <v>52</v>
      </c>
      <c r="E139" t="s">
        <v>42</v>
      </c>
      <c r="F139" t="s">
        <v>49</v>
      </c>
      <c r="G139">
        <v>5</v>
      </c>
      <c r="H139">
        <v>25</v>
      </c>
      <c r="I139">
        <v>5</v>
      </c>
      <c r="J139" t="s">
        <v>45</v>
      </c>
      <c r="K139" t="s">
        <v>46</v>
      </c>
      <c r="L139" t="s">
        <v>54</v>
      </c>
      <c r="M139">
        <v>476.81870343941398</v>
      </c>
      <c r="N139">
        <v>574</v>
      </c>
      <c r="O139">
        <v>353</v>
      </c>
      <c r="P139">
        <v>204</v>
      </c>
      <c r="Q139">
        <v>3.9889840465642745</v>
      </c>
      <c r="R139">
        <v>3.0910424533583161</v>
      </c>
      <c r="S139">
        <v>4.1271343850450917</v>
      </c>
      <c r="T139">
        <v>92.826666666666668</v>
      </c>
      <c r="U139">
        <v>2.9827057067926286</v>
      </c>
      <c r="V139">
        <v>-0.16604708794949699</v>
      </c>
      <c r="W139">
        <v>-0.150727876652859</v>
      </c>
      <c r="X139">
        <v>-0.19602043866096</v>
      </c>
      <c r="Y139">
        <v>1.4483117406157899</v>
      </c>
      <c r="Z139">
        <v>1.7680602694732599</v>
      </c>
      <c r="AA139">
        <v>0.26366440732357699</v>
      </c>
      <c r="AB139">
        <v>4236</v>
      </c>
      <c r="AC139">
        <v>0</v>
      </c>
      <c r="AD139">
        <v>4</v>
      </c>
      <c r="AE139">
        <v>1.6751267091712101</v>
      </c>
      <c r="AF139">
        <v>-0.36399886461376302</v>
      </c>
      <c r="AG139">
        <v>1.5435501128461799</v>
      </c>
      <c r="AH139">
        <v>1.0096136252627499</v>
      </c>
      <c r="AI139">
        <v>1.5878567888260799</v>
      </c>
      <c r="AJ139">
        <v>0.227331084903274</v>
      </c>
      <c r="AK139">
        <v>44.917983300000003</v>
      </c>
      <c r="AL139">
        <v>-0.22352169999999999</v>
      </c>
      <c r="AM139">
        <v>48.898623800000003</v>
      </c>
      <c r="AN139">
        <v>2.0937264</v>
      </c>
    </row>
    <row r="140" spans="1:40" x14ac:dyDescent="0.35">
      <c r="A140">
        <v>189</v>
      </c>
      <c r="B140">
        <v>72</v>
      </c>
      <c r="C140" t="s">
        <v>40</v>
      </c>
      <c r="D140" t="s">
        <v>52</v>
      </c>
      <c r="E140" t="s">
        <v>42</v>
      </c>
      <c r="F140" t="s">
        <v>49</v>
      </c>
      <c r="G140">
        <v>5</v>
      </c>
      <c r="H140">
        <v>25</v>
      </c>
      <c r="I140">
        <v>6</v>
      </c>
      <c r="J140" t="s">
        <v>56</v>
      </c>
      <c r="K140" t="s">
        <v>46</v>
      </c>
      <c r="L140" t="s">
        <v>73</v>
      </c>
      <c r="M140">
        <v>532.3907582339358</v>
      </c>
      <c r="N140">
        <v>761</v>
      </c>
      <c r="O140">
        <v>434</v>
      </c>
      <c r="P140">
        <v>826</v>
      </c>
      <c r="Q140">
        <v>1.9459101490553132</v>
      </c>
      <c r="R140">
        <v>2.9444389791664403</v>
      </c>
      <c r="S140">
        <v>4.2626798770413155</v>
      </c>
      <c r="T140">
        <v>91.872500000000002</v>
      </c>
      <c r="U140">
        <v>2.0033201607997366</v>
      </c>
      <c r="V140">
        <v>7.5580716531248995E-2</v>
      </c>
      <c r="W140">
        <v>0.203376316306385</v>
      </c>
      <c r="X140">
        <v>0.143329752535333</v>
      </c>
      <c r="Y140">
        <v>1.4483117406157899</v>
      </c>
      <c r="Z140">
        <v>1.7680602694732599</v>
      </c>
      <c r="AA140">
        <v>0.26366440732357699</v>
      </c>
      <c r="AB140">
        <v>4236</v>
      </c>
      <c r="AC140">
        <v>0</v>
      </c>
      <c r="AD140">
        <v>4</v>
      </c>
      <c r="AE140">
        <v>1.6751267091712101</v>
      </c>
      <c r="AF140">
        <v>-5.0602662251475097E-2</v>
      </c>
      <c r="AG140">
        <v>1.01690920570409</v>
      </c>
      <c r="AH140">
        <v>1.0301573116845599</v>
      </c>
      <c r="AI140">
        <v>0.38855341476475702</v>
      </c>
      <c r="AJ140">
        <v>-3.08761933181536E-2</v>
      </c>
      <c r="AK140">
        <v>44.686388999999998</v>
      </c>
      <c r="AL140">
        <v>-0.52383800000000003</v>
      </c>
      <c r="AM140">
        <v>44.66471428571429</v>
      </c>
      <c r="AN140">
        <v>6.2035714285714283</v>
      </c>
    </row>
    <row r="141" spans="1:40" x14ac:dyDescent="0.35">
      <c r="A141">
        <v>190</v>
      </c>
      <c r="B141">
        <v>72</v>
      </c>
      <c r="C141" t="s">
        <v>40</v>
      </c>
      <c r="D141" t="s">
        <v>52</v>
      </c>
      <c r="E141" t="s">
        <v>42</v>
      </c>
      <c r="F141" t="s">
        <v>49</v>
      </c>
      <c r="G141">
        <v>5</v>
      </c>
      <c r="H141">
        <v>25</v>
      </c>
      <c r="I141">
        <v>6</v>
      </c>
      <c r="J141" t="s">
        <v>50</v>
      </c>
      <c r="K141" t="s">
        <v>46</v>
      </c>
      <c r="L141" t="s">
        <v>65</v>
      </c>
      <c r="M141">
        <v>52.093149732697817</v>
      </c>
      <c r="N141">
        <v>85</v>
      </c>
      <c r="O141">
        <v>55</v>
      </c>
      <c r="P141">
        <v>80</v>
      </c>
      <c r="Q141">
        <v>0</v>
      </c>
      <c r="R141">
        <v>0</v>
      </c>
      <c r="S141">
        <v>4.4543472962535073</v>
      </c>
      <c r="T141">
        <v>89.333044733044744</v>
      </c>
      <c r="U141">
        <v>1.2554235437523662</v>
      </c>
      <c r="V141">
        <v>1.64975517953679</v>
      </c>
      <c r="W141">
        <v>2.4220969657957299</v>
      </c>
      <c r="X141">
        <v>1.68128863126442</v>
      </c>
      <c r="Y141">
        <v>2.0553398017137301</v>
      </c>
      <c r="Z141">
        <v>2.0921400018840099</v>
      </c>
      <c r="AA141">
        <v>2.0596698968962701</v>
      </c>
      <c r="AB141">
        <v>3262.71</v>
      </c>
      <c r="AC141">
        <v>0.33</v>
      </c>
      <c r="AD141">
        <v>0.66</v>
      </c>
      <c r="AE141">
        <v>1.9221838973381</v>
      </c>
      <c r="AF141">
        <v>-1.4647514280432501</v>
      </c>
      <c r="AG141">
        <v>0.50481786308756105</v>
      </c>
      <c r="AH141">
        <v>-1.2410954664820999</v>
      </c>
      <c r="AI141">
        <v>-2.81973071979177</v>
      </c>
      <c r="AJ141">
        <v>0.36527724212495699</v>
      </c>
      <c r="AK141">
        <v>43.537466000000002</v>
      </c>
      <c r="AL141">
        <v>6.4627330000000001</v>
      </c>
      <c r="AM141">
        <v>43.196800000000003</v>
      </c>
      <c r="AN141">
        <v>6.021399999999999</v>
      </c>
    </row>
    <row r="142" spans="1:40" x14ac:dyDescent="0.35">
      <c r="A142">
        <v>192</v>
      </c>
      <c r="B142">
        <v>72</v>
      </c>
      <c r="C142" t="s">
        <v>40</v>
      </c>
      <c r="D142" t="s">
        <v>52</v>
      </c>
      <c r="E142" t="s">
        <v>42</v>
      </c>
      <c r="F142" t="s">
        <v>43</v>
      </c>
      <c r="G142">
        <v>3</v>
      </c>
      <c r="H142">
        <v>9</v>
      </c>
      <c r="I142">
        <v>7</v>
      </c>
      <c r="J142" t="s">
        <v>45</v>
      </c>
      <c r="K142" t="s">
        <v>46</v>
      </c>
      <c r="L142" t="s">
        <v>55</v>
      </c>
      <c r="M142">
        <v>554.44367532506783</v>
      </c>
      <c r="N142">
        <v>639</v>
      </c>
      <c r="O142">
        <v>423</v>
      </c>
      <c r="P142">
        <v>259</v>
      </c>
      <c r="Q142">
        <v>2.0794415416798357</v>
      </c>
      <c r="R142">
        <v>2.3025850929940459</v>
      </c>
      <c r="S142">
        <v>3.2580965380214821</v>
      </c>
      <c r="T142">
        <v>95.12</v>
      </c>
      <c r="U142">
        <v>0</v>
      </c>
      <c r="V142">
        <v>1.89305099905856</v>
      </c>
      <c r="W142">
        <v>0.59880690621441701</v>
      </c>
      <c r="X142">
        <v>1.1856460040685599</v>
      </c>
      <c r="Y142">
        <v>-0.15565097555555901</v>
      </c>
      <c r="Z142">
        <v>-0.22748295097212001</v>
      </c>
      <c r="AA142">
        <v>1.0415013010201299</v>
      </c>
      <c r="AB142">
        <v>2939.9504036908884</v>
      </c>
      <c r="AC142">
        <v>2</v>
      </c>
      <c r="AD142">
        <v>0.42868127643214149</v>
      </c>
      <c r="AE142">
        <v>-2.40641039566141E-2</v>
      </c>
      <c r="AF142">
        <v>0.99681131869159101</v>
      </c>
      <c r="AG142">
        <v>0.98537735633665602</v>
      </c>
      <c r="AH142">
        <v>0.58648950452586501</v>
      </c>
      <c r="AI142">
        <v>1.46879956182837</v>
      </c>
      <c r="AJ142">
        <v>-3.3339601158595098</v>
      </c>
      <c r="AK142">
        <v>48.0777517</v>
      </c>
      <c r="AL142">
        <v>7.3579641000000002</v>
      </c>
      <c r="AM142">
        <v>49.492590900000003</v>
      </c>
      <c r="AN142">
        <v>0.10650270000000001</v>
      </c>
    </row>
    <row r="143" spans="1:40" x14ac:dyDescent="0.35">
      <c r="A143">
        <v>194</v>
      </c>
      <c r="B143">
        <v>72</v>
      </c>
      <c r="C143" t="s">
        <v>40</v>
      </c>
      <c r="D143" t="s">
        <v>52</v>
      </c>
      <c r="E143" t="s">
        <v>68</v>
      </c>
      <c r="F143" t="s">
        <v>61</v>
      </c>
      <c r="G143">
        <v>5</v>
      </c>
      <c r="H143">
        <v>25</v>
      </c>
      <c r="I143">
        <v>6</v>
      </c>
      <c r="J143" t="s">
        <v>56</v>
      </c>
      <c r="K143" t="s">
        <v>46</v>
      </c>
      <c r="L143" t="s">
        <v>55</v>
      </c>
      <c r="M143">
        <v>345.8268988977585</v>
      </c>
      <c r="N143">
        <v>504</v>
      </c>
      <c r="O143">
        <v>336</v>
      </c>
      <c r="P143">
        <v>293</v>
      </c>
      <c r="Q143">
        <v>2.0794415416798357</v>
      </c>
      <c r="R143">
        <v>2.3025850929940459</v>
      </c>
      <c r="S143">
        <v>3.2580965380214821</v>
      </c>
      <c r="T143">
        <v>95.12</v>
      </c>
      <c r="U143">
        <v>0</v>
      </c>
      <c r="V143">
        <v>1.89305099905856</v>
      </c>
      <c r="W143">
        <v>0.59880690621441701</v>
      </c>
      <c r="X143">
        <v>1.1856460040685599</v>
      </c>
      <c r="Y143">
        <v>-0.15565097555555901</v>
      </c>
      <c r="Z143">
        <v>-0.22748295097212001</v>
      </c>
      <c r="AA143">
        <v>1.0415013010201299</v>
      </c>
      <c r="AB143">
        <v>2939.9504036908884</v>
      </c>
      <c r="AC143">
        <v>2</v>
      </c>
      <c r="AD143">
        <v>0.42868127643214149</v>
      </c>
      <c r="AE143">
        <v>-2.40641039566141E-2</v>
      </c>
      <c r="AF143">
        <v>1.1824138270259501</v>
      </c>
      <c r="AG143">
        <v>-0.23008828733183101</v>
      </c>
      <c r="AH143">
        <v>-0.104289350913434</v>
      </c>
      <c r="AI143">
        <v>-7.3971486129955299E-2</v>
      </c>
      <c r="AJ143">
        <v>-0.96995645089061899</v>
      </c>
      <c r="AK143">
        <v>48.0777517</v>
      </c>
      <c r="AL143">
        <v>7.3579641000000002</v>
      </c>
      <c r="AM143">
        <v>50.640682937000001</v>
      </c>
      <c r="AN143">
        <v>4.6610704270000003</v>
      </c>
    </row>
    <row r="144" spans="1:40" x14ac:dyDescent="0.35">
      <c r="A144">
        <v>195</v>
      </c>
      <c r="B144">
        <v>72</v>
      </c>
      <c r="C144" t="s">
        <v>40</v>
      </c>
      <c r="D144" t="s">
        <v>52</v>
      </c>
      <c r="E144" t="s">
        <v>68</v>
      </c>
      <c r="F144" t="s">
        <v>49</v>
      </c>
      <c r="G144">
        <v>4</v>
      </c>
      <c r="H144">
        <v>16</v>
      </c>
      <c r="I144">
        <v>7</v>
      </c>
      <c r="J144" t="s">
        <v>56</v>
      </c>
      <c r="K144" t="s">
        <v>46</v>
      </c>
      <c r="L144" t="s">
        <v>70</v>
      </c>
      <c r="M144">
        <v>505.64381411453508</v>
      </c>
      <c r="N144">
        <v>318</v>
      </c>
      <c r="O144">
        <v>230</v>
      </c>
      <c r="P144">
        <v>275</v>
      </c>
      <c r="Q144">
        <v>0</v>
      </c>
      <c r="R144">
        <v>0</v>
      </c>
      <c r="S144">
        <v>5.3230099791384085</v>
      </c>
      <c r="T144">
        <v>90.615999999999985</v>
      </c>
      <c r="U144">
        <v>1.11573792223403</v>
      </c>
      <c r="V144">
        <v>0.80288722813325297</v>
      </c>
      <c r="W144">
        <v>0.52082154240315903</v>
      </c>
      <c r="X144">
        <v>0.61908815691345198</v>
      </c>
      <c r="Y144">
        <v>1.5007680231051199</v>
      </c>
      <c r="Z144">
        <v>0.24292628533916899</v>
      </c>
      <c r="AA144">
        <v>8.5217386942517098E-2</v>
      </c>
      <c r="AB144">
        <v>3943</v>
      </c>
      <c r="AC144">
        <v>0</v>
      </c>
      <c r="AD144">
        <v>1</v>
      </c>
      <c r="AE144">
        <v>1.1088815174583</v>
      </c>
      <c r="AF144">
        <v>0.55235841877381597</v>
      </c>
      <c r="AG144">
        <v>0.67377401198879106</v>
      </c>
      <c r="AH144">
        <v>0.26353082516384602</v>
      </c>
      <c r="AI144">
        <v>0.70337574243516399</v>
      </c>
      <c r="AJ144">
        <v>1.04714622476368</v>
      </c>
      <c r="AK144">
        <v>46.098678999999997</v>
      </c>
      <c r="AL144">
        <v>4.7359530000000003</v>
      </c>
      <c r="AM144">
        <v>50.640682937000001</v>
      </c>
      <c r="AN144">
        <v>4.6610704270000003</v>
      </c>
    </row>
    <row r="145" spans="1:40" x14ac:dyDescent="0.35">
      <c r="A145">
        <v>196</v>
      </c>
      <c r="B145">
        <v>72</v>
      </c>
      <c r="C145" t="s">
        <v>40</v>
      </c>
      <c r="D145" t="s">
        <v>52</v>
      </c>
      <c r="E145" t="s">
        <v>68</v>
      </c>
      <c r="F145" t="s">
        <v>49</v>
      </c>
      <c r="G145">
        <v>5</v>
      </c>
      <c r="H145">
        <v>25</v>
      </c>
      <c r="I145">
        <v>7</v>
      </c>
      <c r="J145" t="s">
        <v>45</v>
      </c>
      <c r="K145" t="s">
        <v>46</v>
      </c>
      <c r="L145" t="s">
        <v>55</v>
      </c>
      <c r="M145">
        <v>345.8268988977585</v>
      </c>
      <c r="N145">
        <v>504</v>
      </c>
      <c r="O145">
        <v>336</v>
      </c>
      <c r="P145">
        <v>293</v>
      </c>
      <c r="Q145">
        <v>2.0794415416798357</v>
      </c>
      <c r="R145">
        <v>2.3025850929940459</v>
      </c>
      <c r="S145">
        <v>3.2580965380214821</v>
      </c>
      <c r="T145">
        <v>95.12</v>
      </c>
      <c r="U145">
        <v>0</v>
      </c>
      <c r="V145">
        <v>1.89305099905856</v>
      </c>
      <c r="W145">
        <v>0.59880690621441701</v>
      </c>
      <c r="X145">
        <v>1.1856460040685599</v>
      </c>
      <c r="Y145">
        <v>-0.15565097555555901</v>
      </c>
      <c r="Z145">
        <v>-0.22748295097212001</v>
      </c>
      <c r="AA145">
        <v>1.0415013010201299</v>
      </c>
      <c r="AB145">
        <v>2939.9504036908884</v>
      </c>
      <c r="AC145">
        <v>2</v>
      </c>
      <c r="AD145">
        <v>0.42868127643214149</v>
      </c>
      <c r="AE145">
        <v>-2.40641039566141E-2</v>
      </c>
      <c r="AF145">
        <v>-3.3849089178724499E-2</v>
      </c>
      <c r="AG145">
        <v>-0.184405225558265</v>
      </c>
      <c r="AH145">
        <v>-1.7966203994293199</v>
      </c>
      <c r="AI145">
        <v>-1.9246342390003599</v>
      </c>
      <c r="AJ145">
        <v>-0.92756424392599202</v>
      </c>
      <c r="AK145">
        <v>48.0777517</v>
      </c>
      <c r="AL145">
        <v>7.3579641000000002</v>
      </c>
      <c r="AM145">
        <v>50.640682937000001</v>
      </c>
      <c r="AN145">
        <v>4.6610704270000003</v>
      </c>
    </row>
    <row r="146" spans="1:40" x14ac:dyDescent="0.35">
      <c r="A146">
        <v>197</v>
      </c>
      <c r="B146">
        <v>72</v>
      </c>
      <c r="C146" t="s">
        <v>40</v>
      </c>
      <c r="D146" t="s">
        <v>52</v>
      </c>
      <c r="E146" t="s">
        <v>42</v>
      </c>
      <c r="F146" t="s">
        <v>49</v>
      </c>
      <c r="G146">
        <v>3</v>
      </c>
      <c r="H146">
        <v>9</v>
      </c>
      <c r="I146">
        <v>7</v>
      </c>
      <c r="J146" t="s">
        <v>56</v>
      </c>
      <c r="K146" t="s">
        <v>46</v>
      </c>
      <c r="L146" t="s">
        <v>77</v>
      </c>
      <c r="M146">
        <v>74.253278737880734</v>
      </c>
      <c r="N146">
        <v>122</v>
      </c>
      <c r="O146">
        <v>85</v>
      </c>
      <c r="P146">
        <v>84</v>
      </c>
      <c r="Q146">
        <v>0</v>
      </c>
      <c r="R146">
        <v>2.3978952727983707</v>
      </c>
      <c r="S146">
        <v>5.1416635565026603</v>
      </c>
      <c r="T146">
        <v>90.472417453603512</v>
      </c>
      <c r="U146">
        <v>2.7735735584863375</v>
      </c>
      <c r="V146">
        <v>-0.15231437986527399</v>
      </c>
      <c r="W146">
        <v>3.49635939345109E-2</v>
      </c>
      <c r="X146">
        <v>-0.19627808847033801</v>
      </c>
      <c r="Y146">
        <v>-0.57382446736590997</v>
      </c>
      <c r="Z146">
        <v>-0.74335605457542497</v>
      </c>
      <c r="AA146">
        <v>-0.53588051656191904</v>
      </c>
      <c r="AB146">
        <v>3937</v>
      </c>
      <c r="AC146">
        <v>0</v>
      </c>
      <c r="AD146">
        <v>1</v>
      </c>
      <c r="AE146">
        <v>-0.72244456620022002</v>
      </c>
      <c r="AF146">
        <v>-0.667992081165521</v>
      </c>
      <c r="AG146">
        <v>0.118271695628241</v>
      </c>
      <c r="AH146">
        <v>1.14060046822022</v>
      </c>
      <c r="AI146">
        <v>0.40148465047827397</v>
      </c>
      <c r="AJ146">
        <v>1.1070690214174199</v>
      </c>
      <c r="AK146">
        <v>47.259622</v>
      </c>
      <c r="AL146">
        <v>-7.8518000000000004E-2</v>
      </c>
      <c r="AM146">
        <v>47.922125000000001</v>
      </c>
      <c r="AN146">
        <v>3.6500000000000005E-2</v>
      </c>
    </row>
    <row r="147" spans="1:40" x14ac:dyDescent="0.35">
      <c r="A147">
        <v>198</v>
      </c>
      <c r="B147">
        <v>72</v>
      </c>
      <c r="C147" t="s">
        <v>40</v>
      </c>
      <c r="D147" t="s">
        <v>52</v>
      </c>
      <c r="E147" t="s">
        <v>42</v>
      </c>
      <c r="F147" t="s">
        <v>49</v>
      </c>
      <c r="G147">
        <v>5</v>
      </c>
      <c r="H147">
        <v>25</v>
      </c>
      <c r="I147">
        <v>7</v>
      </c>
      <c r="J147" t="s">
        <v>45</v>
      </c>
      <c r="K147" t="s">
        <v>46</v>
      </c>
      <c r="L147" t="s">
        <v>72</v>
      </c>
      <c r="M147">
        <v>85.529553282132525</v>
      </c>
      <c r="N147">
        <v>169</v>
      </c>
      <c r="O147">
        <v>121</v>
      </c>
      <c r="P147">
        <v>173</v>
      </c>
      <c r="Q147">
        <v>0.69314718055994529</v>
      </c>
      <c r="R147">
        <v>1.3862943611198906</v>
      </c>
      <c r="S147">
        <v>4.5538768916005408</v>
      </c>
      <c r="T147">
        <v>89.340161030595823</v>
      </c>
      <c r="U147">
        <v>1.4712304197281412</v>
      </c>
      <c r="V147">
        <v>0.59716251398508702</v>
      </c>
      <c r="W147">
        <v>0.91068296986709796</v>
      </c>
      <c r="X147">
        <v>1.2273243988355</v>
      </c>
      <c r="Y147">
        <v>-0.4121809470949</v>
      </c>
      <c r="Z147">
        <v>-0.86472582726521097</v>
      </c>
      <c r="AA147">
        <v>-1.0172779374790899</v>
      </c>
      <c r="AB147">
        <v>1828.1689246701658</v>
      </c>
      <c r="AC147">
        <v>1.1127464888636687</v>
      </c>
      <c r="AD147">
        <v>1.8630656830756136</v>
      </c>
      <c r="AE147">
        <v>-0.53926882203722504</v>
      </c>
      <c r="AF147">
        <v>0.94200893027537147</v>
      </c>
      <c r="AG147">
        <v>0.15819480555332924</v>
      </c>
      <c r="AH147">
        <v>-0.47934177520520432</v>
      </c>
      <c r="AI147">
        <v>-1.471884597312914</v>
      </c>
      <c r="AJ147">
        <v>0.15829179838028998</v>
      </c>
      <c r="AK147">
        <v>44.503641999999999</v>
      </c>
      <c r="AL147">
        <v>1.1863669999999999</v>
      </c>
      <c r="AM147">
        <v>45.123875000000005</v>
      </c>
      <c r="AN147">
        <v>0.54712499999999997</v>
      </c>
    </row>
    <row r="148" spans="1:40" x14ac:dyDescent="0.35">
      <c r="A148">
        <v>200</v>
      </c>
      <c r="B148">
        <v>57</v>
      </c>
      <c r="C148" t="s">
        <v>40</v>
      </c>
      <c r="D148" t="s">
        <v>52</v>
      </c>
      <c r="E148" t="s">
        <v>68</v>
      </c>
      <c r="F148" t="s">
        <v>43</v>
      </c>
      <c r="G148">
        <v>6</v>
      </c>
      <c r="H148">
        <v>36</v>
      </c>
      <c r="I148">
        <v>5</v>
      </c>
      <c r="J148" t="s">
        <v>50</v>
      </c>
      <c r="K148" t="s">
        <v>46</v>
      </c>
      <c r="L148" t="s">
        <v>59</v>
      </c>
      <c r="M148">
        <v>448.55387495827227</v>
      </c>
      <c r="N148">
        <v>538</v>
      </c>
      <c r="O148">
        <v>378</v>
      </c>
      <c r="P148">
        <v>268</v>
      </c>
      <c r="Q148">
        <v>1.3862943611198906</v>
      </c>
      <c r="R148">
        <v>1.3862943611198906</v>
      </c>
      <c r="S148">
        <v>4.9972122737641147</v>
      </c>
      <c r="T148">
        <v>90.035146103896111</v>
      </c>
      <c r="U148">
        <v>1.418823059726001</v>
      </c>
      <c r="V148">
        <v>-0.52223564926899602</v>
      </c>
      <c r="W148">
        <v>-0.46072710968150399</v>
      </c>
      <c r="X148">
        <v>-0.361786268345754</v>
      </c>
      <c r="Y148">
        <v>-0.552694479448822</v>
      </c>
      <c r="Z148">
        <v>2.1676297177028899E-2</v>
      </c>
      <c r="AA148">
        <v>0.625223797005378</v>
      </c>
      <c r="AB148">
        <v>2234.6992515788952</v>
      </c>
      <c r="AC148">
        <v>0</v>
      </c>
      <c r="AD148">
        <v>0.12112735591028891</v>
      </c>
      <c r="AE148">
        <v>-0.60610368582010199</v>
      </c>
      <c r="AF148">
        <v>1.14822151686621</v>
      </c>
      <c r="AG148">
        <v>0.61950681188188705</v>
      </c>
      <c r="AH148">
        <v>0.97931714671424197</v>
      </c>
      <c r="AI148">
        <v>1.5623515284502001</v>
      </c>
      <c r="AJ148">
        <v>-0.935351038815597</v>
      </c>
      <c r="AK148">
        <v>47.411035099999999</v>
      </c>
      <c r="AL148">
        <v>0.98369799999999996</v>
      </c>
      <c r="AM148">
        <v>50.640682937000001</v>
      </c>
      <c r="AN148">
        <v>4.6610704270000003</v>
      </c>
    </row>
    <row r="149" spans="1:40" x14ac:dyDescent="0.35">
      <c r="A149">
        <v>201</v>
      </c>
      <c r="B149">
        <v>72</v>
      </c>
      <c r="C149" t="s">
        <v>40</v>
      </c>
      <c r="D149" t="s">
        <v>52</v>
      </c>
      <c r="E149" t="s">
        <v>68</v>
      </c>
      <c r="F149" t="s">
        <v>49</v>
      </c>
      <c r="G149">
        <v>4</v>
      </c>
      <c r="H149">
        <v>16</v>
      </c>
      <c r="I149">
        <v>5</v>
      </c>
      <c r="J149" t="s">
        <v>45</v>
      </c>
      <c r="K149" t="s">
        <v>46</v>
      </c>
      <c r="L149" t="s">
        <v>55</v>
      </c>
      <c r="M149">
        <v>345.8268988977585</v>
      </c>
      <c r="N149">
        <v>504</v>
      </c>
      <c r="O149">
        <v>336</v>
      </c>
      <c r="P149">
        <v>293</v>
      </c>
      <c r="Q149">
        <v>2.0794415416798357</v>
      </c>
      <c r="R149">
        <v>2.3025850929940459</v>
      </c>
      <c r="S149">
        <v>3.2580965380214821</v>
      </c>
      <c r="T149">
        <v>95.12</v>
      </c>
      <c r="U149">
        <v>0</v>
      </c>
      <c r="V149">
        <v>1.89305099905856</v>
      </c>
      <c r="W149">
        <v>0.59880690621441701</v>
      </c>
      <c r="X149">
        <v>1.1856460040685599</v>
      </c>
      <c r="Y149">
        <v>-0.15565097555555901</v>
      </c>
      <c r="Z149">
        <v>-0.22748295097212001</v>
      </c>
      <c r="AA149">
        <v>1.0415013010201299</v>
      </c>
      <c r="AB149">
        <v>2939.9504036908884</v>
      </c>
      <c r="AC149">
        <v>2</v>
      </c>
      <c r="AD149">
        <v>0.42868127643214149</v>
      </c>
      <c r="AE149">
        <v>-2.40641039566141E-2</v>
      </c>
      <c r="AF149">
        <v>0.60744653226221101</v>
      </c>
      <c r="AG149">
        <v>0.408423119593601</v>
      </c>
      <c r="AH149">
        <v>0.24545424678646799</v>
      </c>
      <c r="AI149">
        <v>0.51930760773990303</v>
      </c>
      <c r="AJ149">
        <v>-0.86029973841374396</v>
      </c>
      <c r="AK149">
        <v>48.0777517</v>
      </c>
      <c r="AL149">
        <v>7.3579641000000002</v>
      </c>
      <c r="AM149">
        <v>50.640682937000001</v>
      </c>
      <c r="AN149">
        <v>4.6610704270000003</v>
      </c>
    </row>
    <row r="150" spans="1:40" x14ac:dyDescent="0.35">
      <c r="A150">
        <v>202</v>
      </c>
      <c r="B150">
        <v>72</v>
      </c>
      <c r="C150" t="s">
        <v>48</v>
      </c>
      <c r="D150" t="s">
        <v>52</v>
      </c>
      <c r="E150" t="s">
        <v>42</v>
      </c>
      <c r="F150" t="s">
        <v>43</v>
      </c>
      <c r="G150">
        <v>3</v>
      </c>
      <c r="H150">
        <v>9</v>
      </c>
      <c r="I150">
        <v>6</v>
      </c>
      <c r="J150" t="s">
        <v>56</v>
      </c>
      <c r="K150" t="s">
        <v>46</v>
      </c>
      <c r="L150" t="s">
        <v>59</v>
      </c>
      <c r="M150">
        <v>197.50352231467861</v>
      </c>
      <c r="N150">
        <v>238</v>
      </c>
      <c r="O150">
        <v>197</v>
      </c>
      <c r="P150">
        <v>147</v>
      </c>
      <c r="Q150">
        <v>1.3862943611198906</v>
      </c>
      <c r="R150">
        <v>1.3862943611198906</v>
      </c>
      <c r="S150">
        <v>4.9972122737641147</v>
      </c>
      <c r="T150">
        <v>90.035146103896111</v>
      </c>
      <c r="U150">
        <v>1.418823059726001</v>
      </c>
      <c r="V150">
        <v>-0.52223564926899602</v>
      </c>
      <c r="W150">
        <v>-0.46072710968150399</v>
      </c>
      <c r="X150">
        <v>-0.361786268345754</v>
      </c>
      <c r="Y150">
        <v>-0.552694479448822</v>
      </c>
      <c r="Z150">
        <v>2.1676297177028899E-2</v>
      </c>
      <c r="AA150">
        <v>0.625223797005378</v>
      </c>
      <c r="AB150">
        <v>2234.6992515788952</v>
      </c>
      <c r="AC150">
        <v>0</v>
      </c>
      <c r="AD150">
        <v>0.12112735591028891</v>
      </c>
      <c r="AE150">
        <v>-0.60610368582010199</v>
      </c>
      <c r="AF150">
        <v>0.18663105608748401</v>
      </c>
      <c r="AG150">
        <v>1.4384086557762401</v>
      </c>
      <c r="AH150">
        <v>0.83086847682822695</v>
      </c>
      <c r="AI150">
        <v>0.84181339080916295</v>
      </c>
      <c r="AJ150">
        <v>1.1621285701491</v>
      </c>
      <c r="AK150">
        <v>47.411035099999999</v>
      </c>
      <c r="AL150">
        <v>0.98369799999999996</v>
      </c>
      <c r="AM150">
        <v>48.875</v>
      </c>
      <c r="AN150">
        <v>2.4860000000000002</v>
      </c>
    </row>
    <row r="151" spans="1:40" x14ac:dyDescent="0.35">
      <c r="A151">
        <v>205</v>
      </c>
      <c r="B151">
        <v>42</v>
      </c>
      <c r="C151" t="s">
        <v>48</v>
      </c>
      <c r="D151" t="s">
        <v>41</v>
      </c>
      <c r="E151" t="s">
        <v>42</v>
      </c>
      <c r="F151" t="s">
        <v>49</v>
      </c>
      <c r="G151">
        <v>4</v>
      </c>
      <c r="H151">
        <v>16</v>
      </c>
      <c r="I151">
        <v>3</v>
      </c>
      <c r="J151" t="s">
        <v>56</v>
      </c>
      <c r="K151" t="s">
        <v>46</v>
      </c>
      <c r="L151" t="s">
        <v>55</v>
      </c>
      <c r="M151">
        <v>385.35628963835279</v>
      </c>
      <c r="N151">
        <v>583</v>
      </c>
      <c r="O151">
        <v>387</v>
      </c>
      <c r="P151">
        <v>177</v>
      </c>
      <c r="Q151">
        <v>2.0794415416798357</v>
      </c>
      <c r="R151">
        <v>2.3025850929940459</v>
      </c>
      <c r="S151">
        <v>3.2580965380214821</v>
      </c>
      <c r="T151">
        <v>95.12</v>
      </c>
      <c r="U151">
        <v>0</v>
      </c>
      <c r="V151">
        <v>1.89305099905856</v>
      </c>
      <c r="W151">
        <v>0.59880690621441701</v>
      </c>
      <c r="X151">
        <v>1.1856460040685599</v>
      </c>
      <c r="Y151">
        <v>-0.15565097555555901</v>
      </c>
      <c r="Z151">
        <v>-0.22748295097212001</v>
      </c>
      <c r="AA151">
        <v>1.0415013010201299</v>
      </c>
      <c r="AB151">
        <v>2939.9504036908884</v>
      </c>
      <c r="AC151">
        <v>2</v>
      </c>
      <c r="AD151">
        <v>0.42868127643214149</v>
      </c>
      <c r="AE151">
        <v>-2.40641039566141E-2</v>
      </c>
      <c r="AF151">
        <v>0.54247241602945495</v>
      </c>
      <c r="AG151">
        <v>1.0457401538164399</v>
      </c>
      <c r="AH151">
        <v>0.94174374030646701</v>
      </c>
      <c r="AI151">
        <v>0.92263900286238398</v>
      </c>
      <c r="AJ151">
        <v>0.89197615409735498</v>
      </c>
      <c r="AK151">
        <v>48.0777517</v>
      </c>
      <c r="AL151">
        <v>7.3579641000000002</v>
      </c>
      <c r="AM151">
        <v>48.915000000000006</v>
      </c>
      <c r="AN151">
        <v>2.2879999999999998</v>
      </c>
    </row>
    <row r="152" spans="1:40" x14ac:dyDescent="0.35">
      <c r="A152">
        <v>206</v>
      </c>
      <c r="B152">
        <v>29.5</v>
      </c>
      <c r="C152" t="s">
        <v>40</v>
      </c>
      <c r="D152" t="s">
        <v>41</v>
      </c>
      <c r="E152" t="s">
        <v>42</v>
      </c>
      <c r="F152" t="s">
        <v>43</v>
      </c>
      <c r="G152">
        <v>5</v>
      </c>
      <c r="H152">
        <v>25</v>
      </c>
      <c r="I152">
        <v>5</v>
      </c>
      <c r="J152" t="s">
        <v>56</v>
      </c>
      <c r="K152" t="s">
        <v>46</v>
      </c>
      <c r="L152" t="s">
        <v>55</v>
      </c>
      <c r="M152">
        <v>392.29035606081698</v>
      </c>
      <c r="N152">
        <v>583</v>
      </c>
      <c r="O152">
        <v>387</v>
      </c>
      <c r="P152">
        <v>177</v>
      </c>
      <c r="Q152">
        <v>2.0794415416798357</v>
      </c>
      <c r="R152">
        <v>2.3025850929940459</v>
      </c>
      <c r="S152">
        <v>3.2580965380214821</v>
      </c>
      <c r="T152">
        <v>95.12</v>
      </c>
      <c r="U152">
        <v>0</v>
      </c>
      <c r="V152">
        <v>1.89305099905856</v>
      </c>
      <c r="W152">
        <v>0.59880690621441701</v>
      </c>
      <c r="X152">
        <v>1.1856460040685599</v>
      </c>
      <c r="Y152">
        <v>-0.15565097555555901</v>
      </c>
      <c r="Z152">
        <v>-0.22748295097212001</v>
      </c>
      <c r="AA152">
        <v>1.0415013010201299</v>
      </c>
      <c r="AB152">
        <v>2939.9504036908884</v>
      </c>
      <c r="AC152">
        <v>2</v>
      </c>
      <c r="AD152">
        <v>0.42868127643214149</v>
      </c>
      <c r="AE152">
        <v>-2.40641039566141E-2</v>
      </c>
      <c r="AF152">
        <v>-0.46074664605249799</v>
      </c>
      <c r="AG152">
        <v>0.71988497565379606</v>
      </c>
      <c r="AH152">
        <v>1.05461742380594</v>
      </c>
      <c r="AI152">
        <v>-0.88051514291426303</v>
      </c>
      <c r="AJ152">
        <v>1.09686281867971</v>
      </c>
      <c r="AK152">
        <v>48.0777517</v>
      </c>
      <c r="AL152">
        <v>7.3579641000000002</v>
      </c>
      <c r="AM152">
        <v>48.869000000000014</v>
      </c>
      <c r="AN152">
        <v>2.177</v>
      </c>
    </row>
    <row r="153" spans="1:40" x14ac:dyDescent="0.35">
      <c r="A153">
        <v>207</v>
      </c>
      <c r="B153">
        <v>72</v>
      </c>
      <c r="C153" t="s">
        <v>40</v>
      </c>
      <c r="D153" t="s">
        <v>52</v>
      </c>
      <c r="E153" t="s">
        <v>42</v>
      </c>
      <c r="F153" t="s">
        <v>49</v>
      </c>
      <c r="G153">
        <v>4</v>
      </c>
      <c r="H153">
        <v>16</v>
      </c>
      <c r="I153">
        <v>5</v>
      </c>
      <c r="J153" t="s">
        <v>45</v>
      </c>
      <c r="K153" t="s">
        <v>46</v>
      </c>
      <c r="L153" t="s">
        <v>60</v>
      </c>
      <c r="M153">
        <v>572.33479832382</v>
      </c>
      <c r="N153">
        <v>704</v>
      </c>
      <c r="O153">
        <v>480</v>
      </c>
      <c r="P153">
        <v>291</v>
      </c>
      <c r="Q153">
        <v>3.8501476017100584</v>
      </c>
      <c r="R153">
        <v>2.9957322735539909</v>
      </c>
      <c r="S153">
        <v>5.4424177105217932</v>
      </c>
      <c r="T153">
        <v>88.975873222691746</v>
      </c>
      <c r="U153">
        <v>2.5514539469641888</v>
      </c>
      <c r="V153">
        <v>2.9336799326863701</v>
      </c>
      <c r="W153">
        <v>3.3730943146768602</v>
      </c>
      <c r="X153">
        <v>3.6072071704345601</v>
      </c>
      <c r="Y153">
        <v>-0.19189497559235799</v>
      </c>
      <c r="Z153">
        <v>0.17569111512999699</v>
      </c>
      <c r="AA153">
        <v>-0.304970615080496</v>
      </c>
      <c r="AB153">
        <v>1906.836709612184</v>
      </c>
      <c r="AC153">
        <v>0.7978420820676605</v>
      </c>
      <c r="AD153">
        <v>2.1056638128240834</v>
      </c>
      <c r="AE153">
        <v>-0.25037207080954499</v>
      </c>
      <c r="AF153">
        <v>-1.48663231055705</v>
      </c>
      <c r="AG153">
        <v>1.39333686822137</v>
      </c>
      <c r="AH153">
        <v>-0.62759442444195102</v>
      </c>
      <c r="AI153">
        <v>0.77419686142274702</v>
      </c>
      <c r="AJ153">
        <v>-2.4117778387694799</v>
      </c>
      <c r="AK153">
        <v>44.055988999999997</v>
      </c>
      <c r="AL153">
        <v>4.8317350000000001</v>
      </c>
      <c r="AM153">
        <v>48.884999999999998</v>
      </c>
      <c r="AN153">
        <v>2.266</v>
      </c>
    </row>
    <row r="154" spans="1:40" x14ac:dyDescent="0.35">
      <c r="A154">
        <v>209</v>
      </c>
      <c r="B154">
        <v>72</v>
      </c>
      <c r="C154" t="s">
        <v>40</v>
      </c>
      <c r="D154" t="s">
        <v>52</v>
      </c>
      <c r="E154" t="s">
        <v>42</v>
      </c>
      <c r="F154" t="s">
        <v>49</v>
      </c>
      <c r="G154">
        <v>4</v>
      </c>
      <c r="H154">
        <v>16</v>
      </c>
      <c r="I154">
        <v>7</v>
      </c>
      <c r="J154" t="s">
        <v>50</v>
      </c>
      <c r="K154" t="s">
        <v>46</v>
      </c>
      <c r="L154" t="s">
        <v>55</v>
      </c>
      <c r="M154">
        <v>62.737498289962559</v>
      </c>
      <c r="N154">
        <v>73</v>
      </c>
      <c r="O154">
        <v>61</v>
      </c>
      <c r="P154">
        <v>30</v>
      </c>
      <c r="Q154">
        <v>2.0794415416798357</v>
      </c>
      <c r="R154">
        <v>2.3025850929940459</v>
      </c>
      <c r="S154">
        <v>3.2580965380214821</v>
      </c>
      <c r="T154">
        <v>95.12</v>
      </c>
      <c r="U154">
        <v>0</v>
      </c>
      <c r="V154">
        <v>1.89305099905856</v>
      </c>
      <c r="W154">
        <v>0.59880690621441701</v>
      </c>
      <c r="X154">
        <v>1.1856460040685599</v>
      </c>
      <c r="Y154">
        <v>-0.15565097555555901</v>
      </c>
      <c r="Z154">
        <v>-0.22748295097212001</v>
      </c>
      <c r="AA154">
        <v>1.0415013010201299</v>
      </c>
      <c r="AB154">
        <v>2939.9504036908884</v>
      </c>
      <c r="AC154">
        <v>2</v>
      </c>
      <c r="AD154">
        <v>0.42868127643214149</v>
      </c>
      <c r="AE154">
        <v>-2.40641039566141E-2</v>
      </c>
      <c r="AF154">
        <v>-1.94918961236987</v>
      </c>
      <c r="AG154">
        <v>0.72783765766479003</v>
      </c>
      <c r="AH154">
        <v>-0.76089734029645295</v>
      </c>
      <c r="AI154">
        <v>-1.5358087845888</v>
      </c>
      <c r="AJ154">
        <v>1.6702538436993399</v>
      </c>
      <c r="AK154">
        <v>48.0777517</v>
      </c>
      <c r="AL154">
        <v>7.3579641000000002</v>
      </c>
      <c r="AM154">
        <v>48.570999999999998</v>
      </c>
      <c r="AN154">
        <v>7.7679999999999998</v>
      </c>
    </row>
    <row r="155" spans="1:40" x14ac:dyDescent="0.35">
      <c r="A155">
        <v>210</v>
      </c>
      <c r="B155">
        <v>57</v>
      </c>
      <c r="C155" t="s">
        <v>40</v>
      </c>
      <c r="D155" t="s">
        <v>41</v>
      </c>
      <c r="E155" t="s">
        <v>42</v>
      </c>
      <c r="F155" t="s">
        <v>61</v>
      </c>
      <c r="G155">
        <v>5</v>
      </c>
      <c r="H155">
        <v>25</v>
      </c>
      <c r="I155">
        <v>6</v>
      </c>
      <c r="J155" t="s">
        <v>56</v>
      </c>
      <c r="K155" t="s">
        <v>46</v>
      </c>
      <c r="L155" t="s">
        <v>55</v>
      </c>
      <c r="M155">
        <v>410.16604442136003</v>
      </c>
      <c r="N155">
        <v>573</v>
      </c>
      <c r="O155">
        <v>376</v>
      </c>
      <c r="P155">
        <v>220</v>
      </c>
      <c r="Q155">
        <v>2.0794415416798357</v>
      </c>
      <c r="R155">
        <v>2.3025850929940459</v>
      </c>
      <c r="S155">
        <v>3.2580965380214821</v>
      </c>
      <c r="T155">
        <v>95.12</v>
      </c>
      <c r="U155">
        <v>0</v>
      </c>
      <c r="V155">
        <v>1.89305099905856</v>
      </c>
      <c r="W155">
        <v>0.59880690621441701</v>
      </c>
      <c r="X155">
        <v>1.1856460040685599</v>
      </c>
      <c r="Y155">
        <v>-0.15565097555555901</v>
      </c>
      <c r="Z155">
        <v>-0.22748295097212001</v>
      </c>
      <c r="AA155">
        <v>1.0415013010201299</v>
      </c>
      <c r="AB155">
        <v>2939.9504036908884</v>
      </c>
      <c r="AC155">
        <v>2</v>
      </c>
      <c r="AD155">
        <v>0.42868127643214149</v>
      </c>
      <c r="AE155">
        <v>-2.40641039566141E-2</v>
      </c>
      <c r="AF155">
        <v>-0.38147372131169999</v>
      </c>
      <c r="AG155">
        <v>1.57871140358644</v>
      </c>
      <c r="AH155">
        <v>0.62288445512666901</v>
      </c>
      <c r="AI155">
        <v>-0.54400029300276398</v>
      </c>
      <c r="AJ155">
        <v>0.28546699897062</v>
      </c>
      <c r="AK155">
        <v>48.0777517</v>
      </c>
      <c r="AL155">
        <v>7.3579641000000002</v>
      </c>
      <c r="AM155">
        <v>48.79</v>
      </c>
      <c r="AN155">
        <v>1.9079999999999999</v>
      </c>
    </row>
    <row r="156" spans="1:40" x14ac:dyDescent="0.35">
      <c r="A156">
        <v>213</v>
      </c>
      <c r="B156">
        <v>42</v>
      </c>
      <c r="C156" t="s">
        <v>40</v>
      </c>
      <c r="D156" t="s">
        <v>41</v>
      </c>
      <c r="E156" t="s">
        <v>42</v>
      </c>
      <c r="F156" t="s">
        <v>61</v>
      </c>
      <c r="G156">
        <v>2</v>
      </c>
      <c r="H156">
        <v>4</v>
      </c>
      <c r="I156">
        <v>5</v>
      </c>
      <c r="J156" t="s">
        <v>56</v>
      </c>
      <c r="K156" t="s">
        <v>46</v>
      </c>
      <c r="L156" t="s">
        <v>59</v>
      </c>
      <c r="M156">
        <v>27.30586618954678</v>
      </c>
      <c r="N156">
        <v>35</v>
      </c>
      <c r="O156">
        <v>37</v>
      </c>
      <c r="P156">
        <v>18</v>
      </c>
      <c r="Q156">
        <v>1.3862943611198906</v>
      </c>
      <c r="R156">
        <v>1.3862943611198906</v>
      </c>
      <c r="S156">
        <v>4.9972122737641147</v>
      </c>
      <c r="T156">
        <v>90.035146103896111</v>
      </c>
      <c r="U156">
        <v>1.418823059726001</v>
      </c>
      <c r="V156">
        <v>-0.52223564926899602</v>
      </c>
      <c r="W156">
        <v>-0.46072710968150399</v>
      </c>
      <c r="X156">
        <v>-0.361786268345754</v>
      </c>
      <c r="Y156">
        <v>-0.552694479448822</v>
      </c>
      <c r="Z156">
        <v>2.1676297177028899E-2</v>
      </c>
      <c r="AA156">
        <v>0.625223797005378</v>
      </c>
      <c r="AB156">
        <v>2234.6992515788952</v>
      </c>
      <c r="AC156">
        <v>0</v>
      </c>
      <c r="AD156">
        <v>0.12112735591028891</v>
      </c>
      <c r="AE156">
        <v>-0.60610368582010199</v>
      </c>
      <c r="AF156">
        <v>0.96013793479063503</v>
      </c>
      <c r="AG156">
        <v>0.123727895373678</v>
      </c>
      <c r="AH156">
        <v>-0.205998998387729</v>
      </c>
      <c r="AI156">
        <v>-0.176666444618513</v>
      </c>
      <c r="AJ156">
        <v>0.36279085276630102</v>
      </c>
      <c r="AK156">
        <v>47.411035099999999</v>
      </c>
      <c r="AL156">
        <v>0.98369799999999996</v>
      </c>
      <c r="AM156">
        <v>47.486909090909087</v>
      </c>
      <c r="AN156">
        <v>1.3286363636363638</v>
      </c>
    </row>
    <row r="157" spans="1:40" x14ac:dyDescent="0.35">
      <c r="A157">
        <v>214</v>
      </c>
      <c r="B157">
        <v>57</v>
      </c>
      <c r="C157" t="s">
        <v>48</v>
      </c>
      <c r="D157" t="s">
        <v>66</v>
      </c>
      <c r="E157" t="s">
        <v>42</v>
      </c>
      <c r="F157" t="s">
        <v>43</v>
      </c>
      <c r="G157">
        <v>3</v>
      </c>
      <c r="H157">
        <v>9</v>
      </c>
      <c r="I157">
        <v>5</v>
      </c>
      <c r="J157" t="s">
        <v>50</v>
      </c>
      <c r="K157" t="s">
        <v>46</v>
      </c>
      <c r="L157" t="s">
        <v>51</v>
      </c>
      <c r="M157">
        <v>57.671500307131147</v>
      </c>
      <c r="N157">
        <v>128</v>
      </c>
      <c r="O157">
        <v>125</v>
      </c>
      <c r="P157">
        <v>284</v>
      </c>
      <c r="Q157">
        <v>0</v>
      </c>
      <c r="R157">
        <v>1.3862943611198906</v>
      </c>
      <c r="S157">
        <v>4.3438054218536841</v>
      </c>
      <c r="T157">
        <v>91.16</v>
      </c>
      <c r="U157">
        <v>2.3174698847378039</v>
      </c>
      <c r="V157">
        <v>-0.58471966768986094</v>
      </c>
      <c r="W157">
        <v>-0.55557078097057</v>
      </c>
      <c r="X157">
        <v>-0.47566183223429498</v>
      </c>
      <c r="Y157">
        <v>-0.95884680312505799</v>
      </c>
      <c r="Z157">
        <v>-0.76521334103430205</v>
      </c>
      <c r="AA157">
        <v>-0.77245900699560299</v>
      </c>
      <c r="AB157">
        <v>1376</v>
      </c>
      <c r="AC157">
        <v>0</v>
      </c>
      <c r="AD157">
        <v>2</v>
      </c>
      <c r="AE157">
        <v>-0.72514205471140702</v>
      </c>
      <c r="AF157">
        <v>0.88889614156671504</v>
      </c>
      <c r="AG157">
        <v>-1.14007983931725</v>
      </c>
      <c r="AH157">
        <v>1.1786870537623</v>
      </c>
      <c r="AI157">
        <v>1.1873391222415499</v>
      </c>
      <c r="AJ157">
        <v>0.25732359057662302</v>
      </c>
      <c r="AK157">
        <v>47.815207299999997</v>
      </c>
      <c r="AL157">
        <v>3.8001657</v>
      </c>
      <c r="AM157">
        <v>47.298909090909092</v>
      </c>
      <c r="AN157">
        <v>3.8636363636363629</v>
      </c>
    </row>
    <row r="158" spans="1:40" x14ac:dyDescent="0.35">
      <c r="A158">
        <v>215</v>
      </c>
      <c r="B158">
        <v>72</v>
      </c>
      <c r="C158" t="s">
        <v>40</v>
      </c>
      <c r="D158" t="s">
        <v>52</v>
      </c>
      <c r="E158" t="s">
        <v>42</v>
      </c>
      <c r="F158" t="s">
        <v>49</v>
      </c>
      <c r="G158">
        <v>6</v>
      </c>
      <c r="H158">
        <v>36</v>
      </c>
      <c r="I158">
        <v>7</v>
      </c>
      <c r="J158" t="s">
        <v>50</v>
      </c>
      <c r="K158" t="s">
        <v>46</v>
      </c>
      <c r="L158" t="s">
        <v>59</v>
      </c>
      <c r="M158">
        <v>42.085050860046408</v>
      </c>
      <c r="N158">
        <v>23</v>
      </c>
      <c r="O158">
        <v>30</v>
      </c>
      <c r="P158">
        <v>21</v>
      </c>
      <c r="Q158">
        <v>1.3862943611198906</v>
      </c>
      <c r="R158">
        <v>1.3862943611198906</v>
      </c>
      <c r="S158">
        <v>4.9972122737641147</v>
      </c>
      <c r="T158">
        <v>90.035146103896111</v>
      </c>
      <c r="U158">
        <v>1.418823059726001</v>
      </c>
      <c r="V158">
        <v>-0.52223564926899602</v>
      </c>
      <c r="W158">
        <v>-0.46072710968150399</v>
      </c>
      <c r="X158">
        <v>-0.361786268345754</v>
      </c>
      <c r="Y158">
        <v>-0.552694479448822</v>
      </c>
      <c r="Z158">
        <v>2.1676297177028899E-2</v>
      </c>
      <c r="AA158">
        <v>0.625223797005378</v>
      </c>
      <c r="AB158">
        <v>2234.6992515788952</v>
      </c>
      <c r="AC158">
        <v>0</v>
      </c>
      <c r="AD158">
        <v>0.12112735591028891</v>
      </c>
      <c r="AE158">
        <v>-0.60610368582010199</v>
      </c>
      <c r="AF158">
        <v>-4.94773239916977E-2</v>
      </c>
      <c r="AG158">
        <v>-2.1089722165227398</v>
      </c>
      <c r="AH158">
        <v>0.87205539695852996</v>
      </c>
      <c r="AI158">
        <v>-0.73195322291064402</v>
      </c>
      <c r="AJ158">
        <v>1.3526789940902799</v>
      </c>
      <c r="AK158">
        <v>47.411035099999999</v>
      </c>
      <c r="AL158">
        <v>0.98369799999999996</v>
      </c>
      <c r="AM158">
        <v>47.251124999999995</v>
      </c>
      <c r="AN158">
        <v>0.47825000000000006</v>
      </c>
    </row>
    <row r="159" spans="1:40" x14ac:dyDescent="0.35">
      <c r="A159">
        <v>216</v>
      </c>
      <c r="B159">
        <v>57</v>
      </c>
      <c r="C159" t="s">
        <v>40</v>
      </c>
      <c r="D159" t="s">
        <v>66</v>
      </c>
      <c r="E159" t="s">
        <v>42</v>
      </c>
      <c r="F159" t="s">
        <v>49</v>
      </c>
      <c r="G159">
        <v>4</v>
      </c>
      <c r="H159">
        <v>16</v>
      </c>
      <c r="I159">
        <v>5</v>
      </c>
      <c r="J159" t="s">
        <v>56</v>
      </c>
      <c r="K159" t="s">
        <v>46</v>
      </c>
      <c r="L159" t="s">
        <v>54</v>
      </c>
      <c r="M159">
        <v>473.3882656805136</v>
      </c>
      <c r="N159">
        <v>577</v>
      </c>
      <c r="O159">
        <v>366</v>
      </c>
      <c r="P159">
        <v>209</v>
      </c>
      <c r="Q159">
        <v>3.9889840465642745</v>
      </c>
      <c r="R159">
        <v>3.0910424533583161</v>
      </c>
      <c r="S159">
        <v>4.1271343850450917</v>
      </c>
      <c r="T159">
        <v>92.826666666666668</v>
      </c>
      <c r="U159">
        <v>2.9827057067926286</v>
      </c>
      <c r="V159">
        <v>-0.16604708794949699</v>
      </c>
      <c r="W159">
        <v>-0.150727876652859</v>
      </c>
      <c r="X159">
        <v>-0.19602043866096</v>
      </c>
      <c r="Y159">
        <v>1.4483117406157899</v>
      </c>
      <c r="Z159">
        <v>1.7680602694732599</v>
      </c>
      <c r="AA159">
        <v>0.26366440732357699</v>
      </c>
      <c r="AB159">
        <v>4236</v>
      </c>
      <c r="AC159">
        <v>0</v>
      </c>
      <c r="AD159">
        <v>4</v>
      </c>
      <c r="AE159">
        <v>1.6751267091712101</v>
      </c>
      <c r="AF159">
        <v>1.4568858754214999</v>
      </c>
      <c r="AG159">
        <v>0.58421812586508404</v>
      </c>
      <c r="AH159">
        <v>0.88552038623822205</v>
      </c>
      <c r="AI159">
        <v>1.0830867624083</v>
      </c>
      <c r="AJ159">
        <v>0.79192784685565498</v>
      </c>
      <c r="AK159">
        <v>44.917983300000003</v>
      </c>
      <c r="AL159">
        <v>-0.22352169999999999</v>
      </c>
      <c r="AM159">
        <v>48.744999999999997</v>
      </c>
      <c r="AN159">
        <v>2.4889999999999999</v>
      </c>
    </row>
    <row r="160" spans="1:40" x14ac:dyDescent="0.35">
      <c r="A160">
        <v>217</v>
      </c>
      <c r="B160">
        <v>57</v>
      </c>
      <c r="C160" t="s">
        <v>40</v>
      </c>
      <c r="D160" t="s">
        <v>41</v>
      </c>
      <c r="E160" t="s">
        <v>42</v>
      </c>
      <c r="F160" t="s">
        <v>43</v>
      </c>
      <c r="G160">
        <v>3</v>
      </c>
      <c r="H160">
        <v>9</v>
      </c>
      <c r="I160">
        <v>3</v>
      </c>
      <c r="J160" t="s">
        <v>45</v>
      </c>
      <c r="K160" t="s">
        <v>46</v>
      </c>
      <c r="L160" t="s">
        <v>60</v>
      </c>
      <c r="M160">
        <v>575.11063520203584</v>
      </c>
      <c r="N160">
        <v>700</v>
      </c>
      <c r="O160">
        <v>483</v>
      </c>
      <c r="P160">
        <v>292</v>
      </c>
      <c r="Q160">
        <v>3.8501476017100584</v>
      </c>
      <c r="R160">
        <v>2.9957322735539909</v>
      </c>
      <c r="S160">
        <v>5.4424177105217932</v>
      </c>
      <c r="T160">
        <v>88.975873222691746</v>
      </c>
      <c r="U160">
        <v>2.5514539469641888</v>
      </c>
      <c r="V160">
        <v>2.9336799326863701</v>
      </c>
      <c r="W160">
        <v>3.3730943146768602</v>
      </c>
      <c r="X160">
        <v>3.6072071704345601</v>
      </c>
      <c r="Y160">
        <v>-0.19189497559235799</v>
      </c>
      <c r="Z160">
        <v>0.17569111512999699</v>
      </c>
      <c r="AA160">
        <v>-0.304970615080496</v>
      </c>
      <c r="AB160">
        <v>1906.836709612184</v>
      </c>
      <c r="AC160">
        <v>0.7978420820676605</v>
      </c>
      <c r="AD160">
        <v>2.1056638128240834</v>
      </c>
      <c r="AE160">
        <v>-0.25037207080954499</v>
      </c>
      <c r="AF160">
        <v>0.80204561314084299</v>
      </c>
      <c r="AG160">
        <v>-0.99866113235101195</v>
      </c>
      <c r="AH160">
        <v>-1.22413450452425</v>
      </c>
      <c r="AI160">
        <v>0.33634946817349398</v>
      </c>
      <c r="AJ160">
        <v>-1.2560181689074601</v>
      </c>
      <c r="AK160">
        <v>44.055988999999997</v>
      </c>
      <c r="AL160">
        <v>4.8317350000000001</v>
      </c>
      <c r="AM160">
        <v>48.936044500000001</v>
      </c>
      <c r="AN160">
        <v>2.3650069999999999</v>
      </c>
    </row>
    <row r="161" spans="1:40" x14ac:dyDescent="0.35">
      <c r="A161">
        <v>218</v>
      </c>
      <c r="B161">
        <v>72</v>
      </c>
      <c r="C161" t="s">
        <v>40</v>
      </c>
      <c r="D161" t="s">
        <v>52</v>
      </c>
      <c r="E161" t="s">
        <v>42</v>
      </c>
      <c r="F161" t="s">
        <v>49</v>
      </c>
      <c r="G161">
        <v>4</v>
      </c>
      <c r="H161">
        <v>16</v>
      </c>
      <c r="I161">
        <v>5</v>
      </c>
      <c r="J161" t="s">
        <v>56</v>
      </c>
      <c r="K161" t="s">
        <v>46</v>
      </c>
      <c r="L161" t="s">
        <v>73</v>
      </c>
      <c r="M161">
        <v>14.672593234285319</v>
      </c>
      <c r="N161">
        <v>25</v>
      </c>
      <c r="O161">
        <v>37</v>
      </c>
      <c r="P161">
        <v>27</v>
      </c>
      <c r="Q161">
        <v>1.9459101490553132</v>
      </c>
      <c r="R161">
        <v>2.9444389791664403</v>
      </c>
      <c r="S161">
        <v>4.2626798770413155</v>
      </c>
      <c r="T161">
        <v>91.872500000000002</v>
      </c>
      <c r="U161">
        <v>2.0033201607997366</v>
      </c>
      <c r="V161">
        <v>7.5580716531248995E-2</v>
      </c>
      <c r="W161">
        <v>0.203376316306385</v>
      </c>
      <c r="X161">
        <v>0.143329752535333</v>
      </c>
      <c r="Y161">
        <v>1.4483117406157899</v>
      </c>
      <c r="Z161">
        <v>1.7680602694732599</v>
      </c>
      <c r="AA161">
        <v>0.26366440732357699</v>
      </c>
      <c r="AB161">
        <v>4236</v>
      </c>
      <c r="AC161">
        <v>0</v>
      </c>
      <c r="AD161">
        <v>4</v>
      </c>
      <c r="AE161">
        <v>1.6751267091712101</v>
      </c>
      <c r="AF161">
        <v>3.0444066871633101E-2</v>
      </c>
      <c r="AG161">
        <v>-0.278891234078952</v>
      </c>
      <c r="AH161">
        <v>0.69674073654290303</v>
      </c>
      <c r="AI161">
        <v>1.4072870290389501</v>
      </c>
      <c r="AJ161">
        <v>-2.2170690718875798</v>
      </c>
      <c r="AK161">
        <v>44.686388999999998</v>
      </c>
      <c r="AL161">
        <v>-0.52383800000000003</v>
      </c>
      <c r="AM161">
        <v>44.741999999999997</v>
      </c>
      <c r="AN161">
        <v>-0.69200000000000006</v>
      </c>
    </row>
    <row r="162" spans="1:40" x14ac:dyDescent="0.35">
      <c r="A162">
        <v>219</v>
      </c>
      <c r="B162">
        <v>72</v>
      </c>
      <c r="C162" t="s">
        <v>40</v>
      </c>
      <c r="D162" t="s">
        <v>52</v>
      </c>
      <c r="E162" t="s">
        <v>42</v>
      </c>
      <c r="F162" t="s">
        <v>43</v>
      </c>
      <c r="G162">
        <v>6</v>
      </c>
      <c r="H162">
        <v>36</v>
      </c>
      <c r="I162">
        <v>6</v>
      </c>
      <c r="J162" t="s">
        <v>56</v>
      </c>
      <c r="K162" t="s">
        <v>46</v>
      </c>
      <c r="L162" t="s">
        <v>73</v>
      </c>
      <c r="M162">
        <v>468.62379023946789</v>
      </c>
      <c r="N162">
        <v>596</v>
      </c>
      <c r="O162">
        <v>384</v>
      </c>
      <c r="P162">
        <v>409</v>
      </c>
      <c r="Q162">
        <v>1.9459101490553132</v>
      </c>
      <c r="R162">
        <v>2.9444389791664403</v>
      </c>
      <c r="S162">
        <v>4.2626798770413155</v>
      </c>
      <c r="T162">
        <v>91.872500000000002</v>
      </c>
      <c r="U162">
        <v>2.0033201607997366</v>
      </c>
      <c r="V162">
        <v>7.5580716531248995E-2</v>
      </c>
      <c r="W162">
        <v>0.203376316306385</v>
      </c>
      <c r="X162">
        <v>0.143329752535333</v>
      </c>
      <c r="Y162">
        <v>1.4483117406157899</v>
      </c>
      <c r="Z162">
        <v>1.7680602694732599</v>
      </c>
      <c r="AA162">
        <v>0.26366440732357699</v>
      </c>
      <c r="AB162">
        <v>4236</v>
      </c>
      <c r="AC162">
        <v>0</v>
      </c>
      <c r="AD162">
        <v>4</v>
      </c>
      <c r="AE162">
        <v>1.6751267091712101</v>
      </c>
      <c r="AF162">
        <v>-1.0113539233076201</v>
      </c>
      <c r="AG162">
        <v>-1.4321750678777101</v>
      </c>
      <c r="AH162">
        <v>0.65485537133274296</v>
      </c>
      <c r="AI162">
        <v>0.43459476364322802</v>
      </c>
      <c r="AJ162">
        <v>-0.34282273992568602</v>
      </c>
      <c r="AK162">
        <v>44.686388999999998</v>
      </c>
      <c r="AL162">
        <v>-0.52383800000000003</v>
      </c>
      <c r="AM162">
        <v>48.838499999999996</v>
      </c>
      <c r="AN162">
        <v>-1.538</v>
      </c>
    </row>
    <row r="163" spans="1:40" x14ac:dyDescent="0.35">
      <c r="A163">
        <v>220</v>
      </c>
      <c r="B163">
        <v>72</v>
      </c>
      <c r="C163" t="s">
        <v>40</v>
      </c>
      <c r="D163" t="s">
        <v>52</v>
      </c>
      <c r="E163" t="s">
        <v>42</v>
      </c>
      <c r="F163" t="s">
        <v>49</v>
      </c>
      <c r="G163">
        <v>5</v>
      </c>
      <c r="H163">
        <v>25</v>
      </c>
      <c r="I163">
        <v>7</v>
      </c>
      <c r="J163" t="s">
        <v>56</v>
      </c>
      <c r="K163" t="s">
        <v>46</v>
      </c>
      <c r="L163" t="s">
        <v>62</v>
      </c>
      <c r="M163">
        <v>93.32945069691101</v>
      </c>
      <c r="N163">
        <v>208</v>
      </c>
      <c r="O163">
        <v>140</v>
      </c>
      <c r="P163">
        <v>190</v>
      </c>
      <c r="Q163">
        <v>0.69314718055994529</v>
      </c>
      <c r="R163">
        <v>3.2580965380214821</v>
      </c>
      <c r="S163">
        <v>3.2580965380214821</v>
      </c>
      <c r="T163">
        <v>95.68</v>
      </c>
      <c r="U163">
        <v>0</v>
      </c>
      <c r="V163">
        <v>1.82802042479695</v>
      </c>
      <c r="W163">
        <v>0.99424279543483596</v>
      </c>
      <c r="X163">
        <v>0.99177342203587404</v>
      </c>
      <c r="Y163">
        <v>-0.96278755162326501</v>
      </c>
      <c r="Z163">
        <v>-0.75605764486205096</v>
      </c>
      <c r="AA163">
        <v>-0.80037586101695801</v>
      </c>
      <c r="AB163">
        <v>2092.91</v>
      </c>
      <c r="AC163">
        <v>0</v>
      </c>
      <c r="AD163">
        <v>2.1</v>
      </c>
      <c r="AE163">
        <v>-1.0768626388726401</v>
      </c>
      <c r="AF163">
        <v>-0.148678899512769</v>
      </c>
      <c r="AG163">
        <v>1.55543272483132</v>
      </c>
      <c r="AH163">
        <v>-7.9017956355937502E-2</v>
      </c>
      <c r="AI163">
        <v>0.51867904970661305</v>
      </c>
      <c r="AJ163">
        <v>0.96863775909307703</v>
      </c>
      <c r="AK163">
        <v>49.042560999999999</v>
      </c>
      <c r="AL163">
        <v>3.9528660000000002</v>
      </c>
      <c r="AM163">
        <v>49.479818181818182</v>
      </c>
      <c r="AN163">
        <v>2.856727272727273</v>
      </c>
    </row>
    <row r="164" spans="1:40" x14ac:dyDescent="0.35">
      <c r="A164">
        <v>221</v>
      </c>
      <c r="B164">
        <v>57</v>
      </c>
      <c r="C164" t="s">
        <v>40</v>
      </c>
      <c r="D164" t="s">
        <v>52</v>
      </c>
      <c r="E164" t="s">
        <v>42</v>
      </c>
      <c r="F164" t="s">
        <v>49</v>
      </c>
      <c r="G164">
        <v>5</v>
      </c>
      <c r="H164">
        <v>25</v>
      </c>
      <c r="I164">
        <v>5</v>
      </c>
      <c r="J164" t="s">
        <v>50</v>
      </c>
      <c r="K164" t="s">
        <v>46</v>
      </c>
      <c r="L164" t="s">
        <v>70</v>
      </c>
      <c r="M164">
        <v>304.96885619959318</v>
      </c>
      <c r="N164">
        <v>370</v>
      </c>
      <c r="O164">
        <v>200</v>
      </c>
      <c r="P164">
        <v>211</v>
      </c>
      <c r="Q164">
        <v>0</v>
      </c>
      <c r="R164">
        <v>0</v>
      </c>
      <c r="S164">
        <v>5.3230099791384085</v>
      </c>
      <c r="T164">
        <v>90.615999999999985</v>
      </c>
      <c r="U164">
        <v>1.11573792223403</v>
      </c>
      <c r="V164">
        <v>0.80288722813325297</v>
      </c>
      <c r="W164">
        <v>0.52082154240315903</v>
      </c>
      <c r="X164">
        <v>0.61908815691345198</v>
      </c>
      <c r="Y164">
        <v>1.5007680231051199</v>
      </c>
      <c r="Z164">
        <v>0.24292628533916899</v>
      </c>
      <c r="AA164">
        <v>8.5217386942517098E-2</v>
      </c>
      <c r="AB164">
        <v>3943</v>
      </c>
      <c r="AC164">
        <v>0</v>
      </c>
      <c r="AD164">
        <v>1</v>
      </c>
      <c r="AE164">
        <v>1.1088815174583</v>
      </c>
      <c r="AF164">
        <v>0.45423074982369299</v>
      </c>
      <c r="AG164">
        <v>4.9611373048557603E-2</v>
      </c>
      <c r="AH164">
        <v>0.72659318047103205</v>
      </c>
      <c r="AI164">
        <v>0.31716388922109001</v>
      </c>
      <c r="AJ164">
        <v>-4.9133887680789801E-4</v>
      </c>
      <c r="AK164">
        <v>46.098678999999997</v>
      </c>
      <c r="AL164">
        <v>4.7359530000000003</v>
      </c>
      <c r="AM164">
        <v>48.099999999999994</v>
      </c>
      <c r="AN164">
        <v>7.4850000000000003</v>
      </c>
    </row>
    <row r="165" spans="1:40" x14ac:dyDescent="0.35">
      <c r="A165">
        <v>222</v>
      </c>
      <c r="B165">
        <v>57</v>
      </c>
      <c r="C165" t="s">
        <v>40</v>
      </c>
      <c r="D165" t="s">
        <v>66</v>
      </c>
      <c r="E165" t="s">
        <v>68</v>
      </c>
      <c r="F165" t="s">
        <v>49</v>
      </c>
      <c r="G165">
        <v>5</v>
      </c>
      <c r="H165">
        <v>25</v>
      </c>
      <c r="I165">
        <v>5</v>
      </c>
      <c r="J165" t="s">
        <v>56</v>
      </c>
      <c r="K165" t="s">
        <v>46</v>
      </c>
      <c r="L165" t="s">
        <v>69</v>
      </c>
      <c r="M165">
        <v>386.18616756122952</v>
      </c>
      <c r="N165">
        <v>558</v>
      </c>
      <c r="O165">
        <v>354</v>
      </c>
      <c r="P165">
        <v>287</v>
      </c>
      <c r="Q165">
        <v>2.3978952727983707</v>
      </c>
      <c r="R165">
        <v>4.5538768916005408</v>
      </c>
      <c r="S165">
        <v>5.4847969334906548</v>
      </c>
      <c r="T165">
        <v>93.296000000000006</v>
      </c>
      <c r="U165">
        <v>2.2325431437911538</v>
      </c>
      <c r="V165">
        <v>-0.44922684044461197</v>
      </c>
      <c r="W165">
        <v>-0.76855194782346203</v>
      </c>
      <c r="X165">
        <v>-0.44700324392789598</v>
      </c>
      <c r="Y165">
        <v>-0.846122564821426</v>
      </c>
      <c r="Z165">
        <v>-0.92679578564836795</v>
      </c>
      <c r="AA165">
        <v>0.86332342905974202</v>
      </c>
      <c r="AB165">
        <v>2050</v>
      </c>
      <c r="AC165">
        <v>1</v>
      </c>
      <c r="AD165">
        <v>2</v>
      </c>
      <c r="AE165">
        <v>-0.51011828243844404</v>
      </c>
      <c r="AF165">
        <v>-0.58503971079629302</v>
      </c>
      <c r="AG165">
        <v>0.40266777480749999</v>
      </c>
      <c r="AH165">
        <v>0.31401419587770502</v>
      </c>
      <c r="AI165">
        <v>-0.47612675906566199</v>
      </c>
      <c r="AJ165">
        <v>-1.04082415802243</v>
      </c>
      <c r="AK165">
        <v>47.177235000000003</v>
      </c>
      <c r="AL165">
        <v>4.964315</v>
      </c>
      <c r="AM165">
        <v>50.640682937000001</v>
      </c>
      <c r="AN165">
        <v>4.6610704270000003</v>
      </c>
    </row>
    <row r="166" spans="1:40" x14ac:dyDescent="0.35">
      <c r="A166">
        <v>223</v>
      </c>
      <c r="B166">
        <v>57</v>
      </c>
      <c r="C166" t="s">
        <v>40</v>
      </c>
      <c r="D166" t="s">
        <v>66</v>
      </c>
      <c r="E166" t="s">
        <v>42</v>
      </c>
      <c r="F166" t="s">
        <v>49</v>
      </c>
      <c r="G166">
        <v>6</v>
      </c>
      <c r="H166">
        <v>36</v>
      </c>
      <c r="I166">
        <v>7</v>
      </c>
      <c r="J166" t="s">
        <v>50</v>
      </c>
      <c r="K166" t="s">
        <v>46</v>
      </c>
      <c r="L166" t="s">
        <v>75</v>
      </c>
      <c r="M166">
        <v>325.13554765520769</v>
      </c>
      <c r="N166">
        <v>411</v>
      </c>
      <c r="O166">
        <v>253</v>
      </c>
      <c r="P166">
        <v>224</v>
      </c>
      <c r="Q166">
        <v>0</v>
      </c>
      <c r="R166">
        <v>0</v>
      </c>
      <c r="S166">
        <v>3.5553480614894135</v>
      </c>
      <c r="T166">
        <v>87.721111111111114</v>
      </c>
      <c r="U166">
        <v>1.8185946276597997</v>
      </c>
      <c r="V166">
        <v>-1.01058566247205</v>
      </c>
      <c r="W166">
        <v>-0.72487722485772399</v>
      </c>
      <c r="X166">
        <v>-0.83814251792544203</v>
      </c>
      <c r="Y166">
        <v>0.643019057251217</v>
      </c>
      <c r="Z166">
        <v>0.97010361819212798</v>
      </c>
      <c r="AA166">
        <v>-1.0557286875948499</v>
      </c>
      <c r="AB166">
        <v>4179</v>
      </c>
      <c r="AC166">
        <v>0</v>
      </c>
      <c r="AD166">
        <v>0</v>
      </c>
      <c r="AE166">
        <v>0.59808311135132897</v>
      </c>
      <c r="AF166">
        <v>-2.8842006072047099</v>
      </c>
      <c r="AG166">
        <v>-5.7593212265103201E-2</v>
      </c>
      <c r="AH166">
        <v>0.52579898684235604</v>
      </c>
      <c r="AI166">
        <v>-0.88677519725096698</v>
      </c>
      <c r="AJ166">
        <v>0.88819275407256304</v>
      </c>
      <c r="AK166">
        <v>47.087721999999999</v>
      </c>
      <c r="AL166">
        <v>-1.2817419999999999</v>
      </c>
      <c r="AM166">
        <v>48.869000000000014</v>
      </c>
      <c r="AN166">
        <v>2.177</v>
      </c>
    </row>
    <row r="167" spans="1:40" x14ac:dyDescent="0.35">
      <c r="A167">
        <v>224</v>
      </c>
      <c r="B167">
        <v>72</v>
      </c>
      <c r="C167" t="s">
        <v>40</v>
      </c>
      <c r="D167" t="s">
        <v>52</v>
      </c>
      <c r="E167" t="s">
        <v>42</v>
      </c>
      <c r="F167" t="s">
        <v>49</v>
      </c>
      <c r="G167">
        <v>4</v>
      </c>
      <c r="H167">
        <v>16</v>
      </c>
      <c r="I167">
        <v>5</v>
      </c>
      <c r="J167" t="s">
        <v>56</v>
      </c>
      <c r="K167" t="s">
        <v>46</v>
      </c>
      <c r="L167" t="s">
        <v>55</v>
      </c>
      <c r="M167">
        <v>716.17521229535578</v>
      </c>
      <c r="N167">
        <v>885</v>
      </c>
      <c r="O167">
        <v>557</v>
      </c>
      <c r="P167">
        <v>332</v>
      </c>
      <c r="Q167">
        <v>2.0794415416798357</v>
      </c>
      <c r="R167">
        <v>2.3025850929940459</v>
      </c>
      <c r="S167">
        <v>3.2580965380214821</v>
      </c>
      <c r="T167">
        <v>95.12</v>
      </c>
      <c r="U167">
        <v>0</v>
      </c>
      <c r="V167">
        <v>1.89305099905856</v>
      </c>
      <c r="W167">
        <v>0.59880690621441701</v>
      </c>
      <c r="X167">
        <v>1.1856460040685599</v>
      </c>
      <c r="Y167">
        <v>-0.15565097555555901</v>
      </c>
      <c r="Z167">
        <v>-0.22748295097212001</v>
      </c>
      <c r="AA167">
        <v>1.0415013010201299</v>
      </c>
      <c r="AB167">
        <v>2939.9504036908884</v>
      </c>
      <c r="AC167">
        <v>2</v>
      </c>
      <c r="AD167">
        <v>0.42868127643214149</v>
      </c>
      <c r="AE167">
        <v>-2.40641039566141E-2</v>
      </c>
      <c r="AF167">
        <v>-1.0277546171305201</v>
      </c>
      <c r="AG167">
        <v>0.49842556662565501</v>
      </c>
      <c r="AH167">
        <v>6.8636490351361101E-2</v>
      </c>
      <c r="AI167">
        <v>0.46780078307068801</v>
      </c>
      <c r="AJ167">
        <v>-1.01736518295351</v>
      </c>
      <c r="AK167">
        <v>48.0777517</v>
      </c>
      <c r="AL167">
        <v>7.3579641000000002</v>
      </c>
      <c r="AM167">
        <v>44.792000000000002</v>
      </c>
      <c r="AN167">
        <v>-0.67600000000000005</v>
      </c>
    </row>
    <row r="168" spans="1:40" x14ac:dyDescent="0.35">
      <c r="A168">
        <v>225</v>
      </c>
      <c r="B168">
        <v>57</v>
      </c>
      <c r="C168" t="s">
        <v>40</v>
      </c>
      <c r="D168" t="s">
        <v>52</v>
      </c>
      <c r="E168" t="s">
        <v>42</v>
      </c>
      <c r="F168" t="s">
        <v>49</v>
      </c>
      <c r="G168">
        <v>4</v>
      </c>
      <c r="H168">
        <v>16</v>
      </c>
      <c r="I168">
        <v>2</v>
      </c>
      <c r="J168" t="s">
        <v>56</v>
      </c>
      <c r="K168" t="s">
        <v>46</v>
      </c>
      <c r="L168" t="s">
        <v>55</v>
      </c>
      <c r="M168">
        <v>367.83729920114507</v>
      </c>
      <c r="N168">
        <v>491</v>
      </c>
      <c r="O168">
        <v>363</v>
      </c>
      <c r="P168">
        <v>188</v>
      </c>
      <c r="Q168">
        <v>2.0794415416798357</v>
      </c>
      <c r="R168">
        <v>2.3025850929940459</v>
      </c>
      <c r="S168">
        <v>3.2580965380214821</v>
      </c>
      <c r="T168">
        <v>95.12</v>
      </c>
      <c r="U168">
        <v>0</v>
      </c>
      <c r="V168">
        <v>1.89305099905856</v>
      </c>
      <c r="W168">
        <v>0.59880690621441701</v>
      </c>
      <c r="X168">
        <v>1.1856460040685599</v>
      </c>
      <c r="Y168">
        <v>-0.15565097555555901</v>
      </c>
      <c r="Z168">
        <v>-0.22748295097212001</v>
      </c>
      <c r="AA168">
        <v>1.0415013010201299</v>
      </c>
      <c r="AB168">
        <v>2939.9504036908884</v>
      </c>
      <c r="AC168">
        <v>2</v>
      </c>
      <c r="AD168">
        <v>0.42868127643214149</v>
      </c>
      <c r="AE168">
        <v>-2.40641039566141E-2</v>
      </c>
      <c r="AF168">
        <v>0.67950554524629603</v>
      </c>
      <c r="AG168">
        <v>-1.5340577972677401</v>
      </c>
      <c r="AH168">
        <v>-0.72577487556232601</v>
      </c>
      <c r="AI168">
        <v>-0.34477560210611402</v>
      </c>
      <c r="AJ168">
        <v>-5.0261013402604</v>
      </c>
      <c r="AK168">
        <v>48.0777517</v>
      </c>
      <c r="AL168">
        <v>7.3579641000000002</v>
      </c>
      <c r="AM168">
        <v>48.92</v>
      </c>
      <c r="AN168">
        <v>2.5350000000000001</v>
      </c>
    </row>
    <row r="169" spans="1:40" x14ac:dyDescent="0.35">
      <c r="A169">
        <v>226</v>
      </c>
      <c r="B169">
        <v>72</v>
      </c>
      <c r="C169" t="s">
        <v>40</v>
      </c>
      <c r="D169" t="s">
        <v>52</v>
      </c>
      <c r="E169" t="s">
        <v>42</v>
      </c>
      <c r="F169" t="s">
        <v>49</v>
      </c>
      <c r="G169">
        <v>6</v>
      </c>
      <c r="H169">
        <v>36</v>
      </c>
      <c r="I169">
        <v>7</v>
      </c>
      <c r="J169" t="s">
        <v>56</v>
      </c>
      <c r="K169" t="s">
        <v>46</v>
      </c>
      <c r="L169" t="s">
        <v>47</v>
      </c>
      <c r="M169">
        <v>628.31274634575618</v>
      </c>
      <c r="N169">
        <v>766</v>
      </c>
      <c r="O169">
        <v>469</v>
      </c>
      <c r="P169">
        <v>481</v>
      </c>
      <c r="Q169">
        <v>5.9107966440405271</v>
      </c>
      <c r="R169">
        <v>6.4997870406558542</v>
      </c>
      <c r="S169">
        <v>8.6415324656718457</v>
      </c>
      <c r="T169">
        <v>89.265350482850479</v>
      </c>
      <c r="U169">
        <v>1.4417786561042019</v>
      </c>
      <c r="V169">
        <v>-0.22886708829074301</v>
      </c>
      <c r="W169">
        <v>0.28745285629339301</v>
      </c>
      <c r="X169">
        <v>-0.15627425222847</v>
      </c>
      <c r="Y169">
        <v>1.45226138127617</v>
      </c>
      <c r="Z169">
        <v>0.98247225355557</v>
      </c>
      <c r="AA169">
        <v>0.627775520474398</v>
      </c>
      <c r="AB169">
        <v>3362.2959371744532</v>
      </c>
      <c r="AC169">
        <v>2.8998317172850387</v>
      </c>
      <c r="AD169">
        <v>2.9499158586425196</v>
      </c>
      <c r="AE169">
        <v>1.06273170356322</v>
      </c>
      <c r="AF169">
        <v>-1.2442935865651501</v>
      </c>
      <c r="AG169">
        <v>-2.7040924116146199</v>
      </c>
      <c r="AH169">
        <v>1.1809265576685799</v>
      </c>
      <c r="AI169">
        <v>-0.12354613026771299</v>
      </c>
      <c r="AJ169">
        <v>0.82771425039290902</v>
      </c>
      <c r="AK169">
        <v>43.3535629403058</v>
      </c>
      <c r="AL169">
        <v>3.21615314793977</v>
      </c>
      <c r="AM169">
        <v>48.585900000000002</v>
      </c>
      <c r="AN169">
        <v>6.2660999999999998</v>
      </c>
    </row>
    <row r="170" spans="1:40" x14ac:dyDescent="0.35">
      <c r="A170">
        <v>227</v>
      </c>
      <c r="B170">
        <v>57</v>
      </c>
      <c r="C170" t="s">
        <v>48</v>
      </c>
      <c r="D170" t="s">
        <v>52</v>
      </c>
      <c r="E170" t="s">
        <v>82</v>
      </c>
      <c r="F170" t="s">
        <v>43</v>
      </c>
      <c r="G170">
        <v>3</v>
      </c>
      <c r="H170">
        <v>9</v>
      </c>
      <c r="I170">
        <v>3</v>
      </c>
      <c r="J170" t="s">
        <v>50</v>
      </c>
      <c r="K170" t="s">
        <v>46</v>
      </c>
      <c r="L170" t="s">
        <v>71</v>
      </c>
      <c r="M170">
        <v>326.50294137153651</v>
      </c>
      <c r="N170">
        <v>298</v>
      </c>
      <c r="O170">
        <v>207</v>
      </c>
      <c r="P170">
        <v>272</v>
      </c>
      <c r="Q170">
        <v>4.5747109785033828</v>
      </c>
      <c r="R170">
        <v>3.5263605246161616</v>
      </c>
      <c r="S170">
        <v>5.1416635565026603</v>
      </c>
      <c r="T170">
        <v>92.265120976563693</v>
      </c>
      <c r="U170">
        <v>2.9351954657362995</v>
      </c>
      <c r="V170">
        <v>-8.3509539921858403E-2</v>
      </c>
      <c r="W170">
        <v>-8.6188355584626702E-2</v>
      </c>
      <c r="X170">
        <v>-6.2117403422328299E-2</v>
      </c>
      <c r="Y170">
        <v>-0.51135009403950604</v>
      </c>
      <c r="Z170">
        <v>-0.669554030021006</v>
      </c>
      <c r="AA170">
        <v>-1.4915282051312999</v>
      </c>
      <c r="AB170">
        <v>1813.5248996931791</v>
      </c>
      <c r="AC170">
        <v>1.6535284399339156</v>
      </c>
      <c r="AD170">
        <v>0.49421760679726223</v>
      </c>
      <c r="AE170">
        <v>-0.18520258641298501</v>
      </c>
      <c r="AF170">
        <v>0.72577440726986497</v>
      </c>
      <c r="AG170">
        <v>-1.7325974204177299</v>
      </c>
      <c r="AH170">
        <v>-2.9762402942992701</v>
      </c>
      <c r="AI170">
        <v>0.25354478853680001</v>
      </c>
      <c r="AJ170">
        <v>1.0621735849468401</v>
      </c>
      <c r="AK170">
        <v>45.071283999999999</v>
      </c>
      <c r="AL170">
        <v>4.8370730000000002</v>
      </c>
      <c r="AM170">
        <v>46.799817441999998</v>
      </c>
      <c r="AN170">
        <v>8.2450240959999999</v>
      </c>
    </row>
    <row r="171" spans="1:40" x14ac:dyDescent="0.35">
      <c r="A171">
        <v>228</v>
      </c>
      <c r="B171">
        <v>72</v>
      </c>
      <c r="C171" t="s">
        <v>40</v>
      </c>
      <c r="D171" t="s">
        <v>52</v>
      </c>
      <c r="E171" t="s">
        <v>42</v>
      </c>
      <c r="F171" t="s">
        <v>49</v>
      </c>
      <c r="G171">
        <v>4</v>
      </c>
      <c r="H171">
        <v>16</v>
      </c>
      <c r="I171">
        <v>7</v>
      </c>
      <c r="J171" t="s">
        <v>56</v>
      </c>
      <c r="K171" t="s">
        <v>46</v>
      </c>
      <c r="L171" t="s">
        <v>55</v>
      </c>
      <c r="M171">
        <v>595.83000562622908</v>
      </c>
      <c r="N171">
        <v>712</v>
      </c>
      <c r="O171">
        <v>453</v>
      </c>
      <c r="P171">
        <v>344</v>
      </c>
      <c r="Q171">
        <v>2.0794415416798357</v>
      </c>
      <c r="R171">
        <v>2.3025850929940459</v>
      </c>
      <c r="S171">
        <v>3.2580965380214821</v>
      </c>
      <c r="T171">
        <v>95.12</v>
      </c>
      <c r="U171">
        <v>0</v>
      </c>
      <c r="V171">
        <v>1.89305099905856</v>
      </c>
      <c r="W171">
        <v>0.59880690621441701</v>
      </c>
      <c r="X171">
        <v>1.1856460040685599</v>
      </c>
      <c r="Y171">
        <v>-0.15565097555555901</v>
      </c>
      <c r="Z171">
        <v>-0.22748295097212001</v>
      </c>
      <c r="AA171">
        <v>1.0415013010201299</v>
      </c>
      <c r="AB171">
        <v>2939.9504036908884</v>
      </c>
      <c r="AC171">
        <v>2</v>
      </c>
      <c r="AD171">
        <v>0.42868127643214149</v>
      </c>
      <c r="AE171">
        <v>-2.40641039566141E-2</v>
      </c>
      <c r="AF171">
        <v>0.37917493819825998</v>
      </c>
      <c r="AG171">
        <v>-0.46240043511429701</v>
      </c>
      <c r="AH171">
        <v>-1.0194477372776201</v>
      </c>
      <c r="AI171">
        <v>-8.1850171294820404E-2</v>
      </c>
      <c r="AJ171">
        <v>6.7954158097672607E-2</v>
      </c>
      <c r="AK171">
        <v>48.0777517</v>
      </c>
      <c r="AL171">
        <v>7.3579641000000002</v>
      </c>
      <c r="AM171">
        <v>43.392000000000003</v>
      </c>
      <c r="AN171">
        <v>3.6469999999999998</v>
      </c>
    </row>
    <row r="172" spans="1:40" x14ac:dyDescent="0.35">
      <c r="A172">
        <v>229</v>
      </c>
      <c r="B172">
        <v>72</v>
      </c>
      <c r="C172" t="s">
        <v>40</v>
      </c>
      <c r="D172" t="s">
        <v>52</v>
      </c>
      <c r="E172" t="s">
        <v>42</v>
      </c>
      <c r="F172" t="s">
        <v>49</v>
      </c>
      <c r="G172">
        <v>5</v>
      </c>
      <c r="H172">
        <v>25</v>
      </c>
      <c r="I172">
        <v>5</v>
      </c>
      <c r="J172" t="s">
        <v>50</v>
      </c>
      <c r="K172" t="s">
        <v>46</v>
      </c>
      <c r="L172" t="s">
        <v>63</v>
      </c>
      <c r="M172">
        <v>566.3541125434034</v>
      </c>
      <c r="N172">
        <v>684</v>
      </c>
      <c r="O172">
        <v>380</v>
      </c>
      <c r="P172">
        <v>310</v>
      </c>
      <c r="Q172">
        <v>0</v>
      </c>
      <c r="R172">
        <v>0</v>
      </c>
      <c r="S172">
        <v>2.1972245773362196</v>
      </c>
      <c r="T172">
        <v>88.571764705882345</v>
      </c>
      <c r="U172">
        <v>1.0581645007873905</v>
      </c>
      <c r="V172">
        <v>-0.86345913794285001</v>
      </c>
      <c r="W172">
        <v>-0.82100750411685597</v>
      </c>
      <c r="X172">
        <v>-0.74332398245148801</v>
      </c>
      <c r="Y172">
        <v>1.4483117406157899</v>
      </c>
      <c r="Z172">
        <v>1.7680602694732599</v>
      </c>
      <c r="AA172">
        <v>0.26366440732357699</v>
      </c>
      <c r="AB172">
        <v>4236</v>
      </c>
      <c r="AC172">
        <v>0</v>
      </c>
      <c r="AD172">
        <v>4</v>
      </c>
      <c r="AE172">
        <v>1.6751267091712101</v>
      </c>
      <c r="AF172">
        <v>-0.41703820691843702</v>
      </c>
      <c r="AG172">
        <v>-0.209819330927354</v>
      </c>
      <c r="AH172">
        <v>-0.70413484501269097</v>
      </c>
      <c r="AI172">
        <v>-0.80444597912911797</v>
      </c>
      <c r="AJ172">
        <v>0.65649332932194604</v>
      </c>
      <c r="AK172">
        <v>45.086143999999997</v>
      </c>
      <c r="AL172">
        <v>-0.60531999999999997</v>
      </c>
      <c r="AM172">
        <v>49.32258620689656</v>
      </c>
      <c r="AN172">
        <v>3.5461379310344832</v>
      </c>
    </row>
    <row r="173" spans="1:40" x14ac:dyDescent="0.35">
      <c r="A173">
        <v>230</v>
      </c>
      <c r="B173">
        <v>42</v>
      </c>
      <c r="C173" t="s">
        <v>40</v>
      </c>
      <c r="D173" t="s">
        <v>41</v>
      </c>
      <c r="E173" t="s">
        <v>42</v>
      </c>
      <c r="F173" t="s">
        <v>49</v>
      </c>
      <c r="G173">
        <v>5</v>
      </c>
      <c r="H173">
        <v>25</v>
      </c>
      <c r="I173">
        <v>5</v>
      </c>
      <c r="J173" t="s">
        <v>45</v>
      </c>
      <c r="K173" t="s">
        <v>46</v>
      </c>
      <c r="L173" t="s">
        <v>77</v>
      </c>
      <c r="M173">
        <v>259.62744333285508</v>
      </c>
      <c r="N173">
        <v>332</v>
      </c>
      <c r="O173">
        <v>220</v>
      </c>
      <c r="P173">
        <v>214</v>
      </c>
      <c r="Q173">
        <v>0</v>
      </c>
      <c r="R173">
        <v>2.3978952727983707</v>
      </c>
      <c r="S173">
        <v>5.1416635565026603</v>
      </c>
      <c r="T173">
        <v>90.472417453603512</v>
      </c>
      <c r="U173">
        <v>2.7735735584863375</v>
      </c>
      <c r="V173">
        <v>-0.15231437986527399</v>
      </c>
      <c r="W173">
        <v>3.49635939345109E-2</v>
      </c>
      <c r="X173">
        <v>-0.19627808847033801</v>
      </c>
      <c r="Y173">
        <v>-0.57382446736590997</v>
      </c>
      <c r="Z173">
        <v>-0.74335605457542497</v>
      </c>
      <c r="AA173">
        <v>-0.53588051656191904</v>
      </c>
      <c r="AB173">
        <v>3937</v>
      </c>
      <c r="AC173">
        <v>0</v>
      </c>
      <c r="AD173">
        <v>1</v>
      </c>
      <c r="AE173">
        <v>-0.72244456620022002</v>
      </c>
      <c r="AF173">
        <v>0.145398516380422</v>
      </c>
      <c r="AG173">
        <v>0.19288054839232699</v>
      </c>
      <c r="AH173">
        <v>0.79352757990808898</v>
      </c>
      <c r="AI173">
        <v>1.0411971760660901</v>
      </c>
      <c r="AJ173">
        <v>-0.72025817149552296</v>
      </c>
      <c r="AK173">
        <v>47.259622</v>
      </c>
      <c r="AL173">
        <v>-7.8518000000000004E-2</v>
      </c>
      <c r="AM173">
        <v>48.93</v>
      </c>
      <c r="AN173">
        <v>2.359</v>
      </c>
    </row>
    <row r="174" spans="1:40" x14ac:dyDescent="0.35">
      <c r="A174">
        <v>231</v>
      </c>
      <c r="B174">
        <v>72</v>
      </c>
      <c r="C174" t="s">
        <v>40</v>
      </c>
      <c r="D174" t="s">
        <v>52</v>
      </c>
      <c r="E174" t="s">
        <v>42</v>
      </c>
      <c r="F174" t="s">
        <v>49</v>
      </c>
      <c r="G174">
        <v>4</v>
      </c>
      <c r="H174">
        <v>16</v>
      </c>
      <c r="I174">
        <v>3</v>
      </c>
      <c r="J174" t="s">
        <v>45</v>
      </c>
      <c r="K174" t="s">
        <v>46</v>
      </c>
      <c r="L174" t="s">
        <v>70</v>
      </c>
      <c r="M174">
        <v>337.00044246855731</v>
      </c>
      <c r="N174">
        <v>515</v>
      </c>
      <c r="O174">
        <v>280</v>
      </c>
      <c r="P174">
        <v>316</v>
      </c>
      <c r="Q174">
        <v>0</v>
      </c>
      <c r="R174">
        <v>0</v>
      </c>
      <c r="S174">
        <v>5.3230099791384085</v>
      </c>
      <c r="T174">
        <v>90.615999999999985</v>
      </c>
      <c r="U174">
        <v>1.11573792223403</v>
      </c>
      <c r="V174">
        <v>0.80288722813325297</v>
      </c>
      <c r="W174">
        <v>0.52082154240315903</v>
      </c>
      <c r="X174">
        <v>0.61908815691345198</v>
      </c>
      <c r="Y174">
        <v>1.5007680231051199</v>
      </c>
      <c r="Z174">
        <v>0.24292628533916899</v>
      </c>
      <c r="AA174">
        <v>8.5217386942517098E-2</v>
      </c>
      <c r="AB174">
        <v>3943</v>
      </c>
      <c r="AC174">
        <v>0</v>
      </c>
      <c r="AD174">
        <v>1</v>
      </c>
      <c r="AE174">
        <v>1.1088815174583</v>
      </c>
      <c r="AF174">
        <v>1.2727500471783399</v>
      </c>
      <c r="AG174">
        <v>1.1460646782350099</v>
      </c>
      <c r="AH174">
        <v>0.79523518597283405</v>
      </c>
      <c r="AI174">
        <v>1.5123317681042996</v>
      </c>
      <c r="AJ174">
        <v>-0.10791744227225677</v>
      </c>
      <c r="AK174">
        <v>46.098678999999997</v>
      </c>
      <c r="AL174">
        <v>4.7359530000000003</v>
      </c>
      <c r="AM174">
        <v>43.764000000000003</v>
      </c>
      <c r="AN174">
        <v>7.4589999999999996</v>
      </c>
    </row>
    <row r="175" spans="1:40" x14ac:dyDescent="0.35">
      <c r="A175">
        <v>232</v>
      </c>
      <c r="B175">
        <v>72</v>
      </c>
      <c r="C175" t="s">
        <v>40</v>
      </c>
      <c r="D175" t="s">
        <v>52</v>
      </c>
      <c r="E175" t="s">
        <v>42</v>
      </c>
      <c r="F175" t="s">
        <v>49</v>
      </c>
      <c r="G175">
        <v>4</v>
      </c>
      <c r="H175">
        <v>16</v>
      </c>
      <c r="I175">
        <v>6</v>
      </c>
      <c r="J175" t="s">
        <v>45</v>
      </c>
      <c r="K175" t="s">
        <v>46</v>
      </c>
      <c r="L175" t="s">
        <v>55</v>
      </c>
      <c r="M175">
        <v>56.567073329626503</v>
      </c>
      <c r="N175">
        <v>73</v>
      </c>
      <c r="O175">
        <v>61</v>
      </c>
      <c r="P175">
        <v>30</v>
      </c>
      <c r="Q175">
        <v>2.0794415416798357</v>
      </c>
      <c r="R175">
        <v>2.3025850929940459</v>
      </c>
      <c r="S175">
        <v>3.2580965380214821</v>
      </c>
      <c r="T175">
        <v>95.12</v>
      </c>
      <c r="U175">
        <v>0</v>
      </c>
      <c r="V175">
        <v>1.89305099905856</v>
      </c>
      <c r="W175">
        <v>0.59880690621441701</v>
      </c>
      <c r="X175">
        <v>1.1856460040685599</v>
      </c>
      <c r="Y175">
        <v>-0.15565097555555901</v>
      </c>
      <c r="Z175">
        <v>-0.22748295097212001</v>
      </c>
      <c r="AA175">
        <v>1.0415013010201299</v>
      </c>
      <c r="AB175">
        <v>2939.9504036908884</v>
      </c>
      <c r="AC175">
        <v>2</v>
      </c>
      <c r="AD175">
        <v>0.42868127643214149</v>
      </c>
      <c r="AE175">
        <v>-2.40641039566141E-2</v>
      </c>
      <c r="AF175">
        <v>0.294797290592064</v>
      </c>
      <c r="AG175">
        <v>3.30578827054974E-2</v>
      </c>
      <c r="AH175">
        <v>-6.7748852585048799E-2</v>
      </c>
      <c r="AI175">
        <v>0.24384894760001</v>
      </c>
      <c r="AJ175">
        <v>-1.13968561678474</v>
      </c>
      <c r="AK175">
        <v>48.0777517</v>
      </c>
      <c r="AL175">
        <v>7.3579641000000002</v>
      </c>
      <c r="AM175">
        <v>48.557000000000002</v>
      </c>
      <c r="AN175">
        <v>7.6120000000000001</v>
      </c>
    </row>
    <row r="176" spans="1:40" x14ac:dyDescent="0.35">
      <c r="A176">
        <v>234</v>
      </c>
      <c r="B176">
        <v>72</v>
      </c>
      <c r="C176" t="s">
        <v>40</v>
      </c>
      <c r="D176" t="s">
        <v>52</v>
      </c>
      <c r="E176" t="s">
        <v>68</v>
      </c>
      <c r="F176" t="s">
        <v>49</v>
      </c>
      <c r="G176">
        <v>3</v>
      </c>
      <c r="H176">
        <v>9</v>
      </c>
      <c r="I176">
        <v>6</v>
      </c>
      <c r="J176" t="s">
        <v>45</v>
      </c>
      <c r="K176" t="s">
        <v>46</v>
      </c>
      <c r="L176" t="s">
        <v>55</v>
      </c>
      <c r="M176">
        <v>345.8268988977585</v>
      </c>
      <c r="N176">
        <v>504</v>
      </c>
      <c r="O176">
        <v>336</v>
      </c>
      <c r="P176">
        <v>293</v>
      </c>
      <c r="Q176">
        <v>2.0794415416798357</v>
      </c>
      <c r="R176">
        <v>2.3025850929940459</v>
      </c>
      <c r="S176">
        <v>3.2580965380214821</v>
      </c>
      <c r="T176">
        <v>95.12</v>
      </c>
      <c r="U176">
        <v>0</v>
      </c>
      <c r="V176">
        <v>1.89305099905856</v>
      </c>
      <c r="W176">
        <v>0.59880690621441701</v>
      </c>
      <c r="X176">
        <v>1.1856460040685599</v>
      </c>
      <c r="Y176">
        <v>-0.15565097555555901</v>
      </c>
      <c r="Z176">
        <v>-0.22748295097212001</v>
      </c>
      <c r="AA176">
        <v>1.0415013010201299</v>
      </c>
      <c r="AB176">
        <v>2939.9504036908884</v>
      </c>
      <c r="AC176">
        <v>2</v>
      </c>
      <c r="AD176">
        <v>0.42868127643214149</v>
      </c>
      <c r="AE176">
        <v>-2.40641039566141E-2</v>
      </c>
      <c r="AF176">
        <v>-0.84071151948130496</v>
      </c>
      <c r="AG176">
        <v>5.26723068144756E-2</v>
      </c>
      <c r="AH176">
        <v>-0.96305055743555801</v>
      </c>
      <c r="AI176">
        <v>-0.110350312026099</v>
      </c>
      <c r="AJ176">
        <v>-1.7616433516046399</v>
      </c>
      <c r="AK176">
        <v>48.0777517</v>
      </c>
      <c r="AL176">
        <v>7.3579641000000002</v>
      </c>
      <c r="AM176">
        <v>50.640682937000001</v>
      </c>
      <c r="AN176">
        <v>4.6610704270000003</v>
      </c>
    </row>
    <row r="177" spans="1:40" x14ac:dyDescent="0.35">
      <c r="A177">
        <v>235</v>
      </c>
      <c r="B177">
        <v>57</v>
      </c>
      <c r="C177" t="s">
        <v>40</v>
      </c>
      <c r="D177" t="s">
        <v>41</v>
      </c>
      <c r="E177" t="s">
        <v>42</v>
      </c>
      <c r="F177" t="s">
        <v>49</v>
      </c>
      <c r="G177">
        <v>5</v>
      </c>
      <c r="H177">
        <v>25</v>
      </c>
      <c r="I177">
        <v>5</v>
      </c>
      <c r="J177" t="s">
        <v>50</v>
      </c>
      <c r="K177" t="s">
        <v>46</v>
      </c>
      <c r="L177" t="s">
        <v>47</v>
      </c>
      <c r="M177">
        <v>712.25490434599226</v>
      </c>
      <c r="N177">
        <v>921</v>
      </c>
      <c r="O177">
        <v>548</v>
      </c>
      <c r="P177">
        <v>465</v>
      </c>
      <c r="Q177">
        <v>5.9107966440405271</v>
      </c>
      <c r="R177">
        <v>6.4997870406558542</v>
      </c>
      <c r="S177">
        <v>8.6415324656718457</v>
      </c>
      <c r="T177">
        <v>89.265350482850479</v>
      </c>
      <c r="U177">
        <v>1.4417786561042019</v>
      </c>
      <c r="V177">
        <v>-0.22886708829074301</v>
      </c>
      <c r="W177">
        <v>0.28745285629339301</v>
      </c>
      <c r="X177">
        <v>-0.15627425222847</v>
      </c>
      <c r="Y177">
        <v>1.45226138127617</v>
      </c>
      <c r="Z177">
        <v>0.98247225355557</v>
      </c>
      <c r="AA177">
        <v>0.627775520474398</v>
      </c>
      <c r="AB177">
        <v>3362.2959371744532</v>
      </c>
      <c r="AC177">
        <v>2.8998317172850387</v>
      </c>
      <c r="AD177">
        <v>2.9499158586425196</v>
      </c>
      <c r="AE177">
        <v>1.06273170356322</v>
      </c>
      <c r="AF177">
        <v>1.0964476758363499</v>
      </c>
      <c r="AG177">
        <v>6.2122516402377898E-2</v>
      </c>
      <c r="AH177">
        <v>-0.81567675190139</v>
      </c>
      <c r="AI177">
        <v>-4.8165151602635799E-2</v>
      </c>
      <c r="AJ177">
        <v>6.7433693995804303E-3</v>
      </c>
      <c r="AK177">
        <v>43.3535629403058</v>
      </c>
      <c r="AL177">
        <v>3.21615314793977</v>
      </c>
      <c r="AM177">
        <v>48.640000000000008</v>
      </c>
      <c r="AN177">
        <v>-1.9810000000000001</v>
      </c>
    </row>
    <row r="178" spans="1:40" x14ac:dyDescent="0.35">
      <c r="A178">
        <v>236</v>
      </c>
      <c r="B178">
        <v>57</v>
      </c>
      <c r="C178" t="s">
        <v>40</v>
      </c>
      <c r="D178" t="s">
        <v>41</v>
      </c>
      <c r="E178" t="s">
        <v>42</v>
      </c>
      <c r="F178" t="s">
        <v>61</v>
      </c>
      <c r="G178">
        <v>5</v>
      </c>
      <c r="H178">
        <v>25</v>
      </c>
      <c r="I178">
        <v>5</v>
      </c>
      <c r="J178" t="s">
        <v>56</v>
      </c>
      <c r="K178" t="s">
        <v>46</v>
      </c>
      <c r="L178" t="s">
        <v>60</v>
      </c>
      <c r="M178">
        <v>552.62348618363205</v>
      </c>
      <c r="N178">
        <v>661</v>
      </c>
      <c r="O178">
        <v>399</v>
      </c>
      <c r="P178">
        <v>298</v>
      </c>
      <c r="Q178">
        <v>3.8501476017100584</v>
      </c>
      <c r="R178">
        <v>2.9957322735539909</v>
      </c>
      <c r="S178">
        <v>5.4424177105217932</v>
      </c>
      <c r="T178">
        <v>88.975873222691746</v>
      </c>
      <c r="U178">
        <v>2.5514539469641888</v>
      </c>
      <c r="V178">
        <v>2.9336799326863701</v>
      </c>
      <c r="W178">
        <v>3.3730943146768602</v>
      </c>
      <c r="X178">
        <v>3.6072071704345601</v>
      </c>
      <c r="Y178">
        <v>-0.19189497559235799</v>
      </c>
      <c r="Z178">
        <v>0.17569111512999699</v>
      </c>
      <c r="AA178">
        <v>-0.304970615080496</v>
      </c>
      <c r="AB178">
        <v>1906.836709612184</v>
      </c>
      <c r="AC178">
        <v>0.7978420820676605</v>
      </c>
      <c r="AD178">
        <v>2.1056638128240834</v>
      </c>
      <c r="AE178">
        <v>-0.25037207080954499</v>
      </c>
      <c r="AF178">
        <v>0.99859820925546205</v>
      </c>
      <c r="AG178">
        <v>-0.152953622348943</v>
      </c>
      <c r="AH178">
        <v>-0.52266728117883099</v>
      </c>
      <c r="AI178">
        <v>2.2034987329068501E-2</v>
      </c>
      <c r="AJ178">
        <v>-0.45034844744826102</v>
      </c>
      <c r="AK178">
        <v>44.055988999999997</v>
      </c>
      <c r="AL178">
        <v>4.8317350000000001</v>
      </c>
      <c r="AM178">
        <v>48.79</v>
      </c>
      <c r="AN178">
        <v>2.661</v>
      </c>
    </row>
    <row r="179" spans="1:40" x14ac:dyDescent="0.35">
      <c r="A179">
        <v>237</v>
      </c>
      <c r="B179">
        <v>72</v>
      </c>
      <c r="C179" t="s">
        <v>40</v>
      </c>
      <c r="D179" t="s">
        <v>52</v>
      </c>
      <c r="E179" t="s">
        <v>68</v>
      </c>
      <c r="F179" t="s">
        <v>49</v>
      </c>
      <c r="G179">
        <v>4</v>
      </c>
      <c r="H179">
        <v>16</v>
      </c>
      <c r="I179">
        <v>5</v>
      </c>
      <c r="J179" t="s">
        <v>50</v>
      </c>
      <c r="K179" t="s">
        <v>46</v>
      </c>
      <c r="L179" t="s">
        <v>57</v>
      </c>
      <c r="M179">
        <v>402.82622077649421</v>
      </c>
      <c r="N179">
        <v>571</v>
      </c>
      <c r="O179">
        <v>359</v>
      </c>
      <c r="P179">
        <v>264</v>
      </c>
      <c r="Q179">
        <v>0.69314718055994529</v>
      </c>
      <c r="R179">
        <v>3.6109179126442243</v>
      </c>
      <c r="S179">
        <v>5.8833223884882786</v>
      </c>
      <c r="T179">
        <v>90.922105263157903</v>
      </c>
      <c r="U179">
        <v>2.3923758041545438</v>
      </c>
      <c r="V179">
        <v>-0.399596989308249</v>
      </c>
      <c r="W179">
        <v>-0.58810405700346202</v>
      </c>
      <c r="X179">
        <v>-0.29041857108635599</v>
      </c>
      <c r="Y179">
        <v>-0.846122564821426</v>
      </c>
      <c r="Z179">
        <v>-0.92679578564836795</v>
      </c>
      <c r="AA179">
        <v>0.86332342905974202</v>
      </c>
      <c r="AB179">
        <v>2050</v>
      </c>
      <c r="AC179">
        <v>1</v>
      </c>
      <c r="AD179">
        <v>2</v>
      </c>
      <c r="AE179">
        <v>-0.51011828243844404</v>
      </c>
      <c r="AF179">
        <v>-0.39793591134361</v>
      </c>
      <c r="AG179">
        <v>0.92612939710578401</v>
      </c>
      <c r="AH179">
        <v>-0.64052248749284002</v>
      </c>
      <c r="AI179">
        <v>-0.92839095121738002</v>
      </c>
      <c r="AJ179">
        <v>0.95067001179507904</v>
      </c>
      <c r="AK179">
        <v>47.023905999999997</v>
      </c>
      <c r="AL179">
        <v>4.8380429999999999</v>
      </c>
      <c r="AM179">
        <v>50.640682937000001</v>
      </c>
      <c r="AN179">
        <v>4.6610704270000003</v>
      </c>
    </row>
    <row r="180" spans="1:40" x14ac:dyDescent="0.35">
      <c r="A180">
        <v>238</v>
      </c>
      <c r="B180">
        <v>72</v>
      </c>
      <c r="C180" t="s">
        <v>40</v>
      </c>
      <c r="D180" t="s">
        <v>52</v>
      </c>
      <c r="E180" t="s">
        <v>42</v>
      </c>
      <c r="F180" t="s">
        <v>49</v>
      </c>
      <c r="G180">
        <v>6</v>
      </c>
      <c r="H180">
        <v>36</v>
      </c>
      <c r="I180">
        <v>7</v>
      </c>
      <c r="J180" t="s">
        <v>50</v>
      </c>
      <c r="K180" t="s">
        <v>46</v>
      </c>
      <c r="L180" t="s">
        <v>69</v>
      </c>
      <c r="M180">
        <v>191.3150782981275</v>
      </c>
      <c r="N180">
        <v>232</v>
      </c>
      <c r="O180">
        <v>140</v>
      </c>
      <c r="P180">
        <v>200</v>
      </c>
      <c r="Q180">
        <v>2.3978952727983707</v>
      </c>
      <c r="R180">
        <v>4.5538768916005408</v>
      </c>
      <c r="S180">
        <v>5.4847969334906548</v>
      </c>
      <c r="T180">
        <v>93.296000000000006</v>
      </c>
      <c r="U180">
        <v>2.2325431437911538</v>
      </c>
      <c r="V180">
        <v>-0.44922684044461197</v>
      </c>
      <c r="W180">
        <v>-0.76855194782346203</v>
      </c>
      <c r="X180">
        <v>-0.44700324392789598</v>
      </c>
      <c r="Y180">
        <v>-0.846122564821426</v>
      </c>
      <c r="Z180">
        <v>-0.92679578564836795</v>
      </c>
      <c r="AA180">
        <v>0.86332342905974202</v>
      </c>
      <c r="AB180">
        <v>2050</v>
      </c>
      <c r="AC180">
        <v>1</v>
      </c>
      <c r="AD180">
        <v>2</v>
      </c>
      <c r="AE180">
        <v>-0.51011828243844404</v>
      </c>
      <c r="AF180">
        <v>0.53805961026577398</v>
      </c>
      <c r="AG180">
        <v>-0.82236945016669605</v>
      </c>
      <c r="AH180">
        <v>-1.02569967687218E-3</v>
      </c>
      <c r="AI180">
        <v>0.73413200882987595</v>
      </c>
      <c r="AJ180">
        <v>0.48870070277772398</v>
      </c>
      <c r="AK180">
        <v>47.177235000000003</v>
      </c>
      <c r="AL180">
        <v>4.964315</v>
      </c>
      <c r="AM180">
        <v>48.683331000000003</v>
      </c>
      <c r="AN180">
        <v>6.2</v>
      </c>
    </row>
    <row r="181" spans="1:40" x14ac:dyDescent="0.35">
      <c r="A181">
        <v>239</v>
      </c>
      <c r="B181">
        <v>72</v>
      </c>
      <c r="C181" t="s">
        <v>40</v>
      </c>
      <c r="D181" t="s">
        <v>52</v>
      </c>
      <c r="E181" t="s">
        <v>42</v>
      </c>
      <c r="F181" t="s">
        <v>49</v>
      </c>
      <c r="G181">
        <v>5</v>
      </c>
      <c r="H181">
        <v>25</v>
      </c>
      <c r="I181">
        <v>4</v>
      </c>
      <c r="J181" t="s">
        <v>50</v>
      </c>
      <c r="K181" t="s">
        <v>46</v>
      </c>
      <c r="L181" t="s">
        <v>70</v>
      </c>
      <c r="M181">
        <v>51.333793431387818</v>
      </c>
      <c r="N181">
        <v>49</v>
      </c>
      <c r="O181">
        <v>40</v>
      </c>
      <c r="P181">
        <v>32</v>
      </c>
      <c r="Q181">
        <v>0</v>
      </c>
      <c r="R181">
        <v>0</v>
      </c>
      <c r="S181">
        <v>5.3230099791384085</v>
      </c>
      <c r="T181">
        <v>90.615999999999985</v>
      </c>
      <c r="U181">
        <v>1.11573792223403</v>
      </c>
      <c r="V181">
        <v>0.80288722813325297</v>
      </c>
      <c r="W181">
        <v>0.52082154240315903</v>
      </c>
      <c r="X181">
        <v>0.61908815691345198</v>
      </c>
      <c r="Y181">
        <v>1.5007680231051199</v>
      </c>
      <c r="Z181">
        <v>0.24292628533916899</v>
      </c>
      <c r="AA181">
        <v>8.5217386942517098E-2</v>
      </c>
      <c r="AB181">
        <v>3943</v>
      </c>
      <c r="AC181">
        <v>0</v>
      </c>
      <c r="AD181">
        <v>1</v>
      </c>
      <c r="AE181">
        <v>1.1088815174583</v>
      </c>
      <c r="AF181">
        <v>0.80292550153937403</v>
      </c>
      <c r="AG181">
        <v>0.25298279480211799</v>
      </c>
      <c r="AH181">
        <v>0.366846750000622</v>
      </c>
      <c r="AI181">
        <v>0.91838779531373604</v>
      </c>
      <c r="AJ181">
        <v>-0.75906458269265098</v>
      </c>
      <c r="AK181">
        <v>46.098678999999997</v>
      </c>
      <c r="AL181">
        <v>4.7359530000000003</v>
      </c>
      <c r="AM181">
        <v>45.689499999999995</v>
      </c>
      <c r="AN181">
        <v>5.0415000000000001</v>
      </c>
    </row>
    <row r="182" spans="1:40" x14ac:dyDescent="0.35">
      <c r="A182">
        <v>240</v>
      </c>
      <c r="B182">
        <v>57</v>
      </c>
      <c r="C182" t="s">
        <v>40</v>
      </c>
      <c r="D182" t="s">
        <v>52</v>
      </c>
      <c r="E182" t="s">
        <v>68</v>
      </c>
      <c r="F182" t="s">
        <v>49</v>
      </c>
      <c r="G182">
        <v>7</v>
      </c>
      <c r="H182">
        <v>49</v>
      </c>
      <c r="I182">
        <v>6</v>
      </c>
      <c r="J182" t="s">
        <v>56</v>
      </c>
      <c r="K182" t="s">
        <v>46</v>
      </c>
      <c r="L182" t="s">
        <v>70</v>
      </c>
      <c r="M182">
        <v>505.64381411453508</v>
      </c>
      <c r="N182">
        <v>318</v>
      </c>
      <c r="O182">
        <v>230</v>
      </c>
      <c r="P182">
        <v>275</v>
      </c>
      <c r="Q182">
        <v>0</v>
      </c>
      <c r="R182">
        <v>0</v>
      </c>
      <c r="S182">
        <v>5.3230099791384085</v>
      </c>
      <c r="T182">
        <v>90.615999999999985</v>
      </c>
      <c r="U182">
        <v>1.11573792223403</v>
      </c>
      <c r="V182">
        <v>0.80288722813325297</v>
      </c>
      <c r="W182">
        <v>0.52082154240315903</v>
      </c>
      <c r="X182">
        <v>0.61908815691345198</v>
      </c>
      <c r="Y182">
        <v>1.5007680231051199</v>
      </c>
      <c r="Z182">
        <v>0.24292628533916899</v>
      </c>
      <c r="AA182">
        <v>8.5217386942517098E-2</v>
      </c>
      <c r="AB182">
        <v>3943</v>
      </c>
      <c r="AC182">
        <v>0</v>
      </c>
      <c r="AD182">
        <v>1</v>
      </c>
      <c r="AE182">
        <v>1.1088815174583</v>
      </c>
      <c r="AF182">
        <v>-0.45057978801422799</v>
      </c>
      <c r="AG182">
        <v>-2.30923994139248E-2</v>
      </c>
      <c r="AH182">
        <v>-0.25533473559238201</v>
      </c>
      <c r="AI182">
        <v>-1.57930292381062</v>
      </c>
      <c r="AJ182">
        <v>0.53768501167531302</v>
      </c>
      <c r="AK182">
        <v>46.098678999999997</v>
      </c>
      <c r="AL182">
        <v>4.7359530000000003</v>
      </c>
      <c r="AM182">
        <v>50.640682937000001</v>
      </c>
      <c r="AN182">
        <v>4.6610704270000003</v>
      </c>
    </row>
    <row r="183" spans="1:40" x14ac:dyDescent="0.35">
      <c r="A183">
        <v>244</v>
      </c>
      <c r="B183">
        <v>72</v>
      </c>
      <c r="C183" t="s">
        <v>40</v>
      </c>
      <c r="D183" t="s">
        <v>52</v>
      </c>
      <c r="E183" t="s">
        <v>42</v>
      </c>
      <c r="F183" t="s">
        <v>49</v>
      </c>
      <c r="G183">
        <v>4</v>
      </c>
      <c r="H183">
        <v>16</v>
      </c>
      <c r="I183">
        <v>7</v>
      </c>
      <c r="J183" t="s">
        <v>50</v>
      </c>
      <c r="K183" t="s">
        <v>46</v>
      </c>
      <c r="L183" t="s">
        <v>64</v>
      </c>
      <c r="M183">
        <v>168.5509335156467</v>
      </c>
      <c r="N183">
        <v>207</v>
      </c>
      <c r="O183">
        <v>130</v>
      </c>
      <c r="P183">
        <v>180</v>
      </c>
      <c r="Q183">
        <v>0</v>
      </c>
      <c r="R183">
        <v>0</v>
      </c>
      <c r="S183">
        <v>0.69314718055994529</v>
      </c>
      <c r="T183">
        <v>87.72</v>
      </c>
      <c r="U183">
        <v>0</v>
      </c>
      <c r="V183">
        <v>-0.94178676980908105</v>
      </c>
      <c r="W183">
        <v>-0.82471669977796602</v>
      </c>
      <c r="X183">
        <v>-0.81853882670599298</v>
      </c>
      <c r="Y183">
        <v>1.4483117406157899</v>
      </c>
      <c r="Z183">
        <v>1.7680602694732599</v>
      </c>
      <c r="AA183">
        <v>0.26366440732357699</v>
      </c>
      <c r="AB183">
        <v>4236</v>
      </c>
      <c r="AC183">
        <v>0</v>
      </c>
      <c r="AD183">
        <v>4</v>
      </c>
      <c r="AE183">
        <v>1.6751267091712101</v>
      </c>
      <c r="AF183">
        <v>-0.179517744793071</v>
      </c>
      <c r="AG183">
        <v>-0.66624887888232698</v>
      </c>
      <c r="AH183">
        <v>-0.33676072619000202</v>
      </c>
      <c r="AI183">
        <v>-0.32573714409144</v>
      </c>
      <c r="AJ183">
        <v>-1.1120256425937101</v>
      </c>
      <c r="AK183">
        <v>44.776569000000002</v>
      </c>
      <c r="AL183">
        <v>-0.34912399999999999</v>
      </c>
      <c r="AM183">
        <v>43.491999999999997</v>
      </c>
      <c r="AN183">
        <v>-1.466</v>
      </c>
    </row>
    <row r="184" spans="1:40" x14ac:dyDescent="0.35">
      <c r="A184">
        <v>245</v>
      </c>
      <c r="B184">
        <v>57</v>
      </c>
      <c r="C184" t="s">
        <v>40</v>
      </c>
      <c r="D184" t="s">
        <v>66</v>
      </c>
      <c r="E184" t="s">
        <v>42</v>
      </c>
      <c r="F184" t="s">
        <v>43</v>
      </c>
      <c r="G184">
        <v>6</v>
      </c>
      <c r="H184">
        <v>36</v>
      </c>
      <c r="I184">
        <v>4</v>
      </c>
      <c r="J184" t="s">
        <v>56</v>
      </c>
      <c r="K184" t="s">
        <v>46</v>
      </c>
      <c r="L184" t="s">
        <v>55</v>
      </c>
      <c r="M184">
        <v>626.80403576348419</v>
      </c>
      <c r="N184">
        <v>788</v>
      </c>
      <c r="O184">
        <v>543</v>
      </c>
      <c r="P184">
        <v>462</v>
      </c>
      <c r="Q184">
        <v>2.0794415416798357</v>
      </c>
      <c r="R184">
        <v>2.3025850929940459</v>
      </c>
      <c r="S184">
        <v>3.2580965380214821</v>
      </c>
      <c r="T184">
        <v>95.12</v>
      </c>
      <c r="U184">
        <v>0</v>
      </c>
      <c r="V184">
        <v>1.89305099905856</v>
      </c>
      <c r="W184">
        <v>0.59880690621441701</v>
      </c>
      <c r="X184">
        <v>1.1856460040685599</v>
      </c>
      <c r="Y184">
        <v>-0.15565097555555901</v>
      </c>
      <c r="Z184">
        <v>-0.22748295097212001</v>
      </c>
      <c r="AA184">
        <v>1.0415013010201299</v>
      </c>
      <c r="AB184">
        <v>2939.9504036908884</v>
      </c>
      <c r="AC184">
        <v>2</v>
      </c>
      <c r="AD184">
        <v>0.42868127643214149</v>
      </c>
      <c r="AE184">
        <v>-2.40641039566141E-2</v>
      </c>
      <c r="AF184">
        <v>-1.0777820114738199</v>
      </c>
      <c r="AG184">
        <v>0.61427476782697199</v>
      </c>
      <c r="AH184">
        <v>1.0244371754513599</v>
      </c>
      <c r="AI184">
        <v>0.952947863041258</v>
      </c>
      <c r="AJ184">
        <v>1.0471151174172</v>
      </c>
      <c r="AK184">
        <v>48.0777517</v>
      </c>
      <c r="AL184">
        <v>7.3579641000000002</v>
      </c>
      <c r="AM184">
        <v>48.747428571428564</v>
      </c>
      <c r="AN184">
        <v>-1.0692857142857142</v>
      </c>
    </row>
    <row r="185" spans="1:40" x14ac:dyDescent="0.35">
      <c r="A185">
        <v>246</v>
      </c>
      <c r="B185">
        <v>42</v>
      </c>
      <c r="C185" t="s">
        <v>40</v>
      </c>
      <c r="D185" t="s">
        <v>66</v>
      </c>
      <c r="E185" t="s">
        <v>42</v>
      </c>
      <c r="F185" t="s">
        <v>61</v>
      </c>
      <c r="G185">
        <v>5</v>
      </c>
      <c r="H185">
        <v>25</v>
      </c>
      <c r="I185">
        <v>5</v>
      </c>
      <c r="J185" t="s">
        <v>50</v>
      </c>
      <c r="K185" t="s">
        <v>46</v>
      </c>
      <c r="L185" t="s">
        <v>75</v>
      </c>
      <c r="M185">
        <v>25.415530713480202</v>
      </c>
      <c r="N185">
        <v>35</v>
      </c>
      <c r="O185">
        <v>39</v>
      </c>
      <c r="P185">
        <v>17</v>
      </c>
      <c r="Q185">
        <v>0</v>
      </c>
      <c r="R185">
        <v>0</v>
      </c>
      <c r="S185">
        <v>3.5553480614894135</v>
      </c>
      <c r="T185">
        <v>87.721111111111114</v>
      </c>
      <c r="U185">
        <v>1.8185946276597997</v>
      </c>
      <c r="V185">
        <v>-1.01058566247205</v>
      </c>
      <c r="W185">
        <v>-0.72487722485772399</v>
      </c>
      <c r="X185">
        <v>-0.83814251792544203</v>
      </c>
      <c r="Y185">
        <v>0.643019057251217</v>
      </c>
      <c r="Z185">
        <v>0.97010361819212798</v>
      </c>
      <c r="AA185">
        <v>-1.0557286875948499</v>
      </c>
      <c r="AB185">
        <v>4179</v>
      </c>
      <c r="AC185">
        <v>0</v>
      </c>
      <c r="AD185">
        <v>0</v>
      </c>
      <c r="AE185">
        <v>0.59808311135132897</v>
      </c>
      <c r="AF185">
        <v>0.61104771744089803</v>
      </c>
      <c r="AG185">
        <v>-0.88379117363371196</v>
      </c>
      <c r="AH185">
        <v>-1.9451887900932201</v>
      </c>
      <c r="AI185">
        <v>-0.18616865818598799</v>
      </c>
      <c r="AJ185">
        <v>0.43287776168113101</v>
      </c>
      <c r="AK185">
        <v>47.087721999999999</v>
      </c>
      <c r="AL185">
        <v>-1.2817419999999999</v>
      </c>
      <c r="AM185">
        <v>47.218264099999999</v>
      </c>
      <c r="AN185">
        <v>-1.5571805000000001</v>
      </c>
    </row>
    <row r="186" spans="1:40" x14ac:dyDescent="0.35">
      <c r="A186">
        <v>247</v>
      </c>
      <c r="B186">
        <v>72</v>
      </c>
      <c r="C186" t="s">
        <v>40</v>
      </c>
      <c r="D186" t="s">
        <v>52</v>
      </c>
      <c r="E186" t="s">
        <v>42</v>
      </c>
      <c r="F186" t="s">
        <v>49</v>
      </c>
      <c r="G186">
        <v>6</v>
      </c>
      <c r="H186">
        <v>36</v>
      </c>
      <c r="I186">
        <v>7</v>
      </c>
      <c r="J186" t="s">
        <v>56</v>
      </c>
      <c r="K186" t="s">
        <v>46</v>
      </c>
      <c r="L186" t="s">
        <v>47</v>
      </c>
      <c r="M186">
        <v>612.03331666969359</v>
      </c>
      <c r="N186">
        <v>755</v>
      </c>
      <c r="O186">
        <v>464</v>
      </c>
      <c r="P186">
        <v>352</v>
      </c>
      <c r="Q186">
        <v>5.9107966440405271</v>
      </c>
      <c r="R186">
        <v>6.4997870406558542</v>
      </c>
      <c r="S186">
        <v>8.6415324656718457</v>
      </c>
      <c r="T186">
        <v>89.265350482850479</v>
      </c>
      <c r="U186">
        <v>1.4417786561042019</v>
      </c>
      <c r="V186">
        <v>-0.22886708829074301</v>
      </c>
      <c r="W186">
        <v>0.28745285629339301</v>
      </c>
      <c r="X186">
        <v>-0.15627425222847</v>
      </c>
      <c r="Y186">
        <v>1.45226138127617</v>
      </c>
      <c r="Z186">
        <v>0.98247225355557</v>
      </c>
      <c r="AA186">
        <v>0.627775520474398</v>
      </c>
      <c r="AB186">
        <v>3362.2959371744532</v>
      </c>
      <c r="AC186">
        <v>2.8998317172850387</v>
      </c>
      <c r="AD186">
        <v>2.9499158586425196</v>
      </c>
      <c r="AE186">
        <v>1.06273170356322</v>
      </c>
      <c r="AF186">
        <v>-0.96752666778322605</v>
      </c>
      <c r="AG186">
        <v>0.877071659805578</v>
      </c>
      <c r="AH186">
        <v>-0.80054426126071898</v>
      </c>
      <c r="AI186">
        <v>-3.4253959220525001</v>
      </c>
      <c r="AJ186">
        <v>-9.93123780621879E-2</v>
      </c>
      <c r="AK186">
        <v>43.3535629403058</v>
      </c>
      <c r="AL186">
        <v>3.21615314793977</v>
      </c>
      <c r="AM186">
        <v>48.823</v>
      </c>
      <c r="AN186">
        <v>2.4079999999999999</v>
      </c>
    </row>
    <row r="187" spans="1:40" x14ac:dyDescent="0.35">
      <c r="A187">
        <v>248</v>
      </c>
      <c r="B187">
        <v>72</v>
      </c>
      <c r="C187" t="s">
        <v>40</v>
      </c>
      <c r="D187" t="s">
        <v>52</v>
      </c>
      <c r="E187" t="s">
        <v>42</v>
      </c>
      <c r="F187" t="s">
        <v>49</v>
      </c>
      <c r="G187">
        <v>5</v>
      </c>
      <c r="H187">
        <v>25</v>
      </c>
      <c r="I187">
        <v>4</v>
      </c>
      <c r="J187" t="s">
        <v>45</v>
      </c>
      <c r="K187" t="s">
        <v>46</v>
      </c>
      <c r="L187" t="s">
        <v>62</v>
      </c>
      <c r="M187">
        <v>143.68093514263231</v>
      </c>
      <c r="N187">
        <v>166</v>
      </c>
      <c r="O187">
        <v>140</v>
      </c>
      <c r="P187">
        <v>165</v>
      </c>
      <c r="Q187">
        <v>0.69314718055994529</v>
      </c>
      <c r="R187">
        <v>3.2580965380214821</v>
      </c>
      <c r="S187">
        <v>3.2580965380214821</v>
      </c>
      <c r="T187">
        <v>95.68</v>
      </c>
      <c r="U187">
        <v>0</v>
      </c>
      <c r="V187">
        <v>1.82802042479695</v>
      </c>
      <c r="W187">
        <v>0.99424279543483596</v>
      </c>
      <c r="X187">
        <v>0.99177342203587404</v>
      </c>
      <c r="Y187">
        <v>-0.96278755162326501</v>
      </c>
      <c r="Z187">
        <v>-0.75605764486205096</v>
      </c>
      <c r="AA187">
        <v>-0.80037586101695801</v>
      </c>
      <c r="AB187">
        <v>2092.91</v>
      </c>
      <c r="AC187">
        <v>0</v>
      </c>
      <c r="AD187">
        <v>2.1</v>
      </c>
      <c r="AE187">
        <v>-1.0768626388726401</v>
      </c>
      <c r="AF187">
        <v>-0.35843209510545698</v>
      </c>
      <c r="AG187">
        <v>1.5708250923656799</v>
      </c>
      <c r="AH187">
        <v>0.96862542335568202</v>
      </c>
      <c r="AI187">
        <v>-0.99483458412118797</v>
      </c>
      <c r="AJ187">
        <v>0.97283875821518295</v>
      </c>
      <c r="AK187">
        <v>49.042560999999999</v>
      </c>
      <c r="AL187">
        <v>3.9528660000000002</v>
      </c>
      <c r="AM187">
        <v>48.78</v>
      </c>
      <c r="AN187">
        <v>2.0299999999999998</v>
      </c>
    </row>
    <row r="188" spans="1:40" x14ac:dyDescent="0.35">
      <c r="A188">
        <v>250</v>
      </c>
      <c r="B188">
        <v>57</v>
      </c>
      <c r="C188" t="s">
        <v>40</v>
      </c>
      <c r="D188" t="s">
        <v>41</v>
      </c>
      <c r="E188" t="s">
        <v>42</v>
      </c>
      <c r="F188" t="s">
        <v>53</v>
      </c>
      <c r="G188">
        <v>4</v>
      </c>
      <c r="H188">
        <v>16</v>
      </c>
      <c r="I188">
        <v>5</v>
      </c>
      <c r="J188" t="s">
        <v>50</v>
      </c>
      <c r="K188" t="s">
        <v>46</v>
      </c>
      <c r="L188" t="s">
        <v>47</v>
      </c>
      <c r="M188">
        <v>327.73220748686248</v>
      </c>
      <c r="N188">
        <v>424</v>
      </c>
      <c r="O188">
        <v>263</v>
      </c>
      <c r="P188">
        <v>261</v>
      </c>
      <c r="Q188">
        <v>5.9107966440405271</v>
      </c>
      <c r="R188">
        <v>6.4997870406558542</v>
      </c>
      <c r="S188">
        <v>8.6415324656718457</v>
      </c>
      <c r="T188">
        <v>89.265350482850479</v>
      </c>
      <c r="U188">
        <v>1.4417786561042019</v>
      </c>
      <c r="V188">
        <v>-0.22886708829074301</v>
      </c>
      <c r="W188">
        <v>0.28745285629339301</v>
      </c>
      <c r="X188">
        <v>-0.15627425222847</v>
      </c>
      <c r="Y188">
        <v>1.45226138127617</v>
      </c>
      <c r="Z188">
        <v>0.98247225355557</v>
      </c>
      <c r="AA188">
        <v>0.627775520474398</v>
      </c>
      <c r="AB188">
        <v>3362.2959371744532</v>
      </c>
      <c r="AC188">
        <v>2.8998317172850387</v>
      </c>
      <c r="AD188">
        <v>2.9499158586425196</v>
      </c>
      <c r="AE188">
        <v>1.06273170356322</v>
      </c>
      <c r="AF188">
        <v>-0.833030205504937</v>
      </c>
      <c r="AG188">
        <v>-1.0171322960395299</v>
      </c>
      <c r="AH188">
        <v>-0.43648562352845299</v>
      </c>
      <c r="AI188">
        <v>0.60461844179195701</v>
      </c>
      <c r="AJ188">
        <v>0.82961744579186902</v>
      </c>
      <c r="AK188">
        <v>43.3535629403058</v>
      </c>
      <c r="AL188">
        <v>3.21615314793977</v>
      </c>
      <c r="AM188">
        <v>44.839749999999995</v>
      </c>
      <c r="AN188">
        <v>-0.32324999999999998</v>
      </c>
    </row>
    <row r="189" spans="1:40" x14ac:dyDescent="0.35">
      <c r="A189">
        <v>251</v>
      </c>
      <c r="B189">
        <v>57</v>
      </c>
      <c r="C189" t="s">
        <v>48</v>
      </c>
      <c r="D189" t="s">
        <v>66</v>
      </c>
      <c r="E189" t="s">
        <v>42</v>
      </c>
      <c r="F189" t="s">
        <v>61</v>
      </c>
      <c r="G189">
        <v>5</v>
      </c>
      <c r="H189">
        <v>25</v>
      </c>
      <c r="I189">
        <v>4</v>
      </c>
      <c r="J189" t="s">
        <v>56</v>
      </c>
      <c r="K189" t="s">
        <v>46</v>
      </c>
      <c r="L189" t="s">
        <v>76</v>
      </c>
      <c r="M189">
        <v>27.188382302651441</v>
      </c>
      <c r="N189">
        <v>50</v>
      </c>
      <c r="O189">
        <v>39</v>
      </c>
      <c r="P189">
        <v>40</v>
      </c>
      <c r="Q189">
        <v>0</v>
      </c>
      <c r="R189">
        <v>1.0986122886681098</v>
      </c>
      <c r="S189">
        <v>4.1588830833596715</v>
      </c>
      <c r="T189">
        <v>91.226666666666674</v>
      </c>
      <c r="U189">
        <v>1.418823059726001</v>
      </c>
      <c r="V189">
        <v>-0.39095273818515502</v>
      </c>
      <c r="W189">
        <v>-0.53446083104759001</v>
      </c>
      <c r="X189">
        <v>-0.40804429067029002</v>
      </c>
      <c r="Y189">
        <v>-0.56789545922357498</v>
      </c>
      <c r="Z189">
        <v>-0.94760790482486201</v>
      </c>
      <c r="AA189">
        <v>-1.0848673571571601</v>
      </c>
      <c r="AB189">
        <v>1770.5103102717287</v>
      </c>
      <c r="AC189">
        <v>0.28213528618230871</v>
      </c>
      <c r="AD189">
        <v>1.7130468298323378</v>
      </c>
      <c r="AE189">
        <v>-1.13486126839574</v>
      </c>
      <c r="AF189">
        <v>1.36448372680735</v>
      </c>
      <c r="AG189">
        <v>0.11308777326248801</v>
      </c>
      <c r="AH189">
        <v>-1.5240338548632599</v>
      </c>
      <c r="AI189">
        <v>-0.208980112357912</v>
      </c>
      <c r="AJ189">
        <v>0.123093327374377</v>
      </c>
      <c r="AK189">
        <v>47.330690599999997</v>
      </c>
      <c r="AL189">
        <v>2.8390453999999998</v>
      </c>
      <c r="AM189">
        <v>47.509666666666668</v>
      </c>
      <c r="AN189">
        <v>3.0846666666666667</v>
      </c>
    </row>
    <row r="190" spans="1:40" x14ac:dyDescent="0.35">
      <c r="A190">
        <v>253</v>
      </c>
      <c r="B190">
        <v>72</v>
      </c>
      <c r="C190" t="s">
        <v>48</v>
      </c>
      <c r="D190" t="s">
        <v>52</v>
      </c>
      <c r="E190" t="s">
        <v>42</v>
      </c>
      <c r="F190" t="s">
        <v>53</v>
      </c>
      <c r="G190">
        <v>4</v>
      </c>
      <c r="H190">
        <v>16</v>
      </c>
      <c r="I190">
        <v>5</v>
      </c>
      <c r="J190" t="s">
        <v>56</v>
      </c>
      <c r="K190" t="s">
        <v>46</v>
      </c>
      <c r="L190" t="s">
        <v>57</v>
      </c>
      <c r="M190">
        <v>209.5118127974622</v>
      </c>
      <c r="N190">
        <v>284</v>
      </c>
      <c r="O190">
        <v>177</v>
      </c>
      <c r="P190">
        <v>166</v>
      </c>
      <c r="Q190">
        <v>0.69314718055994529</v>
      </c>
      <c r="R190">
        <v>3.6109179126442243</v>
      </c>
      <c r="S190">
        <v>5.8833223884882786</v>
      </c>
      <c r="T190">
        <v>90.922105263157903</v>
      </c>
      <c r="U190">
        <v>2.3923758041545438</v>
      </c>
      <c r="V190">
        <v>-0.399596989308249</v>
      </c>
      <c r="W190">
        <v>-0.58810405700346202</v>
      </c>
      <c r="X190">
        <v>-0.29041857108635599</v>
      </c>
      <c r="Y190">
        <v>-0.846122564821426</v>
      </c>
      <c r="Z190">
        <v>-0.92679578564836795</v>
      </c>
      <c r="AA190">
        <v>0.86332342905974202</v>
      </c>
      <c r="AB190">
        <v>2050</v>
      </c>
      <c r="AC190">
        <v>1</v>
      </c>
      <c r="AD190">
        <v>2</v>
      </c>
      <c r="AE190">
        <v>-0.51011828243844404</v>
      </c>
      <c r="AF190">
        <v>0.175997516183729</v>
      </c>
      <c r="AG190">
        <v>-6.7287728668047095E-2</v>
      </c>
      <c r="AH190">
        <v>-1.09619493064649</v>
      </c>
      <c r="AI190">
        <v>0.381751507372388</v>
      </c>
      <c r="AJ190">
        <v>-1.1477498314380099</v>
      </c>
      <c r="AK190">
        <v>47.023905999999997</v>
      </c>
      <c r="AL190">
        <v>4.8380429999999999</v>
      </c>
      <c r="AM190">
        <v>48.332000000000001</v>
      </c>
      <c r="AN190">
        <v>2.8279999999999998</v>
      </c>
    </row>
    <row r="191" spans="1:40" x14ac:dyDescent="0.35">
      <c r="A191">
        <v>254</v>
      </c>
      <c r="B191">
        <v>57</v>
      </c>
      <c r="C191" t="s">
        <v>40</v>
      </c>
      <c r="D191" t="s">
        <v>41</v>
      </c>
      <c r="E191" t="s">
        <v>42</v>
      </c>
      <c r="F191" t="s">
        <v>53</v>
      </c>
      <c r="G191">
        <v>5</v>
      </c>
      <c r="H191">
        <v>25</v>
      </c>
      <c r="I191">
        <v>4</v>
      </c>
      <c r="J191" t="s">
        <v>45</v>
      </c>
      <c r="K191" t="s">
        <v>44</v>
      </c>
      <c r="L191" t="s">
        <v>77</v>
      </c>
      <c r="M191">
        <v>253.57285753495381</v>
      </c>
      <c r="N191">
        <v>321</v>
      </c>
      <c r="O191">
        <v>204</v>
      </c>
      <c r="P191">
        <v>127</v>
      </c>
      <c r="Q191">
        <v>0</v>
      </c>
      <c r="R191">
        <v>2.3978952727983707</v>
      </c>
      <c r="S191">
        <v>5.1416635565026603</v>
      </c>
      <c r="T191">
        <v>90.472417453603512</v>
      </c>
      <c r="U191">
        <v>2.7735735584863375</v>
      </c>
      <c r="V191">
        <v>-0.15231437986527399</v>
      </c>
      <c r="W191">
        <v>3.49635939345109E-2</v>
      </c>
      <c r="X191">
        <v>-0.19627808847033801</v>
      </c>
      <c r="Y191">
        <v>-0.57382446736590997</v>
      </c>
      <c r="Z191">
        <v>-0.74335605457542497</v>
      </c>
      <c r="AA191">
        <v>-0.53588051656191904</v>
      </c>
      <c r="AB191">
        <v>3937</v>
      </c>
      <c r="AC191">
        <v>0</v>
      </c>
      <c r="AD191">
        <v>1</v>
      </c>
      <c r="AE191">
        <v>-0.72244456620022002</v>
      </c>
      <c r="AF191">
        <v>0.17313025926425801</v>
      </c>
      <c r="AG191">
        <v>-0.76619474182012004</v>
      </c>
      <c r="AH191">
        <v>1.1673876493109701</v>
      </c>
      <c r="AI191">
        <v>0.90625467689605899</v>
      </c>
      <c r="AJ191">
        <v>0.54247225946504696</v>
      </c>
      <c r="AK191">
        <v>47.259622</v>
      </c>
      <c r="AL191">
        <v>-7.8518000000000004E-2</v>
      </c>
      <c r="AM191">
        <v>48.856372813999997</v>
      </c>
      <c r="AN191">
        <v>2.3525296170000001</v>
      </c>
    </row>
    <row r="192" spans="1:40" x14ac:dyDescent="0.35">
      <c r="A192">
        <v>255</v>
      </c>
      <c r="B192">
        <v>72</v>
      </c>
      <c r="C192" t="s">
        <v>40</v>
      </c>
      <c r="D192" t="s">
        <v>52</v>
      </c>
      <c r="E192" t="s">
        <v>42</v>
      </c>
      <c r="F192" t="s">
        <v>49</v>
      </c>
      <c r="G192">
        <v>4</v>
      </c>
      <c r="H192">
        <v>16</v>
      </c>
      <c r="I192">
        <v>7</v>
      </c>
      <c r="J192" t="s">
        <v>56</v>
      </c>
      <c r="K192" t="s">
        <v>46</v>
      </c>
      <c r="L192" t="s">
        <v>73</v>
      </c>
      <c r="M192">
        <v>152.74119485026509</v>
      </c>
      <c r="N192">
        <v>198</v>
      </c>
      <c r="O192">
        <v>130</v>
      </c>
      <c r="P192">
        <v>404</v>
      </c>
      <c r="Q192">
        <v>1.9459101490553132</v>
      </c>
      <c r="R192">
        <v>2.9444389791664403</v>
      </c>
      <c r="S192">
        <v>4.2626798770413155</v>
      </c>
      <c r="T192">
        <v>91.872500000000002</v>
      </c>
      <c r="U192">
        <v>2.0033201607997366</v>
      </c>
      <c r="V192">
        <v>7.5580716531248995E-2</v>
      </c>
      <c r="W192">
        <v>0.203376316306385</v>
      </c>
      <c r="X192">
        <v>0.143329752535333</v>
      </c>
      <c r="Y192">
        <v>1.4483117406157899</v>
      </c>
      <c r="Z192">
        <v>1.7680602694732599</v>
      </c>
      <c r="AA192">
        <v>0.26366440732357699</v>
      </c>
      <c r="AB192">
        <v>4236</v>
      </c>
      <c r="AC192">
        <v>0</v>
      </c>
      <c r="AD192">
        <v>4</v>
      </c>
      <c r="AE192">
        <v>1.6751267091712101</v>
      </c>
      <c r="AF192">
        <v>-0.93573661636032501</v>
      </c>
      <c r="AG192">
        <v>0.21187295586388499</v>
      </c>
      <c r="AH192">
        <v>1.06904453943065</v>
      </c>
      <c r="AI192">
        <v>-0.71199925383169405</v>
      </c>
      <c r="AJ192">
        <v>-0.21952927887753701</v>
      </c>
      <c r="AK192">
        <v>44.686388999999998</v>
      </c>
      <c r="AL192">
        <v>-0.52383800000000003</v>
      </c>
      <c r="AM192">
        <v>43.32</v>
      </c>
      <c r="AN192">
        <v>-0.35</v>
      </c>
    </row>
    <row r="193" spans="1:40" x14ac:dyDescent="0.35">
      <c r="A193">
        <v>256</v>
      </c>
      <c r="B193">
        <v>57</v>
      </c>
      <c r="C193" t="s">
        <v>40</v>
      </c>
      <c r="D193" t="s">
        <v>66</v>
      </c>
      <c r="E193" t="s">
        <v>68</v>
      </c>
      <c r="F193" t="s">
        <v>49</v>
      </c>
      <c r="G193">
        <v>7</v>
      </c>
      <c r="H193">
        <v>49</v>
      </c>
      <c r="I193">
        <v>7</v>
      </c>
      <c r="J193" t="s">
        <v>50</v>
      </c>
      <c r="K193" t="s">
        <v>46</v>
      </c>
      <c r="L193" t="s">
        <v>60</v>
      </c>
      <c r="M193">
        <v>733.1172243891192</v>
      </c>
      <c r="N193">
        <v>927</v>
      </c>
      <c r="O193">
        <v>564</v>
      </c>
      <c r="P193">
        <v>468</v>
      </c>
      <c r="Q193">
        <v>3.8501476017100584</v>
      </c>
      <c r="R193">
        <v>2.9957322735539909</v>
      </c>
      <c r="S193">
        <v>5.4424177105217932</v>
      </c>
      <c r="T193">
        <v>88.975873222691746</v>
      </c>
      <c r="U193">
        <v>2.5514539469641888</v>
      </c>
      <c r="V193">
        <v>2.9336799326863701</v>
      </c>
      <c r="W193">
        <v>3.3730943146768602</v>
      </c>
      <c r="X193">
        <v>3.6072071704345601</v>
      </c>
      <c r="Y193">
        <v>-0.19189497559235799</v>
      </c>
      <c r="Z193">
        <v>0.17569111512999699</v>
      </c>
      <c r="AA193">
        <v>-0.304970615080496</v>
      </c>
      <c r="AB193">
        <v>1906.836709612184</v>
      </c>
      <c r="AC193">
        <v>0.7978420820676605</v>
      </c>
      <c r="AD193">
        <v>2.1056638128240834</v>
      </c>
      <c r="AE193">
        <v>-0.25037207080954499</v>
      </c>
      <c r="AF193">
        <v>-0.80047854479571401</v>
      </c>
      <c r="AG193">
        <v>1.1607336715225101</v>
      </c>
      <c r="AH193">
        <v>0.86284518485633799</v>
      </c>
      <c r="AI193">
        <v>0.91457426830561495</v>
      </c>
      <c r="AJ193">
        <v>0.83083540161774205</v>
      </c>
      <c r="AK193">
        <v>44.055988999999997</v>
      </c>
      <c r="AL193">
        <v>4.8317350000000001</v>
      </c>
      <c r="AM193">
        <v>50.640682937000001</v>
      </c>
      <c r="AN193">
        <v>4.6610704270000003</v>
      </c>
    </row>
    <row r="194" spans="1:40" x14ac:dyDescent="0.35">
      <c r="A194">
        <v>257</v>
      </c>
      <c r="B194">
        <v>57</v>
      </c>
      <c r="C194" t="s">
        <v>40</v>
      </c>
      <c r="D194" t="s">
        <v>41</v>
      </c>
      <c r="E194" t="s">
        <v>42</v>
      </c>
      <c r="F194" t="s">
        <v>43</v>
      </c>
      <c r="G194">
        <v>4</v>
      </c>
      <c r="H194">
        <v>16</v>
      </c>
      <c r="I194">
        <v>5</v>
      </c>
      <c r="J194" t="s">
        <v>56</v>
      </c>
      <c r="K194" t="s">
        <v>46</v>
      </c>
      <c r="L194" t="s">
        <v>73</v>
      </c>
      <c r="M194">
        <v>354.74602952125758</v>
      </c>
      <c r="N194">
        <v>432</v>
      </c>
      <c r="O194">
        <v>252</v>
      </c>
      <c r="P194">
        <v>343</v>
      </c>
      <c r="Q194">
        <v>1.9459101490553132</v>
      </c>
      <c r="R194">
        <v>2.9444389791664403</v>
      </c>
      <c r="S194">
        <v>4.2626798770413155</v>
      </c>
      <c r="T194">
        <v>91.872500000000002</v>
      </c>
      <c r="U194">
        <v>2.0033201607997366</v>
      </c>
      <c r="V194">
        <v>7.5580716531248995E-2</v>
      </c>
      <c r="W194">
        <v>0.203376316306385</v>
      </c>
      <c r="X194">
        <v>0.143329752535333</v>
      </c>
      <c r="Y194">
        <v>1.4483117406157899</v>
      </c>
      <c r="Z194">
        <v>1.7680602694732599</v>
      </c>
      <c r="AA194">
        <v>0.26366440732357699</v>
      </c>
      <c r="AB194">
        <v>4236</v>
      </c>
      <c r="AC194">
        <v>0</v>
      </c>
      <c r="AD194">
        <v>4</v>
      </c>
      <c r="AE194">
        <v>1.6751267091712101</v>
      </c>
      <c r="AF194">
        <v>-1.21001194911709</v>
      </c>
      <c r="AG194">
        <v>-1.2994258309556701</v>
      </c>
      <c r="AH194">
        <v>-0.65118530270709896</v>
      </c>
      <c r="AI194">
        <v>7.4427093717166007E-2</v>
      </c>
      <c r="AJ194">
        <v>-1.5019454540864969</v>
      </c>
      <c r="AK194">
        <v>44.686388999999998</v>
      </c>
      <c r="AL194">
        <v>-0.52383800000000003</v>
      </c>
      <c r="AM194">
        <v>42.683417200000001</v>
      </c>
      <c r="AN194">
        <v>2.9045515000000002</v>
      </c>
    </row>
    <row r="195" spans="1:40" x14ac:dyDescent="0.35">
      <c r="A195">
        <v>258</v>
      </c>
      <c r="B195">
        <v>57</v>
      </c>
      <c r="C195" t="s">
        <v>40</v>
      </c>
      <c r="D195" t="s">
        <v>41</v>
      </c>
      <c r="E195" t="s">
        <v>42</v>
      </c>
      <c r="F195" t="s">
        <v>49</v>
      </c>
      <c r="G195">
        <v>4</v>
      </c>
      <c r="H195">
        <v>16</v>
      </c>
      <c r="I195">
        <v>5</v>
      </c>
      <c r="J195" t="s">
        <v>50</v>
      </c>
      <c r="K195" t="s">
        <v>46</v>
      </c>
      <c r="L195" t="s">
        <v>59</v>
      </c>
      <c r="M195">
        <v>167.3305218114545</v>
      </c>
      <c r="N195">
        <v>216</v>
      </c>
      <c r="O195">
        <v>150</v>
      </c>
      <c r="P195">
        <v>124</v>
      </c>
      <c r="Q195">
        <v>1.3862943611198906</v>
      </c>
      <c r="R195">
        <v>1.3862943611198906</v>
      </c>
      <c r="S195">
        <v>4.9972122737641147</v>
      </c>
      <c r="T195">
        <v>90.035146103896111</v>
      </c>
      <c r="U195">
        <v>1.418823059726001</v>
      </c>
      <c r="V195">
        <v>-0.52223564926899602</v>
      </c>
      <c r="W195">
        <v>-0.46072710968150399</v>
      </c>
      <c r="X195">
        <v>-0.361786268345754</v>
      </c>
      <c r="Y195">
        <v>-0.552694479448822</v>
      </c>
      <c r="Z195">
        <v>2.1676297177028899E-2</v>
      </c>
      <c r="AA195">
        <v>0.625223797005378</v>
      </c>
      <c r="AB195">
        <v>2234.6992515788952</v>
      </c>
      <c r="AC195">
        <v>0</v>
      </c>
      <c r="AD195">
        <v>0.12112735591028891</v>
      </c>
      <c r="AE195">
        <v>-0.60610368582010199</v>
      </c>
      <c r="AF195">
        <v>-1.25174208789786</v>
      </c>
      <c r="AG195">
        <v>-0.64484940982480898</v>
      </c>
      <c r="AH195">
        <v>0.19136279476291301</v>
      </c>
      <c r="AI195">
        <v>-1.3035969847953499</v>
      </c>
      <c r="AJ195">
        <v>-0.12860146945911599</v>
      </c>
      <c r="AK195">
        <v>47.411035099999999</v>
      </c>
      <c r="AL195">
        <v>0.98369799999999996</v>
      </c>
      <c r="AM195">
        <v>48.692999999999998</v>
      </c>
      <c r="AN195">
        <v>2.1579999999999999</v>
      </c>
    </row>
    <row r="196" spans="1:40" x14ac:dyDescent="0.35">
      <c r="A196">
        <v>259</v>
      </c>
      <c r="B196">
        <v>72</v>
      </c>
      <c r="C196" t="s">
        <v>40</v>
      </c>
      <c r="D196" t="s">
        <v>52</v>
      </c>
      <c r="E196" t="s">
        <v>42</v>
      </c>
      <c r="F196" t="s">
        <v>49</v>
      </c>
      <c r="G196">
        <v>3</v>
      </c>
      <c r="H196">
        <v>9</v>
      </c>
      <c r="I196">
        <v>2</v>
      </c>
      <c r="J196" t="s">
        <v>56</v>
      </c>
      <c r="K196" t="s">
        <v>46</v>
      </c>
      <c r="L196" t="s">
        <v>47</v>
      </c>
      <c r="M196">
        <v>288.74030732677397</v>
      </c>
      <c r="N196">
        <v>370</v>
      </c>
      <c r="O196">
        <v>232</v>
      </c>
      <c r="P196">
        <v>243</v>
      </c>
      <c r="Q196">
        <v>5.9107966440405271</v>
      </c>
      <c r="R196">
        <v>6.4997870406558542</v>
      </c>
      <c r="S196">
        <v>8.6415324656718457</v>
      </c>
      <c r="T196">
        <v>89.265350482850479</v>
      </c>
      <c r="U196">
        <v>1.4417786561042019</v>
      </c>
      <c r="V196">
        <v>-0.22886708829074301</v>
      </c>
      <c r="W196">
        <v>0.28745285629339301</v>
      </c>
      <c r="X196">
        <v>-0.15627425222847</v>
      </c>
      <c r="Y196">
        <v>1.45226138127617</v>
      </c>
      <c r="Z196">
        <v>0.98247225355557</v>
      </c>
      <c r="AA196">
        <v>0.627775520474398</v>
      </c>
      <c r="AB196">
        <v>3362.2959371744532</v>
      </c>
      <c r="AC196">
        <v>2.8998317172850387</v>
      </c>
      <c r="AD196">
        <v>2.9499158586425196</v>
      </c>
      <c r="AE196">
        <v>1.06273170356322</v>
      </c>
      <c r="AF196">
        <v>0.15686191668049501</v>
      </c>
      <c r="AG196">
        <v>0.53838729356443904</v>
      </c>
      <c r="AH196">
        <v>-0.43312629976287298</v>
      </c>
      <c r="AI196">
        <v>-0.110284184968177</v>
      </c>
      <c r="AJ196">
        <v>-1.5919626989090701</v>
      </c>
      <c r="AK196">
        <v>43.3535629403058</v>
      </c>
      <c r="AL196">
        <v>3.21615314793977</v>
      </c>
      <c r="AM196">
        <v>43.32</v>
      </c>
      <c r="AN196">
        <v>-0.35</v>
      </c>
    </row>
    <row r="197" spans="1:40" x14ac:dyDescent="0.35">
      <c r="A197">
        <v>260</v>
      </c>
      <c r="B197">
        <v>72</v>
      </c>
      <c r="C197" t="s">
        <v>40</v>
      </c>
      <c r="D197" t="s">
        <v>52</v>
      </c>
      <c r="E197" t="s">
        <v>42</v>
      </c>
      <c r="F197" t="s">
        <v>49</v>
      </c>
      <c r="G197">
        <v>0</v>
      </c>
      <c r="H197">
        <v>0</v>
      </c>
      <c r="I197">
        <v>7</v>
      </c>
      <c r="J197" t="s">
        <v>56</v>
      </c>
      <c r="K197" t="s">
        <v>46</v>
      </c>
      <c r="L197" t="s">
        <v>72</v>
      </c>
      <c r="M197">
        <v>79.373106607636089</v>
      </c>
      <c r="N197">
        <v>169</v>
      </c>
      <c r="O197">
        <v>121</v>
      </c>
      <c r="P197">
        <v>173</v>
      </c>
      <c r="Q197">
        <v>0.69314718055994529</v>
      </c>
      <c r="R197">
        <v>1.3862943611198906</v>
      </c>
      <c r="S197">
        <v>4.5538768916005408</v>
      </c>
      <c r="T197">
        <v>89.340161030595823</v>
      </c>
      <c r="U197">
        <v>1.4712304197281412</v>
      </c>
      <c r="V197">
        <v>0.59716251398508702</v>
      </c>
      <c r="W197">
        <v>0.91068296986709796</v>
      </c>
      <c r="X197">
        <v>1.2273243988355</v>
      </c>
      <c r="Y197">
        <v>-0.4121809470949</v>
      </c>
      <c r="Z197">
        <v>-0.86472582726521097</v>
      </c>
      <c r="AA197">
        <v>-1.0172779374790899</v>
      </c>
      <c r="AB197">
        <v>1828.1689246701658</v>
      </c>
      <c r="AC197">
        <v>1.1127464888636687</v>
      </c>
      <c r="AD197">
        <v>1.8630656830756136</v>
      </c>
      <c r="AE197">
        <v>-0.53926882203722504</v>
      </c>
      <c r="AF197">
        <v>-4.6287728846007499E-4</v>
      </c>
      <c r="AG197">
        <v>-0.183442975060781</v>
      </c>
      <c r="AH197">
        <v>1.0371936754812801</v>
      </c>
      <c r="AI197">
        <v>-0.22177458401096764</v>
      </c>
      <c r="AJ197">
        <v>-0.19710216451974508</v>
      </c>
      <c r="AK197">
        <v>44.503641999999999</v>
      </c>
      <c r="AL197">
        <v>1.1863669999999999</v>
      </c>
      <c r="AM197">
        <v>44.907090909090918</v>
      </c>
      <c r="AN197">
        <v>0.35918181818181821</v>
      </c>
    </row>
    <row r="198" spans="1:40" x14ac:dyDescent="0.35">
      <c r="A198">
        <v>261</v>
      </c>
      <c r="B198">
        <v>72</v>
      </c>
      <c r="C198" t="s">
        <v>40</v>
      </c>
      <c r="D198" t="s">
        <v>52</v>
      </c>
      <c r="E198" t="s">
        <v>42</v>
      </c>
      <c r="F198" t="s">
        <v>49</v>
      </c>
      <c r="G198">
        <v>5</v>
      </c>
      <c r="H198">
        <v>25</v>
      </c>
      <c r="I198">
        <v>6</v>
      </c>
      <c r="J198" t="s">
        <v>56</v>
      </c>
      <c r="K198" t="s">
        <v>46</v>
      </c>
      <c r="L198" t="s">
        <v>72</v>
      </c>
      <c r="M198">
        <v>503.58141027426962</v>
      </c>
      <c r="N198">
        <v>723</v>
      </c>
      <c r="O198">
        <v>481</v>
      </c>
      <c r="P198">
        <v>518</v>
      </c>
      <c r="Q198">
        <v>0.69314718055994529</v>
      </c>
      <c r="R198">
        <v>1.3862943611198906</v>
      </c>
      <c r="S198">
        <v>4.5538768916005408</v>
      </c>
      <c r="T198">
        <v>89.340161030595823</v>
      </c>
      <c r="U198">
        <v>1.4712304197281412</v>
      </c>
      <c r="V198">
        <v>0.59716251398508702</v>
      </c>
      <c r="W198">
        <v>0.91068296986709796</v>
      </c>
      <c r="X198">
        <v>1.2273243988355</v>
      </c>
      <c r="Y198">
        <v>-0.4121809470949</v>
      </c>
      <c r="Z198">
        <v>-0.86472582726521097</v>
      </c>
      <c r="AA198">
        <v>-1.0172779374790899</v>
      </c>
      <c r="AB198">
        <v>1828.1689246701658</v>
      </c>
      <c r="AC198">
        <v>1.1127464888636687</v>
      </c>
      <c r="AD198">
        <v>1.8630656830756136</v>
      </c>
      <c r="AE198">
        <v>-0.53926882203722504</v>
      </c>
      <c r="AF198">
        <v>1.0678800213058399</v>
      </c>
      <c r="AG198">
        <v>0.55346434976834202</v>
      </c>
      <c r="AH198">
        <v>0.93385296318223499</v>
      </c>
      <c r="AI198">
        <v>0.66325601655996702</v>
      </c>
      <c r="AJ198">
        <v>-2.4818275391175499E-2</v>
      </c>
      <c r="AK198">
        <v>44.503641999999999</v>
      </c>
      <c r="AL198">
        <v>1.1863669999999999</v>
      </c>
      <c r="AM198">
        <v>48.436999999999998</v>
      </c>
      <c r="AN198">
        <v>-2.0609999999999999</v>
      </c>
    </row>
    <row r="199" spans="1:40" x14ac:dyDescent="0.35">
      <c r="A199">
        <v>262</v>
      </c>
      <c r="B199">
        <v>72</v>
      </c>
      <c r="C199" t="s">
        <v>40</v>
      </c>
      <c r="D199" t="s">
        <v>41</v>
      </c>
      <c r="E199" t="s">
        <v>42</v>
      </c>
      <c r="F199" t="s">
        <v>49</v>
      </c>
      <c r="G199">
        <v>4</v>
      </c>
      <c r="H199">
        <v>16</v>
      </c>
      <c r="I199">
        <v>7</v>
      </c>
      <c r="J199" t="s">
        <v>50</v>
      </c>
      <c r="K199" t="s">
        <v>46</v>
      </c>
      <c r="L199" t="s">
        <v>76</v>
      </c>
      <c r="M199">
        <v>135.11207504908481</v>
      </c>
      <c r="N199">
        <v>104</v>
      </c>
      <c r="O199">
        <v>73</v>
      </c>
      <c r="P199">
        <v>98</v>
      </c>
      <c r="Q199">
        <v>0</v>
      </c>
      <c r="R199">
        <v>1.0986122886681098</v>
      </c>
      <c r="S199">
        <v>4.1588830833596715</v>
      </c>
      <c r="T199">
        <v>91.226666666666674</v>
      </c>
      <c r="U199">
        <v>1.418823059726001</v>
      </c>
      <c r="V199">
        <v>-0.39095273818515502</v>
      </c>
      <c r="W199">
        <v>-0.53446083104759001</v>
      </c>
      <c r="X199">
        <v>-0.40804429067029002</v>
      </c>
      <c r="Y199">
        <v>-0.56789545922357498</v>
      </c>
      <c r="Z199">
        <v>-0.94760790482486201</v>
      </c>
      <c r="AA199">
        <v>-1.0848673571571601</v>
      </c>
      <c r="AB199">
        <v>1770.5103102717287</v>
      </c>
      <c r="AC199">
        <v>0.28213528618230871</v>
      </c>
      <c r="AD199">
        <v>1.7130468298323378</v>
      </c>
      <c r="AE199">
        <v>-1.13486126839574</v>
      </c>
      <c r="AF199">
        <v>0.25972832760161002</v>
      </c>
      <c r="AG199">
        <v>-9.5810976591974101E-2</v>
      </c>
      <c r="AH199">
        <v>1.0849649481235699</v>
      </c>
      <c r="AI199">
        <v>0.18222139005105401</v>
      </c>
      <c r="AJ199">
        <v>1.2622390920837601</v>
      </c>
      <c r="AK199">
        <v>47.330690599999997</v>
      </c>
      <c r="AL199">
        <v>2.8390453999999998</v>
      </c>
      <c r="AM199">
        <v>46.163999999999994</v>
      </c>
      <c r="AN199">
        <v>3.3274444444444442</v>
      </c>
    </row>
    <row r="200" spans="1:40" x14ac:dyDescent="0.35">
      <c r="A200">
        <v>263</v>
      </c>
      <c r="B200">
        <v>57</v>
      </c>
      <c r="C200" t="s">
        <v>48</v>
      </c>
      <c r="D200" t="s">
        <v>41</v>
      </c>
      <c r="E200" t="s">
        <v>42</v>
      </c>
      <c r="F200" t="s">
        <v>49</v>
      </c>
      <c r="G200">
        <v>4</v>
      </c>
      <c r="H200">
        <v>16</v>
      </c>
      <c r="I200">
        <v>6</v>
      </c>
      <c r="J200" t="s">
        <v>50</v>
      </c>
      <c r="K200" t="s">
        <v>46</v>
      </c>
      <c r="L200" t="s">
        <v>57</v>
      </c>
      <c r="M200">
        <v>266.25417585254661</v>
      </c>
      <c r="N200">
        <v>284</v>
      </c>
      <c r="O200">
        <v>177</v>
      </c>
      <c r="P200">
        <v>166</v>
      </c>
      <c r="Q200">
        <v>0.69314718055994529</v>
      </c>
      <c r="R200">
        <v>3.6109179126442243</v>
      </c>
      <c r="S200">
        <v>5.8833223884882786</v>
      </c>
      <c r="T200">
        <v>90.922105263157903</v>
      </c>
      <c r="U200">
        <v>2.3923758041545438</v>
      </c>
      <c r="V200">
        <v>-0.399596989308249</v>
      </c>
      <c r="W200">
        <v>-0.58810405700346202</v>
      </c>
      <c r="X200">
        <v>-0.29041857108635599</v>
      </c>
      <c r="Y200">
        <v>-0.846122564821426</v>
      </c>
      <c r="Z200">
        <v>-0.92679578564836795</v>
      </c>
      <c r="AA200">
        <v>0.86332342905974202</v>
      </c>
      <c r="AB200">
        <v>2050</v>
      </c>
      <c r="AC200">
        <v>1</v>
      </c>
      <c r="AD200">
        <v>2</v>
      </c>
      <c r="AE200">
        <v>-0.51011828243844404</v>
      </c>
      <c r="AF200">
        <v>0.17528690538199199</v>
      </c>
      <c r="AG200">
        <v>1.29209335138212</v>
      </c>
      <c r="AH200">
        <v>0.13135021551838899</v>
      </c>
      <c r="AI200">
        <v>0.64299203652759995</v>
      </c>
      <c r="AJ200">
        <v>1.0458971615913299</v>
      </c>
      <c r="AK200">
        <v>47.023905999999997</v>
      </c>
      <c r="AL200">
        <v>4.8380429999999999</v>
      </c>
      <c r="AM200">
        <v>48.951999999999998</v>
      </c>
      <c r="AN200">
        <v>2.722818181818182</v>
      </c>
    </row>
    <row r="201" spans="1:40" x14ac:dyDescent="0.35">
      <c r="A201">
        <v>264</v>
      </c>
      <c r="B201">
        <v>72</v>
      </c>
      <c r="C201" t="s">
        <v>40</v>
      </c>
      <c r="D201" t="s">
        <v>52</v>
      </c>
      <c r="E201" t="s">
        <v>42</v>
      </c>
      <c r="F201" t="s">
        <v>49</v>
      </c>
      <c r="G201">
        <v>5</v>
      </c>
      <c r="H201">
        <v>25</v>
      </c>
      <c r="I201">
        <v>7</v>
      </c>
      <c r="J201" t="s">
        <v>56</v>
      </c>
      <c r="K201" t="s">
        <v>46</v>
      </c>
      <c r="L201" t="s">
        <v>60</v>
      </c>
      <c r="M201">
        <v>441.17136324881221</v>
      </c>
      <c r="N201">
        <v>768</v>
      </c>
      <c r="O201">
        <v>484</v>
      </c>
      <c r="P201">
        <v>498</v>
      </c>
      <c r="Q201">
        <v>3.8501476017100584</v>
      </c>
      <c r="R201">
        <v>2.9957322735539909</v>
      </c>
      <c r="S201">
        <v>5.4424177105217932</v>
      </c>
      <c r="T201">
        <v>88.975873222691746</v>
      </c>
      <c r="U201">
        <v>2.5514539469641888</v>
      </c>
      <c r="V201">
        <v>2.9336799326863701</v>
      </c>
      <c r="W201">
        <v>3.3730943146768602</v>
      </c>
      <c r="X201">
        <v>3.6072071704345601</v>
      </c>
      <c r="Y201">
        <v>-0.19189497559235799</v>
      </c>
      <c r="Z201">
        <v>0.17569111512999699</v>
      </c>
      <c r="AA201">
        <v>-0.304970615080496</v>
      </c>
      <c r="AB201">
        <v>1906.836709612184</v>
      </c>
      <c r="AC201">
        <v>0.7978420820676605</v>
      </c>
      <c r="AD201">
        <v>2.1056638128240834</v>
      </c>
      <c r="AE201">
        <v>-0.25037207080954499</v>
      </c>
      <c r="AF201">
        <v>0.97106846525368895</v>
      </c>
      <c r="AG201">
        <v>0.62224522273025296</v>
      </c>
      <c r="AH201">
        <v>-0.92645685557233304</v>
      </c>
      <c r="AI201">
        <v>0.61531408119892705</v>
      </c>
      <c r="AJ201">
        <v>-0.340691734971386</v>
      </c>
      <c r="AK201">
        <v>44.055988999999997</v>
      </c>
      <c r="AL201">
        <v>4.8317350000000001</v>
      </c>
      <c r="AM201">
        <v>45.429000000000002</v>
      </c>
      <c r="AN201">
        <v>-0.40377272727272734</v>
      </c>
    </row>
    <row r="202" spans="1:40" x14ac:dyDescent="0.35">
      <c r="A202">
        <v>266</v>
      </c>
      <c r="B202">
        <v>72</v>
      </c>
      <c r="C202" t="s">
        <v>48</v>
      </c>
      <c r="D202" t="s">
        <v>52</v>
      </c>
      <c r="E202" t="s">
        <v>42</v>
      </c>
      <c r="F202" t="s">
        <v>53</v>
      </c>
      <c r="G202">
        <v>4</v>
      </c>
      <c r="H202">
        <v>16</v>
      </c>
      <c r="I202">
        <v>4</v>
      </c>
      <c r="J202" t="s">
        <v>56</v>
      </c>
      <c r="K202" t="s">
        <v>46</v>
      </c>
      <c r="L202" t="s">
        <v>76</v>
      </c>
      <c r="M202">
        <v>173.64663678342501</v>
      </c>
      <c r="N202">
        <v>199</v>
      </c>
      <c r="O202">
        <v>141</v>
      </c>
      <c r="P202">
        <v>113</v>
      </c>
      <c r="Q202">
        <v>0</v>
      </c>
      <c r="R202">
        <v>1.0986122886681098</v>
      </c>
      <c r="S202">
        <v>4.1588830833596715</v>
      </c>
      <c r="T202">
        <v>91.226666666666674</v>
      </c>
      <c r="U202">
        <v>1.418823059726001</v>
      </c>
      <c r="V202">
        <v>-0.39095273818515502</v>
      </c>
      <c r="W202">
        <v>-0.53446083104759001</v>
      </c>
      <c r="X202">
        <v>-0.40804429067029002</v>
      </c>
      <c r="Y202">
        <v>-0.56789545922357498</v>
      </c>
      <c r="Z202">
        <v>-0.94760790482486201</v>
      </c>
      <c r="AA202">
        <v>-1.0848673571571601</v>
      </c>
      <c r="AB202">
        <v>1770.5103102717287</v>
      </c>
      <c r="AC202">
        <v>0.28213528618230871</v>
      </c>
      <c r="AD202">
        <v>1.7130468298323378</v>
      </c>
      <c r="AE202">
        <v>-1.13486126839574</v>
      </c>
      <c r="AF202">
        <v>0.94772428137360354</v>
      </c>
      <c r="AG202">
        <v>1.2440215720984538</v>
      </c>
      <c r="AH202">
        <v>0.46527175000919729</v>
      </c>
      <c r="AI202">
        <v>0.288292508052922</v>
      </c>
      <c r="AJ202">
        <v>-0.28685796359110399</v>
      </c>
      <c r="AK202">
        <v>47.330690599999997</v>
      </c>
      <c r="AL202">
        <v>2.8390453999999998</v>
      </c>
      <c r="AM202">
        <v>48.856372813999997</v>
      </c>
      <c r="AN202">
        <v>2.3525296170000001</v>
      </c>
    </row>
    <row r="203" spans="1:40" x14ac:dyDescent="0.35">
      <c r="A203">
        <v>268</v>
      </c>
      <c r="B203">
        <v>72</v>
      </c>
      <c r="C203" t="s">
        <v>40</v>
      </c>
      <c r="D203" t="s">
        <v>52</v>
      </c>
      <c r="E203" t="s">
        <v>42</v>
      </c>
      <c r="F203" t="s">
        <v>49</v>
      </c>
      <c r="G203">
        <v>4</v>
      </c>
      <c r="H203">
        <v>16</v>
      </c>
      <c r="I203">
        <v>5</v>
      </c>
      <c r="J203" t="s">
        <v>45</v>
      </c>
      <c r="K203" t="s">
        <v>46</v>
      </c>
      <c r="L203" t="s">
        <v>62</v>
      </c>
      <c r="M203">
        <v>118.81389814254101</v>
      </c>
      <c r="N203">
        <v>143</v>
      </c>
      <c r="O203">
        <v>100</v>
      </c>
      <c r="P203">
        <v>80</v>
      </c>
      <c r="Q203">
        <v>0.69314718055994529</v>
      </c>
      <c r="R203">
        <v>3.2580965380214821</v>
      </c>
      <c r="S203">
        <v>3.2580965380214821</v>
      </c>
      <c r="T203">
        <v>95.68</v>
      </c>
      <c r="U203">
        <v>0</v>
      </c>
      <c r="V203">
        <v>1.82802042479695</v>
      </c>
      <c r="W203">
        <v>0.99424279543483596</v>
      </c>
      <c r="X203">
        <v>0.99177342203587404</v>
      </c>
      <c r="Y203">
        <v>-0.96278755162326501</v>
      </c>
      <c r="Z203">
        <v>-0.75605764486205096</v>
      </c>
      <c r="AA203">
        <v>-0.80037586101695801</v>
      </c>
      <c r="AB203">
        <v>2092.91</v>
      </c>
      <c r="AC203">
        <v>0</v>
      </c>
      <c r="AD203">
        <v>2.1</v>
      </c>
      <c r="AE203">
        <v>-1.0768626388726401</v>
      </c>
      <c r="AF203">
        <v>-0.240027786331177</v>
      </c>
      <c r="AG203">
        <v>0.86702305648540001</v>
      </c>
      <c r="AH203">
        <v>-0.101864720758784</v>
      </c>
      <c r="AI203">
        <v>0.44616545108553601</v>
      </c>
      <c r="AJ203">
        <v>0.35425856811901002</v>
      </c>
      <c r="AK203">
        <v>49.042560999999999</v>
      </c>
      <c r="AL203">
        <v>3.9528660000000002</v>
      </c>
      <c r="AM203">
        <v>48.856372813999997</v>
      </c>
      <c r="AN203">
        <v>2.3525296170000001</v>
      </c>
    </row>
    <row r="204" spans="1:40" x14ac:dyDescent="0.35">
      <c r="A204">
        <v>269</v>
      </c>
      <c r="B204">
        <v>72</v>
      </c>
      <c r="C204" t="s">
        <v>40</v>
      </c>
      <c r="D204" t="s">
        <v>52</v>
      </c>
      <c r="E204" t="s">
        <v>42</v>
      </c>
      <c r="F204" t="s">
        <v>49</v>
      </c>
      <c r="G204">
        <v>4</v>
      </c>
      <c r="H204">
        <v>16</v>
      </c>
      <c r="I204">
        <v>7</v>
      </c>
      <c r="J204" t="s">
        <v>56</v>
      </c>
      <c r="K204" t="s">
        <v>46</v>
      </c>
      <c r="L204" t="s">
        <v>72</v>
      </c>
      <c r="M204">
        <v>70.183681985885798</v>
      </c>
      <c r="N204">
        <v>82</v>
      </c>
      <c r="O204">
        <v>86</v>
      </c>
      <c r="P204">
        <v>119</v>
      </c>
      <c r="Q204">
        <v>0.69314718055994529</v>
      </c>
      <c r="R204">
        <v>1.3862943611198906</v>
      </c>
      <c r="S204">
        <v>4.5538768916005408</v>
      </c>
      <c r="T204">
        <v>89.340161030595823</v>
      </c>
      <c r="U204">
        <v>1.4712304197281412</v>
      </c>
      <c r="V204">
        <v>0.59716251398508702</v>
      </c>
      <c r="W204">
        <v>0.91068296986709796</v>
      </c>
      <c r="X204">
        <v>1.2273243988355</v>
      </c>
      <c r="Y204">
        <v>-0.4121809470949</v>
      </c>
      <c r="Z204">
        <v>-0.86472582726521097</v>
      </c>
      <c r="AA204">
        <v>-1.0172779374790899</v>
      </c>
      <c r="AB204">
        <v>1828.1689246701658</v>
      </c>
      <c r="AC204">
        <v>1.1127464888636687</v>
      </c>
      <c r="AD204">
        <v>1.8630656830756136</v>
      </c>
      <c r="AE204">
        <v>-0.53926882203722504</v>
      </c>
      <c r="AF204">
        <v>-1.3420343704875199</v>
      </c>
      <c r="AG204">
        <v>0.81361120322791503</v>
      </c>
      <c r="AH204">
        <v>-1.7496130492852999</v>
      </c>
      <c r="AI204">
        <v>9.0422054539928798E-2</v>
      </c>
      <c r="AJ204">
        <v>-2.3205434370515601</v>
      </c>
      <c r="AK204">
        <v>44.503641999999999</v>
      </c>
      <c r="AL204">
        <v>1.1863669999999999</v>
      </c>
      <c r="AM204">
        <v>44.421888888888894</v>
      </c>
      <c r="AN204">
        <v>0.31044444444444447</v>
      </c>
    </row>
    <row r="205" spans="1:40" x14ac:dyDescent="0.35">
      <c r="A205">
        <v>270</v>
      </c>
      <c r="B205">
        <v>72</v>
      </c>
      <c r="C205" t="s">
        <v>40</v>
      </c>
      <c r="D205" t="s">
        <v>52</v>
      </c>
      <c r="E205" t="s">
        <v>42</v>
      </c>
      <c r="F205" t="s">
        <v>49</v>
      </c>
      <c r="G205">
        <v>4</v>
      </c>
      <c r="H205">
        <v>16</v>
      </c>
      <c r="I205">
        <v>6</v>
      </c>
      <c r="J205" t="s">
        <v>50</v>
      </c>
      <c r="K205" t="s">
        <v>46</v>
      </c>
      <c r="L205" t="s">
        <v>47</v>
      </c>
      <c r="M205">
        <v>86.419403934614365</v>
      </c>
      <c r="N205">
        <v>118</v>
      </c>
      <c r="O205">
        <v>90</v>
      </c>
      <c r="P205">
        <v>84</v>
      </c>
      <c r="Q205">
        <v>5.9107966440405271</v>
      </c>
      <c r="R205">
        <v>6.4997870406558542</v>
      </c>
      <c r="S205">
        <v>8.6415324656718457</v>
      </c>
      <c r="T205">
        <v>89.265350482850479</v>
      </c>
      <c r="U205">
        <v>1.4417786561042019</v>
      </c>
      <c r="V205">
        <v>-0.22886708829074301</v>
      </c>
      <c r="W205">
        <v>0.28745285629339301</v>
      </c>
      <c r="X205">
        <v>-0.15627425222847</v>
      </c>
      <c r="Y205">
        <v>1.45226138127617</v>
      </c>
      <c r="Z205">
        <v>0.98247225355557</v>
      </c>
      <c r="AA205">
        <v>0.627775520474398</v>
      </c>
      <c r="AB205">
        <v>3362.2959371744532</v>
      </c>
      <c r="AC205">
        <v>2.8998317172850387</v>
      </c>
      <c r="AD205">
        <v>2.9499158586425196</v>
      </c>
      <c r="AE205">
        <v>1.06273170356322</v>
      </c>
      <c r="AF205">
        <v>1.0060181786495599</v>
      </c>
      <c r="AG205">
        <v>0.551922641249733</v>
      </c>
      <c r="AH205">
        <v>-0.15299851530015601</v>
      </c>
      <c r="AI205">
        <v>0.18104526786428099</v>
      </c>
      <c r="AJ205">
        <v>-0.41916909329551799</v>
      </c>
      <c r="AK205">
        <v>43.3535629403058</v>
      </c>
      <c r="AL205">
        <v>3.21615314793977</v>
      </c>
      <c r="AM205">
        <v>43.966125000000005</v>
      </c>
      <c r="AN205">
        <v>3.8753750000000005</v>
      </c>
    </row>
    <row r="206" spans="1:40" x14ac:dyDescent="0.35">
      <c r="A206">
        <v>271</v>
      </c>
      <c r="B206">
        <v>72</v>
      </c>
      <c r="C206" t="s">
        <v>40</v>
      </c>
      <c r="D206" t="s">
        <v>52</v>
      </c>
      <c r="E206" t="s">
        <v>42</v>
      </c>
      <c r="F206" t="s">
        <v>49</v>
      </c>
      <c r="G206">
        <v>4</v>
      </c>
      <c r="H206">
        <v>16</v>
      </c>
      <c r="I206">
        <v>7</v>
      </c>
      <c r="J206" t="s">
        <v>56</v>
      </c>
      <c r="K206" t="s">
        <v>46</v>
      </c>
      <c r="L206" t="s">
        <v>79</v>
      </c>
      <c r="M206">
        <v>885.43125067692586</v>
      </c>
      <c r="N206">
        <v>1064</v>
      </c>
      <c r="O206">
        <v>635</v>
      </c>
      <c r="P206">
        <v>398</v>
      </c>
      <c r="Q206">
        <v>0</v>
      </c>
      <c r="R206">
        <v>1.0986122886681098</v>
      </c>
      <c r="S206">
        <v>4.4659081186545837</v>
      </c>
      <c r="T206">
        <v>90.88000000000001</v>
      </c>
      <c r="U206">
        <v>0.63076672920079646</v>
      </c>
      <c r="V206">
        <v>-0.66459185691613598</v>
      </c>
      <c r="W206">
        <v>-0.11297510960708999</v>
      </c>
      <c r="X206">
        <v>-0.19037106594949799</v>
      </c>
      <c r="Y206">
        <v>-0.374020329094302</v>
      </c>
      <c r="Z206">
        <v>-0.78642831806525804</v>
      </c>
      <c r="AA206">
        <v>-1.3830773108541501</v>
      </c>
      <c r="AB206">
        <v>1910</v>
      </c>
      <c r="AC206">
        <v>4</v>
      </c>
      <c r="AD206">
        <v>0</v>
      </c>
      <c r="AE206">
        <v>3.4620335695619099E-2</v>
      </c>
      <c r="AF206">
        <v>1.0309169544876999</v>
      </c>
      <c r="AG206">
        <v>-2.8985771561787099</v>
      </c>
      <c r="AH206">
        <v>-0.210297990024887</v>
      </c>
      <c r="AI206">
        <v>-0.83557702471059903</v>
      </c>
      <c r="AJ206">
        <v>5.8345752862497102E-2</v>
      </c>
      <c r="AK206">
        <v>42.698529999999998</v>
      </c>
      <c r="AL206">
        <v>2.8953120000000001</v>
      </c>
      <c r="AM206">
        <v>50.652000000000008</v>
      </c>
      <c r="AN206">
        <v>3.0249999999999999</v>
      </c>
    </row>
    <row r="207" spans="1:40" x14ac:dyDescent="0.35">
      <c r="A207">
        <v>272</v>
      </c>
      <c r="B207">
        <v>57</v>
      </c>
      <c r="C207" t="s">
        <v>40</v>
      </c>
      <c r="D207" t="s">
        <v>52</v>
      </c>
      <c r="E207" t="s">
        <v>42</v>
      </c>
      <c r="F207" t="s">
        <v>43</v>
      </c>
      <c r="G207">
        <v>7</v>
      </c>
      <c r="H207">
        <v>49</v>
      </c>
      <c r="I207">
        <v>5</v>
      </c>
      <c r="J207" t="s">
        <v>50</v>
      </c>
      <c r="K207" t="s">
        <v>46</v>
      </c>
      <c r="L207" t="s">
        <v>62</v>
      </c>
      <c r="M207">
        <v>137.02111583446239</v>
      </c>
      <c r="N207">
        <v>162</v>
      </c>
      <c r="O207">
        <v>110</v>
      </c>
      <c r="P207">
        <v>145</v>
      </c>
      <c r="Q207">
        <v>0.69314718055994529</v>
      </c>
      <c r="R207">
        <v>3.2580965380214821</v>
      </c>
      <c r="S207">
        <v>3.2580965380214821</v>
      </c>
      <c r="T207">
        <v>95.68</v>
      </c>
      <c r="U207">
        <v>0</v>
      </c>
      <c r="V207">
        <v>1.82802042479695</v>
      </c>
      <c r="W207">
        <v>0.99424279543483596</v>
      </c>
      <c r="X207">
        <v>0.99177342203587404</v>
      </c>
      <c r="Y207">
        <v>-0.96278755162326501</v>
      </c>
      <c r="Z207">
        <v>-0.75605764486205096</v>
      </c>
      <c r="AA207">
        <v>-0.80037586101695801</v>
      </c>
      <c r="AB207">
        <v>2092.91</v>
      </c>
      <c r="AC207">
        <v>0</v>
      </c>
      <c r="AD207">
        <v>2.1</v>
      </c>
      <c r="AE207">
        <v>-1.0768626388726401</v>
      </c>
      <c r="AF207">
        <v>-0.13324143933798499</v>
      </c>
      <c r="AG207">
        <v>-0.33882521833318802</v>
      </c>
      <c r="AH207">
        <v>-0.58242349340806598</v>
      </c>
      <c r="AI207">
        <v>0.33034562951414598</v>
      </c>
      <c r="AJ207">
        <v>-1.72288545360606</v>
      </c>
      <c r="AK207">
        <v>49.042560999999999</v>
      </c>
      <c r="AL207">
        <v>3.9528660000000002</v>
      </c>
      <c r="AM207">
        <v>48.702333333333335</v>
      </c>
      <c r="AN207">
        <v>2.1543333333333332</v>
      </c>
    </row>
    <row r="208" spans="1:40" x14ac:dyDescent="0.35">
      <c r="A208">
        <v>273</v>
      </c>
      <c r="B208">
        <v>72</v>
      </c>
      <c r="C208" t="s">
        <v>40</v>
      </c>
      <c r="D208" t="s">
        <v>52</v>
      </c>
      <c r="E208" t="s">
        <v>42</v>
      </c>
      <c r="F208" t="s">
        <v>49</v>
      </c>
      <c r="G208">
        <v>6</v>
      </c>
      <c r="H208">
        <v>36</v>
      </c>
      <c r="I208">
        <v>4</v>
      </c>
      <c r="J208" t="s">
        <v>50</v>
      </c>
      <c r="K208" t="s">
        <v>46</v>
      </c>
      <c r="L208" t="s">
        <v>51</v>
      </c>
      <c r="M208">
        <v>123.1088009439885</v>
      </c>
      <c r="N208">
        <v>185</v>
      </c>
      <c r="O208">
        <v>127</v>
      </c>
      <c r="P208">
        <v>564</v>
      </c>
      <c r="Q208">
        <v>0</v>
      </c>
      <c r="R208">
        <v>1.3862943611198906</v>
      </c>
      <c r="S208">
        <v>4.3438054218536841</v>
      </c>
      <c r="T208">
        <v>91.16</v>
      </c>
      <c r="U208">
        <v>2.3174698847378039</v>
      </c>
      <c r="V208">
        <v>-0.58471966768986094</v>
      </c>
      <c r="W208">
        <v>-0.55557078097057</v>
      </c>
      <c r="X208">
        <v>-0.47566183223429498</v>
      </c>
      <c r="Y208">
        <v>-0.95884680312505799</v>
      </c>
      <c r="Z208">
        <v>-0.76521334103430205</v>
      </c>
      <c r="AA208">
        <v>-0.77245900699560299</v>
      </c>
      <c r="AB208">
        <v>1376</v>
      </c>
      <c r="AC208">
        <v>0</v>
      </c>
      <c r="AD208">
        <v>2</v>
      </c>
      <c r="AE208">
        <v>-1.2769936012368599</v>
      </c>
      <c r="AF208">
        <v>0.92206063574040598</v>
      </c>
      <c r="AG208">
        <v>-0.716657561260715</v>
      </c>
      <c r="AH208">
        <v>1.0194792133400501</v>
      </c>
      <c r="AI208">
        <v>-0.29042101801923398</v>
      </c>
      <c r="AJ208">
        <v>0.96748201796016298</v>
      </c>
      <c r="AK208">
        <v>47.815207299999997</v>
      </c>
      <c r="AL208">
        <v>3.8001657</v>
      </c>
      <c r="AM208">
        <v>47.956250000000004</v>
      </c>
      <c r="AN208">
        <v>2.1645000000000003</v>
      </c>
    </row>
    <row r="209" spans="1:40" x14ac:dyDescent="0.35">
      <c r="A209">
        <v>274</v>
      </c>
      <c r="B209">
        <v>72</v>
      </c>
      <c r="C209" t="s">
        <v>40</v>
      </c>
      <c r="D209" t="s">
        <v>52</v>
      </c>
      <c r="E209" t="s">
        <v>42</v>
      </c>
      <c r="F209" t="s">
        <v>49</v>
      </c>
      <c r="G209">
        <v>4</v>
      </c>
      <c r="H209">
        <v>16</v>
      </c>
      <c r="I209">
        <v>5</v>
      </c>
      <c r="J209" t="s">
        <v>56</v>
      </c>
      <c r="K209" t="s">
        <v>46</v>
      </c>
      <c r="L209" t="s">
        <v>47</v>
      </c>
      <c r="M209">
        <v>599.58809814457402</v>
      </c>
      <c r="N209">
        <v>725</v>
      </c>
      <c r="O209">
        <v>438</v>
      </c>
      <c r="P209">
        <v>332</v>
      </c>
      <c r="Q209">
        <v>5.9107966440405271</v>
      </c>
      <c r="R209">
        <v>6.4997870406558542</v>
      </c>
      <c r="S209">
        <v>8.6415324656718457</v>
      </c>
      <c r="T209">
        <v>89.265350482850479</v>
      </c>
      <c r="U209">
        <v>1.4417786561042019</v>
      </c>
      <c r="V209">
        <v>-0.22886708829074301</v>
      </c>
      <c r="W209">
        <v>0.28745285629339301</v>
      </c>
      <c r="X209">
        <v>-0.15627425222847</v>
      </c>
      <c r="Y209">
        <v>1.45226138127617</v>
      </c>
      <c r="Z209">
        <v>0.98247225355557</v>
      </c>
      <c r="AA209">
        <v>0.627775520474398</v>
      </c>
      <c r="AB209">
        <v>3362.2959371744532</v>
      </c>
      <c r="AC209">
        <v>2.8998317172850387</v>
      </c>
      <c r="AD209">
        <v>2.9499158586425196</v>
      </c>
      <c r="AE209">
        <v>1.06273170356322</v>
      </c>
      <c r="AF209">
        <v>0.82874587744245298</v>
      </c>
      <c r="AG209">
        <v>0.35546961132010602</v>
      </c>
      <c r="AH209">
        <v>-0.13260037660593299</v>
      </c>
      <c r="AI209">
        <v>0.42411005525829598</v>
      </c>
      <c r="AJ209">
        <v>0.31780209425627698</v>
      </c>
      <c r="AK209">
        <v>43.3535629403058</v>
      </c>
      <c r="AL209">
        <v>3.21615314793977</v>
      </c>
      <c r="AM209">
        <v>48.709000000000003</v>
      </c>
      <c r="AN209">
        <v>2.387</v>
      </c>
    </row>
    <row r="210" spans="1:40" x14ac:dyDescent="0.35">
      <c r="A210">
        <v>275</v>
      </c>
      <c r="B210">
        <v>57</v>
      </c>
      <c r="C210" t="s">
        <v>40</v>
      </c>
      <c r="D210" t="s">
        <v>52</v>
      </c>
      <c r="E210" t="s">
        <v>42</v>
      </c>
      <c r="F210" t="s">
        <v>49</v>
      </c>
      <c r="G210">
        <v>6</v>
      </c>
      <c r="H210">
        <v>36</v>
      </c>
      <c r="I210">
        <v>6</v>
      </c>
      <c r="J210" t="s">
        <v>50</v>
      </c>
      <c r="K210" t="s">
        <v>46</v>
      </c>
      <c r="L210" t="s">
        <v>69</v>
      </c>
      <c r="M210">
        <v>17.155182835858341</v>
      </c>
      <c r="N210">
        <v>24</v>
      </c>
      <c r="O210">
        <v>35</v>
      </c>
      <c r="P210">
        <v>13</v>
      </c>
      <c r="Q210">
        <v>2.3978952727983707</v>
      </c>
      <c r="R210">
        <v>4.5538768916005408</v>
      </c>
      <c r="S210">
        <v>5.4847969334906548</v>
      </c>
      <c r="T210">
        <v>93.296000000000006</v>
      </c>
      <c r="U210">
        <v>2.2325431437911538</v>
      </c>
      <c r="V210">
        <v>-0.44922684044461197</v>
      </c>
      <c r="W210">
        <v>-0.76855194782346203</v>
      </c>
      <c r="X210">
        <v>-0.44700324392789598</v>
      </c>
      <c r="Y210">
        <v>-0.846122564821426</v>
      </c>
      <c r="Z210">
        <v>-0.92679578564836795</v>
      </c>
      <c r="AA210">
        <v>0.86332342905974202</v>
      </c>
      <c r="AB210">
        <v>2050</v>
      </c>
      <c r="AC210">
        <v>1</v>
      </c>
      <c r="AD210">
        <v>2</v>
      </c>
      <c r="AE210">
        <v>-0.51011828243844404</v>
      </c>
      <c r="AF210">
        <v>-1.26878902194698</v>
      </c>
      <c r="AG210">
        <v>0.84776756199367997</v>
      </c>
      <c r="AH210">
        <v>0.34040320476262698</v>
      </c>
      <c r="AI210">
        <v>-0.44750265677286899</v>
      </c>
      <c r="AJ210">
        <v>0.191214826197288</v>
      </c>
      <c r="AK210">
        <v>47.177235000000003</v>
      </c>
      <c r="AL210">
        <v>4.964315</v>
      </c>
      <c r="AM210">
        <v>47.323</v>
      </c>
      <c r="AN210">
        <v>5.0380000000000003</v>
      </c>
    </row>
    <row r="211" spans="1:40" x14ac:dyDescent="0.35">
      <c r="A211">
        <v>276</v>
      </c>
      <c r="B211">
        <v>42</v>
      </c>
      <c r="C211" t="s">
        <v>48</v>
      </c>
      <c r="D211" t="s">
        <v>66</v>
      </c>
      <c r="E211" t="s">
        <v>42</v>
      </c>
      <c r="F211" t="s">
        <v>49</v>
      </c>
      <c r="G211">
        <v>4</v>
      </c>
      <c r="H211">
        <v>16</v>
      </c>
      <c r="I211">
        <v>6</v>
      </c>
      <c r="J211" t="s">
        <v>56</v>
      </c>
      <c r="K211" t="s">
        <v>46</v>
      </c>
      <c r="L211" t="s">
        <v>57</v>
      </c>
      <c r="M211">
        <v>149.36541683855751</v>
      </c>
      <c r="N211">
        <v>156</v>
      </c>
      <c r="O211">
        <v>112</v>
      </c>
      <c r="P211">
        <v>93</v>
      </c>
      <c r="Q211">
        <v>0.69314718055994529</v>
      </c>
      <c r="R211">
        <v>3.6109179126442243</v>
      </c>
      <c r="S211">
        <v>5.8833223884882786</v>
      </c>
      <c r="T211">
        <v>90.922105263157903</v>
      </c>
      <c r="U211">
        <v>2.3923758041545438</v>
      </c>
      <c r="V211">
        <v>-0.399596989308249</v>
      </c>
      <c r="W211">
        <v>-0.58810405700346202</v>
      </c>
      <c r="X211">
        <v>-0.29041857108635599</v>
      </c>
      <c r="Y211">
        <v>-0.846122564821426</v>
      </c>
      <c r="Z211">
        <v>-0.92679578564836795</v>
      </c>
      <c r="AA211">
        <v>0.86332342905974202</v>
      </c>
      <c r="AB211">
        <v>2050</v>
      </c>
      <c r="AC211">
        <v>1</v>
      </c>
      <c r="AD211">
        <v>2</v>
      </c>
      <c r="AE211">
        <v>-0.51011828243844404</v>
      </c>
      <c r="AF211">
        <v>1.90862344507635</v>
      </c>
      <c r="AG211">
        <v>-1.1264897493850601</v>
      </c>
      <c r="AH211">
        <v>-8.8067667463922694E-2</v>
      </c>
      <c r="AI211">
        <v>0.92263900286238398</v>
      </c>
      <c r="AJ211">
        <v>0.89197615409735498</v>
      </c>
      <c r="AK211">
        <v>47.023905999999997</v>
      </c>
      <c r="AL211">
        <v>4.8380429999999999</v>
      </c>
      <c r="AM211">
        <v>45.689499999999995</v>
      </c>
      <c r="AN211">
        <v>5.0415000000000001</v>
      </c>
    </row>
    <row r="212" spans="1:40" x14ac:dyDescent="0.35">
      <c r="A212">
        <v>277</v>
      </c>
      <c r="B212">
        <v>72</v>
      </c>
      <c r="C212" t="s">
        <v>40</v>
      </c>
      <c r="D212" t="s">
        <v>52</v>
      </c>
      <c r="E212" t="s">
        <v>42</v>
      </c>
      <c r="F212" t="s">
        <v>49</v>
      </c>
      <c r="G212">
        <v>4</v>
      </c>
      <c r="H212">
        <v>16</v>
      </c>
      <c r="I212">
        <v>5</v>
      </c>
      <c r="J212" t="s">
        <v>56</v>
      </c>
      <c r="K212" t="s">
        <v>46</v>
      </c>
      <c r="L212" t="s">
        <v>79</v>
      </c>
      <c r="M212">
        <v>678.47480294131628</v>
      </c>
      <c r="N212">
        <v>854</v>
      </c>
      <c r="O212">
        <v>498</v>
      </c>
      <c r="P212">
        <v>326</v>
      </c>
      <c r="Q212">
        <v>0</v>
      </c>
      <c r="R212">
        <v>1.0986122886681098</v>
      </c>
      <c r="S212">
        <v>4.4659081186545837</v>
      </c>
      <c r="T212">
        <v>90.88000000000001</v>
      </c>
      <c r="U212">
        <v>0.63076672920079646</v>
      </c>
      <c r="V212">
        <v>-0.66459185691613598</v>
      </c>
      <c r="W212">
        <v>-0.11297510960708999</v>
      </c>
      <c r="X212">
        <v>-0.19037106594949799</v>
      </c>
      <c r="Y212">
        <v>-0.374020329094302</v>
      </c>
      <c r="Z212">
        <v>-0.78642831806525804</v>
      </c>
      <c r="AA212">
        <v>-1.3830773108541501</v>
      </c>
      <c r="AB212">
        <v>1910</v>
      </c>
      <c r="AC212">
        <v>4</v>
      </c>
      <c r="AD212">
        <v>0</v>
      </c>
      <c r="AE212">
        <v>3.4620335695619099E-2</v>
      </c>
      <c r="AF212">
        <v>1.0355163288393801</v>
      </c>
      <c r="AG212">
        <v>0.72456522816286695</v>
      </c>
      <c r="AH212">
        <v>0.99452402082917002</v>
      </c>
      <c r="AI212">
        <v>1.4836044289928401</v>
      </c>
      <c r="AJ212">
        <v>0.76193534118230599</v>
      </c>
      <c r="AK212">
        <v>42.698529999999998</v>
      </c>
      <c r="AL212">
        <v>2.8953120000000001</v>
      </c>
      <c r="AM212">
        <v>48.78</v>
      </c>
      <c r="AN212">
        <v>2.3159999999999998</v>
      </c>
    </row>
    <row r="213" spans="1:40" x14ac:dyDescent="0.35">
      <c r="A213">
        <v>278</v>
      </c>
      <c r="B213">
        <v>57</v>
      </c>
      <c r="C213" t="s">
        <v>40</v>
      </c>
      <c r="D213" t="s">
        <v>41</v>
      </c>
      <c r="E213" t="s">
        <v>42</v>
      </c>
      <c r="F213" t="s">
        <v>49</v>
      </c>
      <c r="G213">
        <v>6</v>
      </c>
      <c r="H213">
        <v>36</v>
      </c>
      <c r="I213">
        <v>5</v>
      </c>
      <c r="J213" t="s">
        <v>50</v>
      </c>
      <c r="K213" t="s">
        <v>46</v>
      </c>
      <c r="L213" t="s">
        <v>60</v>
      </c>
      <c r="M213">
        <v>567.10864805143422</v>
      </c>
      <c r="N213">
        <v>688</v>
      </c>
      <c r="O213">
        <v>466</v>
      </c>
      <c r="P213">
        <v>270</v>
      </c>
      <c r="Q213">
        <v>3.8501476017100584</v>
      </c>
      <c r="R213">
        <v>2.9957322735539909</v>
      </c>
      <c r="S213">
        <v>5.4424177105217932</v>
      </c>
      <c r="T213">
        <v>88.975873222691746</v>
      </c>
      <c r="U213">
        <v>2.5514539469641888</v>
      </c>
      <c r="V213">
        <v>2.9336799326863701</v>
      </c>
      <c r="W213">
        <v>3.3730943146768602</v>
      </c>
      <c r="X213">
        <v>3.6072071704345601</v>
      </c>
      <c r="Y213">
        <v>-0.19189497559235799</v>
      </c>
      <c r="Z213">
        <v>0.17569111512999699</v>
      </c>
      <c r="AA213">
        <v>-0.304970615080496</v>
      </c>
      <c r="AB213">
        <v>1906.836709612184</v>
      </c>
      <c r="AC213">
        <v>0.7978420820676605</v>
      </c>
      <c r="AD213">
        <v>2.1056638128240834</v>
      </c>
      <c r="AE213">
        <v>-0.25037207080954499</v>
      </c>
      <c r="AF213">
        <v>0.44896587342181599</v>
      </c>
      <c r="AG213">
        <v>-1.4408666845474001</v>
      </c>
      <c r="AH213">
        <v>1.28652345133513</v>
      </c>
      <c r="AI213">
        <v>0.60998937014476595</v>
      </c>
      <c r="AJ213">
        <v>3.7860508859363998E-2</v>
      </c>
      <c r="AK213">
        <v>44.055988999999997</v>
      </c>
      <c r="AL213">
        <v>4.8317350000000001</v>
      </c>
      <c r="AM213">
        <v>48.856372813999997</v>
      </c>
      <c r="AN213">
        <v>2.3525296170000001</v>
      </c>
    </row>
    <row r="214" spans="1:40" x14ac:dyDescent="0.35">
      <c r="A214">
        <v>279</v>
      </c>
      <c r="B214">
        <v>57</v>
      </c>
      <c r="C214" t="s">
        <v>48</v>
      </c>
      <c r="D214" t="s">
        <v>41</v>
      </c>
      <c r="E214" t="s">
        <v>42</v>
      </c>
      <c r="F214" t="s">
        <v>43</v>
      </c>
      <c r="G214">
        <v>4</v>
      </c>
      <c r="H214">
        <v>16</v>
      </c>
      <c r="I214">
        <v>7</v>
      </c>
      <c r="J214" t="s">
        <v>45</v>
      </c>
      <c r="K214" t="s">
        <v>46</v>
      </c>
      <c r="L214" t="s">
        <v>62</v>
      </c>
      <c r="M214">
        <v>127.3877189264719</v>
      </c>
      <c r="N214">
        <v>167</v>
      </c>
      <c r="O214">
        <v>120</v>
      </c>
      <c r="P214">
        <v>109</v>
      </c>
      <c r="Q214">
        <v>0.69314718055994529</v>
      </c>
      <c r="R214">
        <v>3.2580965380214821</v>
      </c>
      <c r="S214">
        <v>3.2580965380214821</v>
      </c>
      <c r="T214">
        <v>95.68</v>
      </c>
      <c r="U214">
        <v>0</v>
      </c>
      <c r="V214">
        <v>1.82802042479695</v>
      </c>
      <c r="W214">
        <v>0.99424279543483596</v>
      </c>
      <c r="X214">
        <v>0.99177342203587404</v>
      </c>
      <c r="Y214">
        <v>-0.96278755162326501</v>
      </c>
      <c r="Z214">
        <v>-0.75605764486205096</v>
      </c>
      <c r="AA214">
        <v>-0.80037586101695801</v>
      </c>
      <c r="AB214">
        <v>2092.91</v>
      </c>
      <c r="AC214">
        <v>0</v>
      </c>
      <c r="AD214">
        <v>2.1</v>
      </c>
      <c r="AE214">
        <v>-1.0768626388726401</v>
      </c>
      <c r="AF214">
        <v>-2.10068691811238</v>
      </c>
      <c r="AG214">
        <v>1.0991083823043499</v>
      </c>
      <c r="AH214">
        <v>1.3626187977980699</v>
      </c>
      <c r="AI214">
        <v>-0.73764840944114396</v>
      </c>
      <c r="AJ214">
        <v>1.8727241551415199</v>
      </c>
      <c r="AK214">
        <v>49.042560999999999</v>
      </c>
      <c r="AL214">
        <v>3.9528660000000002</v>
      </c>
      <c r="AM214">
        <v>48.836999999999996</v>
      </c>
      <c r="AN214">
        <v>2.2390000000000003</v>
      </c>
    </row>
    <row r="215" spans="1:40" x14ac:dyDescent="0.35">
      <c r="A215">
        <v>281</v>
      </c>
      <c r="B215">
        <v>72</v>
      </c>
      <c r="C215" t="s">
        <v>40</v>
      </c>
      <c r="D215" t="s">
        <v>41</v>
      </c>
      <c r="E215" t="s">
        <v>42</v>
      </c>
      <c r="F215" t="s">
        <v>49</v>
      </c>
      <c r="G215">
        <v>5</v>
      </c>
      <c r="H215">
        <v>25</v>
      </c>
      <c r="I215">
        <v>5</v>
      </c>
      <c r="J215" t="s">
        <v>56</v>
      </c>
      <c r="K215" t="s">
        <v>46</v>
      </c>
      <c r="L215" t="s">
        <v>72</v>
      </c>
      <c r="M215">
        <v>494.63290185164971</v>
      </c>
      <c r="N215">
        <v>581</v>
      </c>
      <c r="O215">
        <v>359</v>
      </c>
      <c r="P215">
        <v>365</v>
      </c>
      <c r="Q215">
        <v>0.69314718055994529</v>
      </c>
      <c r="R215">
        <v>1.3862943611198906</v>
      </c>
      <c r="S215">
        <v>4.5538768916005408</v>
      </c>
      <c r="T215">
        <v>89.340161030595823</v>
      </c>
      <c r="U215">
        <v>1.4712304197281412</v>
      </c>
      <c r="V215">
        <v>0.59716251398508702</v>
      </c>
      <c r="W215">
        <v>0.91068296986709796</v>
      </c>
      <c r="X215">
        <v>1.2273243988355</v>
      </c>
      <c r="Y215">
        <v>-0.4121809470949</v>
      </c>
      <c r="Z215">
        <v>-0.86472582726521097</v>
      </c>
      <c r="AA215">
        <v>-1.0172779374790899</v>
      </c>
      <c r="AB215">
        <v>1828.1689246701658</v>
      </c>
      <c r="AC215">
        <v>1.1127464888636687</v>
      </c>
      <c r="AD215">
        <v>1.8630656830756136</v>
      </c>
      <c r="AE215">
        <v>-0.53926882203722504</v>
      </c>
      <c r="AF215">
        <v>1.0060181786495599</v>
      </c>
      <c r="AG215">
        <v>0.551922641249733</v>
      </c>
      <c r="AH215">
        <v>-0.15299851530015601</v>
      </c>
      <c r="AI215">
        <v>0.70988307564724396</v>
      </c>
      <c r="AJ215">
        <v>0.310143929865413</v>
      </c>
      <c r="AK215">
        <v>44.503641999999999</v>
      </c>
      <c r="AL215">
        <v>1.1863669999999999</v>
      </c>
      <c r="AM215">
        <v>48.884999999999998</v>
      </c>
      <c r="AN215">
        <v>2.266</v>
      </c>
    </row>
    <row r="216" spans="1:40" x14ac:dyDescent="0.35">
      <c r="A216">
        <v>284</v>
      </c>
      <c r="B216">
        <v>29.5</v>
      </c>
      <c r="C216" t="s">
        <v>40</v>
      </c>
      <c r="D216" t="s">
        <v>41</v>
      </c>
      <c r="E216" t="s">
        <v>42</v>
      </c>
      <c r="F216" t="s">
        <v>53</v>
      </c>
      <c r="G216">
        <v>4</v>
      </c>
      <c r="H216">
        <v>16</v>
      </c>
      <c r="I216">
        <v>5</v>
      </c>
      <c r="J216" t="s">
        <v>50</v>
      </c>
      <c r="K216" t="s">
        <v>46</v>
      </c>
      <c r="L216" t="s">
        <v>58</v>
      </c>
      <c r="M216">
        <v>470.20785645571289</v>
      </c>
      <c r="N216">
        <v>566</v>
      </c>
      <c r="O216">
        <v>409</v>
      </c>
      <c r="P216">
        <v>222</v>
      </c>
      <c r="Q216">
        <v>3.2580965380214821</v>
      </c>
      <c r="R216">
        <v>2.8903717578961645</v>
      </c>
      <c r="S216">
        <v>4.7535901911063645</v>
      </c>
      <c r="T216">
        <v>90.794285714285706</v>
      </c>
      <c r="U216">
        <v>0</v>
      </c>
      <c r="V216">
        <v>0.63905639120027702</v>
      </c>
      <c r="W216">
        <v>0.692565001186083</v>
      </c>
      <c r="X216">
        <v>0.56469097254324596</v>
      </c>
      <c r="Y216">
        <v>1.4483117406157899</v>
      </c>
      <c r="Z216">
        <v>1.7680602694732599</v>
      </c>
      <c r="AA216">
        <v>0.26366440732357699</v>
      </c>
      <c r="AB216">
        <v>4236</v>
      </c>
      <c r="AC216">
        <v>0</v>
      </c>
      <c r="AD216">
        <v>4</v>
      </c>
      <c r="AE216">
        <v>1.6751267091712101</v>
      </c>
      <c r="AF216">
        <v>2.6034805487948801E-2</v>
      </c>
      <c r="AG216">
        <v>0.30128651167266401</v>
      </c>
      <c r="AH216">
        <v>3.6882391113321401E-2</v>
      </c>
      <c r="AI216">
        <v>-0.34661641773190799</v>
      </c>
      <c r="AJ216">
        <v>0.53292606892283001</v>
      </c>
      <c r="AK216">
        <v>45.198478000000001</v>
      </c>
      <c r="AL216">
        <v>-0.74874399999999997</v>
      </c>
      <c r="AM216">
        <v>48.856372813999997</v>
      </c>
      <c r="AN216">
        <v>2.3525296170000001</v>
      </c>
    </row>
    <row r="217" spans="1:40" x14ac:dyDescent="0.35">
      <c r="A217">
        <v>285</v>
      </c>
      <c r="B217">
        <v>72</v>
      </c>
      <c r="C217" t="s">
        <v>40</v>
      </c>
      <c r="D217" t="s">
        <v>52</v>
      </c>
      <c r="E217" t="s">
        <v>42</v>
      </c>
      <c r="F217" t="s">
        <v>49</v>
      </c>
      <c r="G217">
        <v>5</v>
      </c>
      <c r="H217">
        <v>25</v>
      </c>
      <c r="I217">
        <v>6</v>
      </c>
      <c r="J217" t="s">
        <v>56</v>
      </c>
      <c r="K217" t="s">
        <v>46</v>
      </c>
      <c r="L217" t="s">
        <v>77</v>
      </c>
      <c r="M217">
        <v>272.37183219220191</v>
      </c>
      <c r="N217">
        <v>358</v>
      </c>
      <c r="O217">
        <v>219</v>
      </c>
      <c r="P217">
        <v>294</v>
      </c>
      <c r="Q217">
        <v>0</v>
      </c>
      <c r="R217">
        <v>2.3978952727983707</v>
      </c>
      <c r="S217">
        <v>5.1416635565026603</v>
      </c>
      <c r="T217">
        <v>90.472417453603512</v>
      </c>
      <c r="U217">
        <v>2.7735735584863375</v>
      </c>
      <c r="V217">
        <v>-0.15231437986527399</v>
      </c>
      <c r="W217">
        <v>3.49635939345109E-2</v>
      </c>
      <c r="X217">
        <v>-0.19627808847033801</v>
      </c>
      <c r="Y217">
        <v>-0.57382446736590997</v>
      </c>
      <c r="Z217">
        <v>-0.74335605457542497</v>
      </c>
      <c r="AA217">
        <v>-0.53588051656191904</v>
      </c>
      <c r="AB217">
        <v>3937</v>
      </c>
      <c r="AC217">
        <v>0</v>
      </c>
      <c r="AD217">
        <v>1</v>
      </c>
      <c r="AE217">
        <v>-0.72244456620022002</v>
      </c>
      <c r="AF217">
        <v>1.43941101872357</v>
      </c>
      <c r="AG217">
        <v>0.61937941660534401</v>
      </c>
      <c r="AH217">
        <v>0.49879121610213401</v>
      </c>
      <c r="AI217">
        <v>0.93232236824731196</v>
      </c>
      <c r="AJ217">
        <v>-0.29346376701847698</v>
      </c>
      <c r="AK217">
        <v>47.259622</v>
      </c>
      <c r="AL217">
        <v>-7.8518000000000004E-2</v>
      </c>
      <c r="AM217">
        <v>48.194722222222225</v>
      </c>
      <c r="AN217">
        <v>3.2832222222222223</v>
      </c>
    </row>
    <row r="218" spans="1:40" x14ac:dyDescent="0.35">
      <c r="A218">
        <v>287</v>
      </c>
      <c r="B218">
        <v>72</v>
      </c>
      <c r="C218" t="s">
        <v>40</v>
      </c>
      <c r="D218" t="s">
        <v>52</v>
      </c>
      <c r="E218" t="s">
        <v>42</v>
      </c>
      <c r="F218" t="s">
        <v>49</v>
      </c>
      <c r="G218">
        <v>4</v>
      </c>
      <c r="H218">
        <v>16</v>
      </c>
      <c r="I218">
        <v>4</v>
      </c>
      <c r="J218" t="s">
        <v>56</v>
      </c>
      <c r="K218" t="s">
        <v>46</v>
      </c>
      <c r="L218" t="s">
        <v>81</v>
      </c>
      <c r="M218">
        <v>15.48055415420132</v>
      </c>
      <c r="N218">
        <v>559</v>
      </c>
      <c r="O218">
        <v>342</v>
      </c>
      <c r="P218">
        <v>251</v>
      </c>
      <c r="Q218">
        <v>0</v>
      </c>
      <c r="R218">
        <v>0</v>
      </c>
      <c r="S218">
        <v>4.0430512678345503</v>
      </c>
      <c r="T218">
        <v>88.705120018058608</v>
      </c>
      <c r="U218">
        <v>1.1736806104474848</v>
      </c>
      <c r="V218">
        <v>-0.47558929701305802</v>
      </c>
      <c r="W218">
        <v>-0.86536000504125898</v>
      </c>
      <c r="X218">
        <v>-0.756079468432718</v>
      </c>
      <c r="Y218">
        <v>-0.29991099617686701</v>
      </c>
      <c r="Z218">
        <v>-0.41295088194839003</v>
      </c>
      <c r="AA218">
        <v>-1.4747044340851601</v>
      </c>
      <c r="AB218">
        <v>2397.9202643171807</v>
      </c>
      <c r="AC218">
        <v>4.5123348017621154</v>
      </c>
      <c r="AD218">
        <v>0.89074889867841411</v>
      </c>
      <c r="AE218">
        <v>2.0319785812814501</v>
      </c>
      <c r="AF218">
        <v>-0.16028248758116706</v>
      </c>
      <c r="AG218">
        <v>2.7993385564634163</v>
      </c>
      <c r="AH218">
        <v>-0.71392118232350066</v>
      </c>
      <c r="AI218">
        <v>0.65305990677460801</v>
      </c>
      <c r="AJ218">
        <v>-2.9374748674853</v>
      </c>
      <c r="AK218">
        <v>48.862724999999998</v>
      </c>
      <c r="AL218">
        <v>2.2875920000000001</v>
      </c>
      <c r="AM218">
        <v>48.743000000000002</v>
      </c>
      <c r="AN218">
        <v>2.395</v>
      </c>
    </row>
    <row r="219" spans="1:40" x14ac:dyDescent="0.35">
      <c r="A219">
        <v>288</v>
      </c>
      <c r="B219">
        <v>57</v>
      </c>
      <c r="C219" t="s">
        <v>40</v>
      </c>
      <c r="D219" t="s">
        <v>52</v>
      </c>
      <c r="E219" t="s">
        <v>42</v>
      </c>
      <c r="F219" t="s">
        <v>43</v>
      </c>
      <c r="G219">
        <v>5</v>
      </c>
      <c r="H219">
        <v>25</v>
      </c>
      <c r="I219">
        <v>5</v>
      </c>
      <c r="J219" t="s">
        <v>50</v>
      </c>
      <c r="K219" t="s">
        <v>46</v>
      </c>
      <c r="L219" t="s">
        <v>76</v>
      </c>
      <c r="M219">
        <v>187.34544962535639</v>
      </c>
      <c r="N219">
        <v>200</v>
      </c>
      <c r="O219">
        <v>138</v>
      </c>
      <c r="P219">
        <v>168</v>
      </c>
      <c r="Q219">
        <v>0</v>
      </c>
      <c r="R219">
        <v>1.0986122886681098</v>
      </c>
      <c r="S219">
        <v>4.1588830833596715</v>
      </c>
      <c r="T219">
        <v>91.226666666666674</v>
      </c>
      <c r="U219">
        <v>1.418823059726001</v>
      </c>
      <c r="V219">
        <v>-0.39095273818515502</v>
      </c>
      <c r="W219">
        <v>-0.53446083104759001</v>
      </c>
      <c r="X219">
        <v>-0.40804429067029002</v>
      </c>
      <c r="Y219">
        <v>-0.56789545922357498</v>
      </c>
      <c r="Z219">
        <v>-0.94760790482486201</v>
      </c>
      <c r="AA219">
        <v>-1.0848673571571601</v>
      </c>
      <c r="AB219">
        <v>1770.5103102717287</v>
      </c>
      <c r="AC219">
        <v>0.28213528618230871</v>
      </c>
      <c r="AD219">
        <v>1.7130468298323378</v>
      </c>
      <c r="AE219">
        <v>-1.13486126839574</v>
      </c>
      <c r="AF219">
        <v>0.45786495178086101</v>
      </c>
      <c r="AG219">
        <v>9.5799443229176898E-2</v>
      </c>
      <c r="AH219">
        <v>-1.1703088353826501</v>
      </c>
      <c r="AI219">
        <v>-0.72325235234317298</v>
      </c>
      <c r="AJ219">
        <v>0.75777699824158895</v>
      </c>
      <c r="AK219">
        <v>47.330690599999997</v>
      </c>
      <c r="AL219">
        <v>2.8390453999999998</v>
      </c>
      <c r="AM219">
        <v>48.923999999999999</v>
      </c>
      <c r="AN219">
        <v>2.0270000000000001</v>
      </c>
    </row>
    <row r="220" spans="1:40" x14ac:dyDescent="0.35">
      <c r="A220">
        <v>289</v>
      </c>
      <c r="B220">
        <v>72</v>
      </c>
      <c r="C220" t="s">
        <v>40</v>
      </c>
      <c r="D220" t="s">
        <v>52</v>
      </c>
      <c r="E220" t="s">
        <v>42</v>
      </c>
      <c r="F220" t="s">
        <v>49</v>
      </c>
      <c r="G220">
        <v>4</v>
      </c>
      <c r="H220">
        <v>16</v>
      </c>
      <c r="I220">
        <v>3</v>
      </c>
      <c r="J220" t="s">
        <v>56</v>
      </c>
      <c r="K220" t="s">
        <v>46</v>
      </c>
      <c r="L220" t="s">
        <v>62</v>
      </c>
      <c r="M220">
        <v>132.17782472984331</v>
      </c>
      <c r="N220">
        <v>264</v>
      </c>
      <c r="O220">
        <v>170</v>
      </c>
      <c r="P220">
        <v>202</v>
      </c>
      <c r="Q220">
        <v>0.69314718055994529</v>
      </c>
      <c r="R220">
        <v>3.2580965380214821</v>
      </c>
      <c r="S220">
        <v>3.2580965380214821</v>
      </c>
      <c r="T220">
        <v>95.68</v>
      </c>
      <c r="U220">
        <v>0</v>
      </c>
      <c r="V220">
        <v>1.82802042479695</v>
      </c>
      <c r="W220">
        <v>0.99424279543483596</v>
      </c>
      <c r="X220">
        <v>0.99177342203587404</v>
      </c>
      <c r="Y220">
        <v>-0.96278755162326501</v>
      </c>
      <c r="Z220">
        <v>-0.75605764486205096</v>
      </c>
      <c r="AA220">
        <v>-0.80037586101695801</v>
      </c>
      <c r="AB220">
        <v>2092.91</v>
      </c>
      <c r="AC220">
        <v>0</v>
      </c>
      <c r="AD220">
        <v>2.1</v>
      </c>
      <c r="AE220">
        <v>-1.0768626388726401</v>
      </c>
      <c r="AF220">
        <v>-1.73812747784215</v>
      </c>
      <c r="AG220">
        <v>-0.32702203117059397</v>
      </c>
      <c r="AH220">
        <v>0.91043457714990506</v>
      </c>
      <c r="AI220">
        <v>-1.9033834118772901</v>
      </c>
      <c r="AJ220">
        <v>0.49874411296228399</v>
      </c>
      <c r="AK220">
        <v>49.042560999999999</v>
      </c>
      <c r="AL220">
        <v>3.9528660000000002</v>
      </c>
      <c r="AM220">
        <v>48.146999999999998</v>
      </c>
      <c r="AN220">
        <v>2.774</v>
      </c>
    </row>
    <row r="221" spans="1:40" x14ac:dyDescent="0.35">
      <c r="A221">
        <v>290</v>
      </c>
      <c r="B221">
        <v>72</v>
      </c>
      <c r="C221" t="s">
        <v>40</v>
      </c>
      <c r="D221" t="s">
        <v>52</v>
      </c>
      <c r="E221" t="s">
        <v>42</v>
      </c>
      <c r="F221" t="s">
        <v>49</v>
      </c>
      <c r="G221">
        <v>5</v>
      </c>
      <c r="H221">
        <v>25</v>
      </c>
      <c r="I221">
        <v>4</v>
      </c>
      <c r="J221" t="s">
        <v>56</v>
      </c>
      <c r="K221" t="s">
        <v>46</v>
      </c>
      <c r="L221" t="s">
        <v>55</v>
      </c>
      <c r="M221">
        <v>77.133068842991804</v>
      </c>
      <c r="N221">
        <v>230</v>
      </c>
      <c r="O221">
        <v>156</v>
      </c>
      <c r="P221">
        <v>129</v>
      </c>
      <c r="Q221">
        <v>2.0794415416798357</v>
      </c>
      <c r="R221">
        <v>2.3025850929940459</v>
      </c>
      <c r="S221">
        <v>3.2580965380214821</v>
      </c>
      <c r="T221">
        <v>95.12</v>
      </c>
      <c r="U221">
        <v>0</v>
      </c>
      <c r="V221">
        <v>1.89305099905856</v>
      </c>
      <c r="W221">
        <v>0.59880690621441701</v>
      </c>
      <c r="X221">
        <v>1.1856460040685599</v>
      </c>
      <c r="Y221">
        <v>-0.15565097555555901</v>
      </c>
      <c r="Z221">
        <v>-0.22748295097212001</v>
      </c>
      <c r="AA221">
        <v>1.0415013010201299</v>
      </c>
      <c r="AB221">
        <v>2939.9504036908884</v>
      </c>
      <c r="AC221">
        <v>2</v>
      </c>
      <c r="AD221">
        <v>0.42868127643214149</v>
      </c>
      <c r="AE221">
        <v>-2.40641039566141E-2</v>
      </c>
      <c r="AF221">
        <v>-0.65423640160855501</v>
      </c>
      <c r="AG221">
        <v>-0.113280671207656</v>
      </c>
      <c r="AH221">
        <v>0.53631141897506995</v>
      </c>
      <c r="AI221">
        <v>-9.70442971258135E-2</v>
      </c>
      <c r="AJ221">
        <v>0.53289496157635097</v>
      </c>
      <c r="AK221">
        <v>48.0777517</v>
      </c>
      <c r="AL221">
        <v>7.3579641000000002</v>
      </c>
      <c r="AM221">
        <v>48.75</v>
      </c>
      <c r="AN221">
        <v>7.1050000000000004</v>
      </c>
    </row>
    <row r="222" spans="1:40" x14ac:dyDescent="0.35">
      <c r="A222">
        <v>291</v>
      </c>
      <c r="B222">
        <v>72</v>
      </c>
      <c r="C222" t="s">
        <v>48</v>
      </c>
      <c r="D222" t="s">
        <v>52</v>
      </c>
      <c r="E222" t="s">
        <v>42</v>
      </c>
      <c r="F222" t="s">
        <v>49</v>
      </c>
      <c r="G222">
        <v>5</v>
      </c>
      <c r="H222">
        <v>25</v>
      </c>
      <c r="I222">
        <v>4</v>
      </c>
      <c r="J222" t="s">
        <v>56</v>
      </c>
      <c r="K222" t="s">
        <v>46</v>
      </c>
      <c r="L222" t="s">
        <v>58</v>
      </c>
      <c r="M222">
        <v>461.40033778994228</v>
      </c>
      <c r="N222">
        <v>570</v>
      </c>
      <c r="O222">
        <v>405</v>
      </c>
      <c r="P222">
        <v>249</v>
      </c>
      <c r="Q222">
        <v>3.2580965380214821</v>
      </c>
      <c r="R222">
        <v>2.8903717578961645</v>
      </c>
      <c r="S222">
        <v>4.7535901911063645</v>
      </c>
      <c r="T222">
        <v>90.794285714285706</v>
      </c>
      <c r="U222">
        <v>0</v>
      </c>
      <c r="V222">
        <v>0.63905639120027702</v>
      </c>
      <c r="W222">
        <v>0.692565001186083</v>
      </c>
      <c r="X222">
        <v>0.56469097254324596</v>
      </c>
      <c r="Y222">
        <v>1.4483117406157899</v>
      </c>
      <c r="Z222">
        <v>1.7680602694732599</v>
      </c>
      <c r="AA222">
        <v>0.26366440732357699</v>
      </c>
      <c r="AB222">
        <v>4236</v>
      </c>
      <c r="AC222">
        <v>0</v>
      </c>
      <c r="AD222">
        <v>4</v>
      </c>
      <c r="AE222">
        <v>1.6751267091712101</v>
      </c>
      <c r="AF222">
        <v>1.1824138270259501</v>
      </c>
      <c r="AG222">
        <v>-0.23008828733183101</v>
      </c>
      <c r="AH222">
        <v>-0.104289350913434</v>
      </c>
      <c r="AI222">
        <v>0.61531408119892705</v>
      </c>
      <c r="AJ222">
        <v>-0.340691734971386</v>
      </c>
      <c r="AK222">
        <v>45.198478000000001</v>
      </c>
      <c r="AL222">
        <v>-0.74874399999999997</v>
      </c>
      <c r="AM222">
        <v>48.79</v>
      </c>
      <c r="AN222">
        <v>2.2869999999999999</v>
      </c>
    </row>
    <row r="223" spans="1:40" x14ac:dyDescent="0.35">
      <c r="A223">
        <v>292</v>
      </c>
      <c r="B223">
        <v>72</v>
      </c>
      <c r="C223" t="s">
        <v>40</v>
      </c>
      <c r="D223" t="s">
        <v>52</v>
      </c>
      <c r="E223" t="s">
        <v>42</v>
      </c>
      <c r="F223" t="s">
        <v>49</v>
      </c>
      <c r="G223">
        <v>5</v>
      </c>
      <c r="H223">
        <v>25</v>
      </c>
      <c r="I223">
        <v>6</v>
      </c>
      <c r="J223" t="s">
        <v>50</v>
      </c>
      <c r="K223" t="s">
        <v>46</v>
      </c>
      <c r="L223" t="s">
        <v>65</v>
      </c>
      <c r="M223">
        <v>44.22919418887129</v>
      </c>
      <c r="N223">
        <v>88</v>
      </c>
      <c r="O223">
        <v>65</v>
      </c>
      <c r="P223">
        <v>125</v>
      </c>
      <c r="Q223">
        <v>0</v>
      </c>
      <c r="R223">
        <v>0</v>
      </c>
      <c r="S223">
        <v>4.4543472962535073</v>
      </c>
      <c r="T223">
        <v>89.333044733044744</v>
      </c>
      <c r="U223">
        <v>1.2554235437523662</v>
      </c>
      <c r="V223">
        <v>1.64975517953679</v>
      </c>
      <c r="W223">
        <v>2.4220969657957299</v>
      </c>
      <c r="X223">
        <v>1.68128863126442</v>
      </c>
      <c r="Y223">
        <v>2.0553398017137301</v>
      </c>
      <c r="Z223">
        <v>2.0921400018840099</v>
      </c>
      <c r="AA223">
        <v>2.0596698968962701</v>
      </c>
      <c r="AB223">
        <v>3262.71</v>
      </c>
      <c r="AC223">
        <v>0.33</v>
      </c>
      <c r="AD223">
        <v>0.66</v>
      </c>
      <c r="AE223">
        <v>1.9221838973381</v>
      </c>
      <c r="AF223">
        <v>0.562441931562501</v>
      </c>
      <c r="AG223">
        <v>1.21878325541305</v>
      </c>
      <c r="AH223">
        <v>-0.54506449774312205</v>
      </c>
      <c r="AI223">
        <v>0.21434900839855101</v>
      </c>
      <c r="AJ223">
        <v>0.40288525600778202</v>
      </c>
      <c r="AK223">
        <v>43.537466000000002</v>
      </c>
      <c r="AL223">
        <v>6.4627330000000001</v>
      </c>
      <c r="AM223">
        <v>43.551072400000002</v>
      </c>
      <c r="AN223">
        <v>7.0105560000000002</v>
      </c>
    </row>
    <row r="224" spans="1:40" x14ac:dyDescent="0.35">
      <c r="A224">
        <v>296</v>
      </c>
      <c r="B224">
        <v>57</v>
      </c>
      <c r="C224" t="s">
        <v>40</v>
      </c>
      <c r="D224" t="s">
        <v>41</v>
      </c>
      <c r="E224" t="s">
        <v>42</v>
      </c>
      <c r="F224" t="s">
        <v>49</v>
      </c>
      <c r="G224">
        <v>4</v>
      </c>
      <c r="H224">
        <v>16</v>
      </c>
      <c r="I224">
        <v>4</v>
      </c>
      <c r="J224" t="s">
        <v>56</v>
      </c>
      <c r="K224" t="s">
        <v>46</v>
      </c>
      <c r="L224" t="s">
        <v>62</v>
      </c>
      <c r="M224">
        <v>129.79841319417551</v>
      </c>
      <c r="N224">
        <v>167</v>
      </c>
      <c r="O224">
        <v>120</v>
      </c>
      <c r="P224">
        <v>109</v>
      </c>
      <c r="Q224">
        <v>0.69314718055994529</v>
      </c>
      <c r="R224">
        <v>3.2580965380214821</v>
      </c>
      <c r="S224">
        <v>3.2580965380214821</v>
      </c>
      <c r="T224">
        <v>95.68</v>
      </c>
      <c r="U224">
        <v>0</v>
      </c>
      <c r="V224">
        <v>1.82802042479695</v>
      </c>
      <c r="W224">
        <v>0.99424279543483596</v>
      </c>
      <c r="X224">
        <v>0.99177342203587404</v>
      </c>
      <c r="Y224">
        <v>-0.96278755162326501</v>
      </c>
      <c r="Z224">
        <v>-0.75605764486205096</v>
      </c>
      <c r="AA224">
        <v>-0.80037586101695801</v>
      </c>
      <c r="AB224">
        <v>2092.91</v>
      </c>
      <c r="AC224">
        <v>0</v>
      </c>
      <c r="AD224">
        <v>2.1</v>
      </c>
      <c r="AE224">
        <v>-1.0768626388726401</v>
      </c>
      <c r="AF224">
        <v>1.48743809513158</v>
      </c>
      <c r="AG224">
        <v>0.19535272125778899</v>
      </c>
      <c r="AH224">
        <v>0.50041370652949202</v>
      </c>
      <c r="AI224">
        <v>0.44835898844092698</v>
      </c>
      <c r="AJ224">
        <v>0.49635886716858801</v>
      </c>
      <c r="AK224">
        <v>49.042560999999999</v>
      </c>
      <c r="AL224">
        <v>3.9528660000000002</v>
      </c>
      <c r="AM224">
        <v>48.822000000000003</v>
      </c>
      <c r="AN224">
        <v>2.21</v>
      </c>
    </row>
    <row r="225" spans="1:40" x14ac:dyDescent="0.35">
      <c r="A225">
        <v>298</v>
      </c>
      <c r="B225">
        <v>72</v>
      </c>
      <c r="C225" t="s">
        <v>40</v>
      </c>
      <c r="D225" t="s">
        <v>52</v>
      </c>
      <c r="E225" t="s">
        <v>42</v>
      </c>
      <c r="F225" t="s">
        <v>49</v>
      </c>
      <c r="G225">
        <v>4</v>
      </c>
      <c r="H225">
        <v>16</v>
      </c>
      <c r="I225">
        <v>7</v>
      </c>
      <c r="J225" t="s">
        <v>56</v>
      </c>
      <c r="K225" t="s">
        <v>46</v>
      </c>
      <c r="L225" t="s">
        <v>60</v>
      </c>
      <c r="M225">
        <v>190.50307825737261</v>
      </c>
      <c r="N225">
        <v>216</v>
      </c>
      <c r="O225">
        <v>162</v>
      </c>
      <c r="P225">
        <v>144</v>
      </c>
      <c r="Q225">
        <v>3.8501476017100584</v>
      </c>
      <c r="R225">
        <v>2.9957322735539909</v>
      </c>
      <c r="S225">
        <v>5.4424177105217932</v>
      </c>
      <c r="T225">
        <v>88.975873222691746</v>
      </c>
      <c r="U225">
        <v>2.5514539469641888</v>
      </c>
      <c r="V225">
        <v>2.9336799326863701</v>
      </c>
      <c r="W225">
        <v>3.3730943146768602</v>
      </c>
      <c r="X225">
        <v>3.6072071704345601</v>
      </c>
      <c r="Y225">
        <v>-0.19189497559235799</v>
      </c>
      <c r="Z225">
        <v>0.17569111512999699</v>
      </c>
      <c r="AA225">
        <v>-0.304970615080496</v>
      </c>
      <c r="AB225">
        <v>1906.836709612184</v>
      </c>
      <c r="AC225">
        <v>0.7978420820676605</v>
      </c>
      <c r="AD225">
        <v>2.1056638128240834</v>
      </c>
      <c r="AE225">
        <v>-0.25037207080954499</v>
      </c>
      <c r="AF225">
        <v>-0.51483051607586405</v>
      </c>
      <c r="AG225">
        <v>-1.90396793730396</v>
      </c>
      <c r="AH225">
        <v>-0.61688610442751601</v>
      </c>
      <c r="AI225">
        <v>-1.55055550420396</v>
      </c>
      <c r="AJ225">
        <v>1.4216101618721999</v>
      </c>
      <c r="AK225">
        <v>44.055988999999997</v>
      </c>
      <c r="AL225">
        <v>4.8317350000000001</v>
      </c>
      <c r="AM225">
        <v>45.767306300000001</v>
      </c>
      <c r="AN225">
        <v>4.8343065000000003</v>
      </c>
    </row>
    <row r="226" spans="1:40" x14ac:dyDescent="0.35">
      <c r="A226">
        <v>300</v>
      </c>
      <c r="B226">
        <v>57</v>
      </c>
      <c r="C226" t="s">
        <v>40</v>
      </c>
      <c r="D226" t="s">
        <v>52</v>
      </c>
      <c r="E226" t="s">
        <v>42</v>
      </c>
      <c r="F226" t="s">
        <v>43</v>
      </c>
      <c r="G226">
        <v>7</v>
      </c>
      <c r="H226">
        <v>49</v>
      </c>
      <c r="I226">
        <v>5</v>
      </c>
      <c r="J226" t="s">
        <v>50</v>
      </c>
      <c r="K226" t="s">
        <v>46</v>
      </c>
      <c r="L226" t="s">
        <v>65</v>
      </c>
      <c r="M226">
        <v>592.08157198479364</v>
      </c>
      <c r="N226">
        <v>740</v>
      </c>
      <c r="O226">
        <v>390</v>
      </c>
      <c r="P226">
        <v>549</v>
      </c>
      <c r="Q226">
        <v>0</v>
      </c>
      <c r="R226">
        <v>0</v>
      </c>
      <c r="S226">
        <v>4.4543472962535073</v>
      </c>
      <c r="T226">
        <v>89.333044733044744</v>
      </c>
      <c r="U226">
        <v>1.2554235437523662</v>
      </c>
      <c r="V226">
        <v>1.64975517953679</v>
      </c>
      <c r="W226">
        <v>2.4220969657957299</v>
      </c>
      <c r="X226">
        <v>1.68128863126442</v>
      </c>
      <c r="Y226">
        <v>2.0553398017137301</v>
      </c>
      <c r="Z226">
        <v>2.0921400018840099</v>
      </c>
      <c r="AA226">
        <v>2.0596698968962701</v>
      </c>
      <c r="AB226">
        <v>3262.71</v>
      </c>
      <c r="AC226">
        <v>0.33</v>
      </c>
      <c r="AD226">
        <v>0.66</v>
      </c>
      <c r="AE226">
        <v>1.9221838973381</v>
      </c>
      <c r="AF226">
        <v>-0.499325574149802</v>
      </c>
      <c r="AG226">
        <v>-0.10754367998231899</v>
      </c>
      <c r="AH226">
        <v>0.89985837509630795</v>
      </c>
      <c r="AI226">
        <v>0.78998744910883301</v>
      </c>
      <c r="AJ226">
        <v>-0.82108727695421102</v>
      </c>
      <c r="AK226">
        <v>43.537466000000002</v>
      </c>
      <c r="AL226">
        <v>6.4627330000000001</v>
      </c>
      <c r="AM226">
        <v>45.160666666666671</v>
      </c>
      <c r="AN226">
        <v>-0.62340000000000007</v>
      </c>
    </row>
    <row r="227" spans="1:40" x14ac:dyDescent="0.35">
      <c r="A227">
        <v>301</v>
      </c>
      <c r="B227">
        <v>42</v>
      </c>
      <c r="C227" t="s">
        <v>40</v>
      </c>
      <c r="D227" t="s">
        <v>41</v>
      </c>
      <c r="E227" t="s">
        <v>42</v>
      </c>
      <c r="F227" t="s">
        <v>43</v>
      </c>
      <c r="G227">
        <v>5</v>
      </c>
      <c r="H227">
        <v>25</v>
      </c>
      <c r="I227">
        <v>7</v>
      </c>
      <c r="J227" t="s">
        <v>56</v>
      </c>
      <c r="K227" t="s">
        <v>46</v>
      </c>
      <c r="L227" t="s">
        <v>69</v>
      </c>
      <c r="M227">
        <v>277.97616520664297</v>
      </c>
      <c r="N227">
        <v>346</v>
      </c>
      <c r="O227">
        <v>190</v>
      </c>
      <c r="P227">
        <v>154</v>
      </c>
      <c r="Q227">
        <v>2.3978952727983707</v>
      </c>
      <c r="R227">
        <v>4.5538768916005408</v>
      </c>
      <c r="S227">
        <v>5.4847969334906548</v>
      </c>
      <c r="T227">
        <v>93.296000000000006</v>
      </c>
      <c r="U227">
        <v>2.2325431437911538</v>
      </c>
      <c r="V227">
        <v>-0.44922684044461197</v>
      </c>
      <c r="W227">
        <v>-0.76855194782346203</v>
      </c>
      <c r="X227">
        <v>-0.44700324392789598</v>
      </c>
      <c r="Y227">
        <v>-0.846122564821426</v>
      </c>
      <c r="Z227">
        <v>-0.92679578564836795</v>
      </c>
      <c r="AA227">
        <v>0.86332342905974202</v>
      </c>
      <c r="AB227">
        <v>2050</v>
      </c>
      <c r="AC227">
        <v>1</v>
      </c>
      <c r="AD227">
        <v>2</v>
      </c>
      <c r="AE227">
        <v>-0.51011828243844404</v>
      </c>
      <c r="AF227">
        <v>1.5460613518814501</v>
      </c>
      <c r="AG227">
        <v>1.0797383975188599</v>
      </c>
      <c r="AH227">
        <v>0.82580291285532803</v>
      </c>
      <c r="AI227">
        <v>1.7963615084925799</v>
      </c>
      <c r="AJ227">
        <v>-0.84187742765479001</v>
      </c>
      <c r="AK227">
        <v>47.177235000000003</v>
      </c>
      <c r="AL227">
        <v>4.964315</v>
      </c>
      <c r="AM227">
        <v>48.884000000000007</v>
      </c>
      <c r="AN227">
        <v>2.238</v>
      </c>
    </row>
    <row r="228" spans="1:40" x14ac:dyDescent="0.35">
      <c r="A228">
        <v>302</v>
      </c>
      <c r="B228">
        <v>72</v>
      </c>
      <c r="C228" t="s">
        <v>40</v>
      </c>
      <c r="D228" t="s">
        <v>52</v>
      </c>
      <c r="E228" t="s">
        <v>42</v>
      </c>
      <c r="F228" t="s">
        <v>49</v>
      </c>
      <c r="G228">
        <v>5</v>
      </c>
      <c r="H228">
        <v>25</v>
      </c>
      <c r="I228">
        <v>4</v>
      </c>
      <c r="J228" t="s">
        <v>50</v>
      </c>
      <c r="K228" t="s">
        <v>46</v>
      </c>
      <c r="L228" t="s">
        <v>55</v>
      </c>
      <c r="M228">
        <v>46.412523389695799</v>
      </c>
      <c r="N228">
        <v>90</v>
      </c>
      <c r="O228">
        <v>106</v>
      </c>
      <c r="P228">
        <v>173</v>
      </c>
      <c r="Q228">
        <v>2.0794415416798357</v>
      </c>
      <c r="R228">
        <v>2.3025850929940459</v>
      </c>
      <c r="S228">
        <v>3.2580965380214821</v>
      </c>
      <c r="T228">
        <v>95.12</v>
      </c>
      <c r="U228">
        <v>0</v>
      </c>
      <c r="V228">
        <v>1.89305099905856</v>
      </c>
      <c r="W228">
        <v>0.59880690621441701</v>
      </c>
      <c r="X228">
        <v>1.1856460040685599</v>
      </c>
      <c r="Y228">
        <v>-0.15565097555555901</v>
      </c>
      <c r="Z228">
        <v>-0.22748295097212001</v>
      </c>
      <c r="AA228">
        <v>1.0415013010201299</v>
      </c>
      <c r="AB228">
        <v>2939.9504036908884</v>
      </c>
      <c r="AC228">
        <v>2</v>
      </c>
      <c r="AD228">
        <v>0.42868127643214149</v>
      </c>
      <c r="AE228">
        <v>-2.40641039566141E-2</v>
      </c>
      <c r="AF228">
        <v>1.8885102766784574E-2</v>
      </c>
      <c r="AG228">
        <v>-0.11752116111321646</v>
      </c>
      <c r="AH228">
        <v>0.8902937896032842</v>
      </c>
      <c r="AI228">
        <v>0.88763152891902397</v>
      </c>
      <c r="AJ228">
        <v>-0.200619060706686</v>
      </c>
      <c r="AK228">
        <v>48.0777517</v>
      </c>
      <c r="AL228">
        <v>7.3579641000000002</v>
      </c>
      <c r="AM228">
        <v>48.32180000000001</v>
      </c>
      <c r="AN228">
        <v>6.8507999999999996</v>
      </c>
    </row>
    <row r="229" spans="1:40" x14ac:dyDescent="0.35">
      <c r="A229">
        <v>303</v>
      </c>
      <c r="B229">
        <v>72</v>
      </c>
      <c r="C229" t="s">
        <v>40</v>
      </c>
      <c r="D229" t="s">
        <v>52</v>
      </c>
      <c r="E229" t="s">
        <v>68</v>
      </c>
      <c r="F229" t="s">
        <v>49</v>
      </c>
      <c r="G229">
        <v>5</v>
      </c>
      <c r="H229">
        <v>25</v>
      </c>
      <c r="I229">
        <v>7</v>
      </c>
      <c r="J229" t="s">
        <v>56</v>
      </c>
      <c r="K229" t="s">
        <v>46</v>
      </c>
      <c r="L229" t="s">
        <v>55</v>
      </c>
      <c r="M229">
        <v>345.8268988977585</v>
      </c>
      <c r="N229">
        <v>504</v>
      </c>
      <c r="O229">
        <v>336</v>
      </c>
      <c r="P229">
        <v>293</v>
      </c>
      <c r="Q229">
        <v>2.0794415416798357</v>
      </c>
      <c r="R229">
        <v>2.3025850929940459</v>
      </c>
      <c r="S229">
        <v>3.2580965380214821</v>
      </c>
      <c r="T229">
        <v>95.12</v>
      </c>
      <c r="U229">
        <v>0</v>
      </c>
      <c r="V229">
        <v>1.89305099905856</v>
      </c>
      <c r="W229">
        <v>0.59880690621441701</v>
      </c>
      <c r="X229">
        <v>1.1856460040685599</v>
      </c>
      <c r="Y229">
        <v>-0.15565097555555901</v>
      </c>
      <c r="Z229">
        <v>-0.22748295097212001</v>
      </c>
      <c r="AA229">
        <v>1.0415013010201299</v>
      </c>
      <c r="AB229">
        <v>2939.9504036908884</v>
      </c>
      <c r="AC229">
        <v>2</v>
      </c>
      <c r="AD229">
        <v>0.42868127643214149</v>
      </c>
      <c r="AE229">
        <v>-2.40641039566141E-2</v>
      </c>
      <c r="AF229">
        <v>0.73144219273731503</v>
      </c>
      <c r="AG229">
        <v>1.08799156813118</v>
      </c>
      <c r="AH229">
        <v>0.56756830853141804</v>
      </c>
      <c r="AI229">
        <v>-6.5097830595770803E-2</v>
      </c>
      <c r="AJ229">
        <v>0.78889413770137296</v>
      </c>
      <c r="AK229">
        <v>48.0777517</v>
      </c>
      <c r="AL229">
        <v>7.3579641000000002</v>
      </c>
      <c r="AM229">
        <v>50.640682937000001</v>
      </c>
      <c r="AN229">
        <v>4.6610704270000003</v>
      </c>
    </row>
    <row r="230" spans="1:40" x14ac:dyDescent="0.35">
      <c r="A230">
        <v>305</v>
      </c>
      <c r="B230">
        <v>42</v>
      </c>
      <c r="C230" t="s">
        <v>48</v>
      </c>
      <c r="D230" t="s">
        <v>41</v>
      </c>
      <c r="E230" t="s">
        <v>42</v>
      </c>
      <c r="F230" t="s">
        <v>49</v>
      </c>
      <c r="G230">
        <v>5</v>
      </c>
      <c r="H230">
        <v>25</v>
      </c>
      <c r="I230">
        <v>4</v>
      </c>
      <c r="J230" t="s">
        <v>56</v>
      </c>
      <c r="K230" t="s">
        <v>46</v>
      </c>
      <c r="L230" t="s">
        <v>55</v>
      </c>
      <c r="M230">
        <v>4.1143507696704136</v>
      </c>
      <c r="N230">
        <v>0</v>
      </c>
      <c r="O230">
        <v>0</v>
      </c>
      <c r="P230">
        <v>0</v>
      </c>
      <c r="Q230">
        <v>2.0794415416798357</v>
      </c>
      <c r="R230">
        <v>2.3025850929940459</v>
      </c>
      <c r="S230">
        <v>3.2580965380214821</v>
      </c>
      <c r="T230">
        <v>95.12</v>
      </c>
      <c r="U230">
        <v>0</v>
      </c>
      <c r="V230">
        <v>1.89305099905856</v>
      </c>
      <c r="W230">
        <v>0.59880690621441701</v>
      </c>
      <c r="X230">
        <v>1.1856460040685599</v>
      </c>
      <c r="Y230">
        <v>-0.15565097555555901</v>
      </c>
      <c r="Z230">
        <v>-0.22748295097212001</v>
      </c>
      <c r="AA230">
        <v>1.0415013010201299</v>
      </c>
      <c r="AB230">
        <v>2939.9504036908884</v>
      </c>
      <c r="AC230">
        <v>2</v>
      </c>
      <c r="AD230">
        <v>0.42868127643214149</v>
      </c>
      <c r="AE230">
        <v>-2.40641039566141E-2</v>
      </c>
      <c r="AF230">
        <v>1.4702967623132801</v>
      </c>
      <c r="AG230">
        <v>-0.51871785848214502</v>
      </c>
      <c r="AH230">
        <v>-0.82426834077341904</v>
      </c>
      <c r="AI230">
        <v>1.1235263941879401</v>
      </c>
      <c r="AJ230">
        <v>-0.95195759624614096</v>
      </c>
      <c r="AK230">
        <v>48.0777517</v>
      </c>
      <c r="AL230">
        <v>7.3579641000000002</v>
      </c>
      <c r="AM230">
        <v>48.110000000000007</v>
      </c>
      <c r="AN230">
        <v>7.3849999999999989</v>
      </c>
    </row>
    <row r="231" spans="1:40" x14ac:dyDescent="0.35">
      <c r="A231">
        <v>306</v>
      </c>
      <c r="B231">
        <v>72</v>
      </c>
      <c r="C231" t="s">
        <v>40</v>
      </c>
      <c r="D231" t="s">
        <v>52</v>
      </c>
      <c r="E231" t="s">
        <v>42</v>
      </c>
      <c r="F231" t="s">
        <v>49</v>
      </c>
      <c r="G231">
        <v>5</v>
      </c>
      <c r="H231">
        <v>25</v>
      </c>
      <c r="I231">
        <v>5</v>
      </c>
      <c r="J231" t="s">
        <v>56</v>
      </c>
      <c r="K231" t="s">
        <v>46</v>
      </c>
      <c r="L231" t="s">
        <v>51</v>
      </c>
      <c r="M231">
        <v>598.90051234420287</v>
      </c>
      <c r="N231">
        <v>702</v>
      </c>
      <c r="O231">
        <v>432</v>
      </c>
      <c r="P231">
        <v>826</v>
      </c>
      <c r="Q231">
        <v>0</v>
      </c>
      <c r="R231">
        <v>1.3862943611198906</v>
      </c>
      <c r="S231">
        <v>4.3438054218536841</v>
      </c>
      <c r="T231">
        <v>91.16</v>
      </c>
      <c r="U231">
        <v>2.3174698847378039</v>
      </c>
      <c r="V231">
        <v>-0.58471966768986094</v>
      </c>
      <c r="W231">
        <v>-0.55557078097057</v>
      </c>
      <c r="X231">
        <v>-0.47566183223429498</v>
      </c>
      <c r="Y231">
        <v>-0.95884680312505799</v>
      </c>
      <c r="Z231">
        <v>-0.76521334103430205</v>
      </c>
      <c r="AA231">
        <v>-0.77245900699560299</v>
      </c>
      <c r="AB231">
        <v>1376</v>
      </c>
      <c r="AC231">
        <v>0</v>
      </c>
      <c r="AD231">
        <v>2</v>
      </c>
      <c r="AE231">
        <v>-1.2769936012368599</v>
      </c>
      <c r="AF231">
        <v>-1.3299283277081499</v>
      </c>
      <c r="AG231">
        <v>0.63834719497006698</v>
      </c>
      <c r="AH231">
        <v>0.90742295269811402</v>
      </c>
      <c r="AI231">
        <v>-1.13247088949518</v>
      </c>
      <c r="AJ231">
        <v>1.38267149976363</v>
      </c>
      <c r="AK231">
        <v>47.815207299999997</v>
      </c>
      <c r="AL231">
        <v>3.8001657</v>
      </c>
      <c r="AM231">
        <v>48.35285714285714</v>
      </c>
      <c r="AN231">
        <v>-4.2167142857142865</v>
      </c>
    </row>
    <row r="232" spans="1:40" x14ac:dyDescent="0.35">
      <c r="A232">
        <v>307</v>
      </c>
      <c r="B232">
        <v>42</v>
      </c>
      <c r="C232" t="s">
        <v>40</v>
      </c>
      <c r="D232" t="s">
        <v>66</v>
      </c>
      <c r="E232" t="s">
        <v>42</v>
      </c>
      <c r="F232" t="s">
        <v>49</v>
      </c>
      <c r="G232">
        <v>5</v>
      </c>
      <c r="H232">
        <v>25</v>
      </c>
      <c r="I232">
        <v>3</v>
      </c>
      <c r="J232" t="s">
        <v>56</v>
      </c>
      <c r="K232" t="s">
        <v>46</v>
      </c>
      <c r="L232" t="s">
        <v>60</v>
      </c>
      <c r="M232">
        <v>608.94627718483957</v>
      </c>
      <c r="N232">
        <v>892</v>
      </c>
      <c r="O232">
        <v>541</v>
      </c>
      <c r="P232">
        <v>763</v>
      </c>
      <c r="Q232">
        <v>3.8501476017100584</v>
      </c>
      <c r="R232">
        <v>2.9957322735539909</v>
      </c>
      <c r="S232">
        <v>5.4424177105217932</v>
      </c>
      <c r="T232">
        <v>88.975873222691746</v>
      </c>
      <c r="U232">
        <v>2.5514539469641888</v>
      </c>
      <c r="V232">
        <v>2.9336799326863701</v>
      </c>
      <c r="W232">
        <v>3.3730943146768602</v>
      </c>
      <c r="X232">
        <v>3.6072071704345601</v>
      </c>
      <c r="Y232">
        <v>-0.19189497559235799</v>
      </c>
      <c r="Z232">
        <v>0.17569111512999699</v>
      </c>
      <c r="AA232">
        <v>-0.304970615080496</v>
      </c>
      <c r="AB232">
        <v>1906.836709612184</v>
      </c>
      <c r="AC232">
        <v>0.7978420820676605</v>
      </c>
      <c r="AD232">
        <v>2.1056638128240834</v>
      </c>
      <c r="AE232">
        <v>-0.25037207080954499</v>
      </c>
      <c r="AF232">
        <v>2.14593601982715</v>
      </c>
      <c r="AG232">
        <v>-0.89212508741974605</v>
      </c>
      <c r="AH232">
        <v>-0.88916624158534996</v>
      </c>
      <c r="AI232">
        <v>-0.39449222603502598</v>
      </c>
      <c r="AJ232">
        <v>0.38673326203819303</v>
      </c>
      <c r="AK232">
        <v>44.055988999999997</v>
      </c>
      <c r="AL232">
        <v>4.8317350000000001</v>
      </c>
      <c r="AM232">
        <v>47.218264099999999</v>
      </c>
      <c r="AN232">
        <v>-1.5571805000000001</v>
      </c>
    </row>
    <row r="233" spans="1:40" x14ac:dyDescent="0.35">
      <c r="A233">
        <v>309</v>
      </c>
      <c r="B233">
        <v>72</v>
      </c>
      <c r="C233" t="s">
        <v>48</v>
      </c>
      <c r="D233" t="s">
        <v>52</v>
      </c>
      <c r="E233" t="s">
        <v>42</v>
      </c>
      <c r="F233" t="s">
        <v>43</v>
      </c>
      <c r="G233">
        <v>4</v>
      </c>
      <c r="H233">
        <v>16</v>
      </c>
      <c r="I233">
        <v>2</v>
      </c>
      <c r="J233" t="s">
        <v>50</v>
      </c>
      <c r="K233" t="s">
        <v>46</v>
      </c>
      <c r="L233" t="s">
        <v>51</v>
      </c>
      <c r="M233">
        <v>149.4471820016862</v>
      </c>
      <c r="N233">
        <v>184</v>
      </c>
      <c r="O233">
        <v>141</v>
      </c>
      <c r="P233">
        <v>188</v>
      </c>
      <c r="Q233">
        <v>0</v>
      </c>
      <c r="R233">
        <v>1.3862943611198906</v>
      </c>
      <c r="S233">
        <v>4.3438054218536841</v>
      </c>
      <c r="T233">
        <v>91.16</v>
      </c>
      <c r="U233">
        <v>2.3174698847378039</v>
      </c>
      <c r="V233">
        <v>-0.58471966768986094</v>
      </c>
      <c r="W233">
        <v>-0.55557078097057</v>
      </c>
      <c r="X233">
        <v>-0.47566183223429498</v>
      </c>
      <c r="Y233">
        <v>-0.95884680312505799</v>
      </c>
      <c r="Z233">
        <v>-0.76521334103430205</v>
      </c>
      <c r="AA233">
        <v>-0.77245900699560299</v>
      </c>
      <c r="AB233">
        <v>1376</v>
      </c>
      <c r="AC233">
        <v>0</v>
      </c>
      <c r="AD233">
        <v>2</v>
      </c>
      <c r="AE233">
        <v>-1.2769936012368599</v>
      </c>
      <c r="AF233">
        <v>0.59555154671713695</v>
      </c>
      <c r="AG233">
        <v>-0.35435065004343502</v>
      </c>
      <c r="AH233">
        <v>0.729613947631641</v>
      </c>
      <c r="AI233">
        <v>-1.84674464420589E-3</v>
      </c>
      <c r="AJ233">
        <v>-0.64520687109367003</v>
      </c>
      <c r="AK233">
        <v>47.815207299999997</v>
      </c>
      <c r="AL233">
        <v>3.8001657</v>
      </c>
      <c r="AM233">
        <v>48.80599999999999</v>
      </c>
      <c r="AN233">
        <v>2.4380000000000002</v>
      </c>
    </row>
    <row r="234" spans="1:40" x14ac:dyDescent="0.35">
      <c r="A234">
        <v>310</v>
      </c>
      <c r="B234">
        <v>72</v>
      </c>
      <c r="C234" t="s">
        <v>40</v>
      </c>
      <c r="D234" t="s">
        <v>52</v>
      </c>
      <c r="E234" t="s">
        <v>42</v>
      </c>
      <c r="F234" t="s">
        <v>61</v>
      </c>
      <c r="G234">
        <v>6</v>
      </c>
      <c r="H234">
        <v>36</v>
      </c>
      <c r="I234">
        <v>4</v>
      </c>
      <c r="J234" t="s">
        <v>56</v>
      </c>
      <c r="K234" t="s">
        <v>46</v>
      </c>
      <c r="L234" t="s">
        <v>47</v>
      </c>
      <c r="M234">
        <v>812.58710324002868</v>
      </c>
      <c r="N234">
        <v>972</v>
      </c>
      <c r="O234">
        <v>619</v>
      </c>
      <c r="P234">
        <v>345</v>
      </c>
      <c r="Q234">
        <v>5.9107966440405271</v>
      </c>
      <c r="R234">
        <v>6.4997870406558542</v>
      </c>
      <c r="S234">
        <v>8.6415324656718457</v>
      </c>
      <c r="T234">
        <v>89.265350482850479</v>
      </c>
      <c r="U234">
        <v>1.4417786561042019</v>
      </c>
      <c r="V234">
        <v>-0.22886708829074301</v>
      </c>
      <c r="W234">
        <v>0.28745285629339301</v>
      </c>
      <c r="X234">
        <v>-0.15627425222847</v>
      </c>
      <c r="Y234">
        <v>1.45226138127617</v>
      </c>
      <c r="Z234">
        <v>0.98247225355557</v>
      </c>
      <c r="AA234">
        <v>0.627775520474398</v>
      </c>
      <c r="AB234">
        <v>3362.2959371744532</v>
      </c>
      <c r="AC234">
        <v>2.8998317172850387</v>
      </c>
      <c r="AD234">
        <v>2.9499158586425196</v>
      </c>
      <c r="AE234">
        <v>1.06273170356322</v>
      </c>
      <c r="AF234">
        <v>-0.34458018392029899</v>
      </c>
      <c r="AG234">
        <v>1.1001347491998801</v>
      </c>
      <c r="AH234">
        <v>0.70648334936817903</v>
      </c>
      <c r="AI234">
        <v>1.3219832074479667</v>
      </c>
      <c r="AJ234">
        <v>1.398879301543736</v>
      </c>
      <c r="AK234">
        <v>43.3535629403058</v>
      </c>
      <c r="AL234">
        <v>3.21615314793977</v>
      </c>
      <c r="AM234">
        <v>50.652000000000008</v>
      </c>
      <c r="AN234">
        <v>3.0249999999999999</v>
      </c>
    </row>
    <row r="235" spans="1:40" x14ac:dyDescent="0.35">
      <c r="A235">
        <v>311</v>
      </c>
      <c r="B235">
        <v>57</v>
      </c>
      <c r="C235" t="s">
        <v>40</v>
      </c>
      <c r="D235" t="s">
        <v>41</v>
      </c>
      <c r="E235" t="s">
        <v>42</v>
      </c>
      <c r="F235" t="s">
        <v>49</v>
      </c>
      <c r="G235">
        <v>5</v>
      </c>
      <c r="H235">
        <v>25</v>
      </c>
      <c r="I235">
        <v>5</v>
      </c>
      <c r="J235" t="s">
        <v>56</v>
      </c>
      <c r="K235" t="s">
        <v>46</v>
      </c>
      <c r="L235" t="s">
        <v>54</v>
      </c>
      <c r="M235">
        <v>41.85326335204708</v>
      </c>
      <c r="N235">
        <v>36</v>
      </c>
      <c r="O235">
        <v>49</v>
      </c>
      <c r="P235">
        <v>22</v>
      </c>
      <c r="Q235">
        <v>3.9889840465642745</v>
      </c>
      <c r="R235">
        <v>3.0910424533583161</v>
      </c>
      <c r="S235">
        <v>4.1271343850450917</v>
      </c>
      <c r="T235">
        <v>92.826666666666668</v>
      </c>
      <c r="U235">
        <v>2.9827057067926286</v>
      </c>
      <c r="V235">
        <v>-0.16604708794949699</v>
      </c>
      <c r="W235">
        <v>-0.150727876652859</v>
      </c>
      <c r="X235">
        <v>-0.19602043866096</v>
      </c>
      <c r="Y235">
        <v>1.4483117406157899</v>
      </c>
      <c r="Z235">
        <v>1.7680602694732599</v>
      </c>
      <c r="AA235">
        <v>0.26366440732357699</v>
      </c>
      <c r="AB235">
        <v>4236</v>
      </c>
      <c r="AC235">
        <v>0</v>
      </c>
      <c r="AD235">
        <v>4</v>
      </c>
      <c r="AE235">
        <v>1.6751267091712101</v>
      </c>
      <c r="AF235">
        <v>0.82135049024087103</v>
      </c>
      <c r="AG235">
        <v>1.0066888526197899</v>
      </c>
      <c r="AH235">
        <v>0.93132326528188503</v>
      </c>
      <c r="AI235">
        <v>0.43741929586274497</v>
      </c>
      <c r="AJ235">
        <v>0.69767343747786004</v>
      </c>
      <c r="AK235">
        <v>44.917983300000003</v>
      </c>
      <c r="AL235">
        <v>-0.22352169999999999</v>
      </c>
      <c r="AM235">
        <v>44.741999999999997</v>
      </c>
      <c r="AN235">
        <v>-0.69200000000000006</v>
      </c>
    </row>
    <row r="236" spans="1:40" x14ac:dyDescent="0.35">
      <c r="A236">
        <v>312</v>
      </c>
      <c r="B236">
        <v>57</v>
      </c>
      <c r="C236" t="s">
        <v>40</v>
      </c>
      <c r="D236" t="s">
        <v>41</v>
      </c>
      <c r="E236" t="s">
        <v>42</v>
      </c>
      <c r="F236" t="s">
        <v>43</v>
      </c>
      <c r="G236">
        <v>4</v>
      </c>
      <c r="H236">
        <v>16</v>
      </c>
      <c r="I236">
        <v>3</v>
      </c>
      <c r="J236" t="s">
        <v>45</v>
      </c>
      <c r="K236" t="s">
        <v>46</v>
      </c>
      <c r="L236" t="s">
        <v>60</v>
      </c>
      <c r="M236">
        <v>557.7878779512165</v>
      </c>
      <c r="N236">
        <v>692</v>
      </c>
      <c r="O236">
        <v>443</v>
      </c>
      <c r="P236">
        <v>291</v>
      </c>
      <c r="Q236">
        <v>3.8501476017100584</v>
      </c>
      <c r="R236">
        <v>2.9957322735539909</v>
      </c>
      <c r="S236">
        <v>5.4424177105217932</v>
      </c>
      <c r="T236">
        <v>88.975873222691746</v>
      </c>
      <c r="U236">
        <v>2.5514539469641888</v>
      </c>
      <c r="V236">
        <v>2.9336799326863701</v>
      </c>
      <c r="W236">
        <v>3.3730943146768602</v>
      </c>
      <c r="X236">
        <v>3.6072071704345601</v>
      </c>
      <c r="Y236">
        <v>-0.19189497559235799</v>
      </c>
      <c r="Z236">
        <v>0.17569111512999699</v>
      </c>
      <c r="AA236">
        <v>-0.304970615080496</v>
      </c>
      <c r="AB236">
        <v>1906.836709612184</v>
      </c>
      <c r="AC236">
        <v>0.7978420820676605</v>
      </c>
      <c r="AD236">
        <v>2.1056638128240834</v>
      </c>
      <c r="AE236">
        <v>-0.25037207080954499</v>
      </c>
      <c r="AF236">
        <v>1.0060181786495599</v>
      </c>
      <c r="AG236">
        <v>0.551922641249733</v>
      </c>
      <c r="AH236">
        <v>-0.15299851530015601</v>
      </c>
      <c r="AI236">
        <v>0.58455781480421598</v>
      </c>
      <c r="AJ236">
        <v>0.21775378701457801</v>
      </c>
      <c r="AK236">
        <v>44.055988999999997</v>
      </c>
      <c r="AL236">
        <v>4.8317350000000001</v>
      </c>
      <c r="AM236">
        <v>48.767000000000003</v>
      </c>
      <c r="AN236">
        <v>2.3530000000000002</v>
      </c>
    </row>
    <row r="237" spans="1:40" x14ac:dyDescent="0.35">
      <c r="A237">
        <v>313</v>
      </c>
      <c r="B237">
        <v>57</v>
      </c>
      <c r="C237" t="s">
        <v>40</v>
      </c>
      <c r="D237" t="s">
        <v>41</v>
      </c>
      <c r="E237" t="s">
        <v>42</v>
      </c>
      <c r="F237" t="s">
        <v>49</v>
      </c>
      <c r="G237">
        <v>2</v>
      </c>
      <c r="H237">
        <v>4</v>
      </c>
      <c r="I237">
        <v>4</v>
      </c>
      <c r="J237" t="s">
        <v>56</v>
      </c>
      <c r="K237" t="s">
        <v>46</v>
      </c>
      <c r="L237" t="s">
        <v>62</v>
      </c>
      <c r="M237">
        <v>128.66318914896809</v>
      </c>
      <c r="N237">
        <v>162</v>
      </c>
      <c r="O237">
        <v>110</v>
      </c>
      <c r="P237">
        <v>145</v>
      </c>
      <c r="Q237">
        <v>0.69314718055994529</v>
      </c>
      <c r="R237">
        <v>3.2580965380214821</v>
      </c>
      <c r="S237">
        <v>3.2580965380214821</v>
      </c>
      <c r="T237">
        <v>95.68</v>
      </c>
      <c r="U237">
        <v>0</v>
      </c>
      <c r="V237">
        <v>1.82802042479695</v>
      </c>
      <c r="W237">
        <v>0.99424279543483596</v>
      </c>
      <c r="X237">
        <v>0.99177342203587404</v>
      </c>
      <c r="Y237">
        <v>-0.96278755162326501</v>
      </c>
      <c r="Z237">
        <v>-0.75605764486205096</v>
      </c>
      <c r="AA237">
        <v>-0.80037586101695801</v>
      </c>
      <c r="AB237">
        <v>2092.91</v>
      </c>
      <c r="AC237">
        <v>0</v>
      </c>
      <c r="AD237">
        <v>2.1</v>
      </c>
      <c r="AE237">
        <v>-1.0768626388726401</v>
      </c>
      <c r="AF237">
        <v>1.5460613518814501</v>
      </c>
      <c r="AG237">
        <v>1.0797383975188599</v>
      </c>
      <c r="AH237">
        <v>0.82580291285532803</v>
      </c>
      <c r="AI237">
        <v>1.4836044289928401</v>
      </c>
      <c r="AJ237">
        <v>0.76193534118230599</v>
      </c>
      <c r="AK237">
        <v>49.042560999999999</v>
      </c>
      <c r="AL237">
        <v>3.9528660000000002</v>
      </c>
      <c r="AM237">
        <v>48.75</v>
      </c>
      <c r="AN237">
        <v>2.2519999999999998</v>
      </c>
    </row>
    <row r="238" spans="1:40" x14ac:dyDescent="0.35">
      <c r="A238">
        <v>315</v>
      </c>
      <c r="B238">
        <v>42</v>
      </c>
      <c r="C238" t="s">
        <v>40</v>
      </c>
      <c r="D238" t="s">
        <v>41</v>
      </c>
      <c r="E238" t="s">
        <v>42</v>
      </c>
      <c r="F238" t="s">
        <v>49</v>
      </c>
      <c r="G238">
        <v>5</v>
      </c>
      <c r="H238">
        <v>25</v>
      </c>
      <c r="I238">
        <v>5</v>
      </c>
      <c r="J238" t="s">
        <v>56</v>
      </c>
      <c r="K238" t="s">
        <v>46</v>
      </c>
      <c r="L238" t="s">
        <v>76</v>
      </c>
      <c r="M238">
        <v>173.64663678342501</v>
      </c>
      <c r="N238">
        <v>199</v>
      </c>
      <c r="O238">
        <v>141</v>
      </c>
      <c r="P238">
        <v>113</v>
      </c>
      <c r="Q238">
        <v>0</v>
      </c>
      <c r="R238">
        <v>1.0986122886681098</v>
      </c>
      <c r="S238">
        <v>4.1588830833596715</v>
      </c>
      <c r="T238">
        <v>91.226666666666674</v>
      </c>
      <c r="U238">
        <v>1.418823059726001</v>
      </c>
      <c r="V238">
        <v>-0.39095273818515502</v>
      </c>
      <c r="W238">
        <v>-0.53446083104759001</v>
      </c>
      <c r="X238">
        <v>-0.40804429067029002</v>
      </c>
      <c r="Y238">
        <v>-0.56789545922357498</v>
      </c>
      <c r="Z238">
        <v>-0.94760790482486201</v>
      </c>
      <c r="AA238">
        <v>-1.0848673571571601</v>
      </c>
      <c r="AB238">
        <v>1770.5103102717287</v>
      </c>
      <c r="AC238">
        <v>0.28213528618230871</v>
      </c>
      <c r="AD238">
        <v>1.7130468298323378</v>
      </c>
      <c r="AE238">
        <v>-1.13486126839574</v>
      </c>
      <c r="AF238">
        <v>0.434970819957893</v>
      </c>
      <c r="AG238">
        <v>0.61878404351299099</v>
      </c>
      <c r="AH238">
        <v>-1.80190493813598</v>
      </c>
      <c r="AI238">
        <v>-0.73331943371685204</v>
      </c>
      <c r="AJ238">
        <v>9.9148681498023403E-2</v>
      </c>
      <c r="AK238">
        <v>47.330690599999997</v>
      </c>
      <c r="AL238">
        <v>2.8390453999999998</v>
      </c>
      <c r="AM238">
        <v>48.856372813999997</v>
      </c>
      <c r="AN238">
        <v>2.3525296170000001</v>
      </c>
    </row>
    <row r="239" spans="1:40" x14ac:dyDescent="0.35">
      <c r="A239">
        <v>316</v>
      </c>
      <c r="B239">
        <v>57</v>
      </c>
      <c r="C239" t="s">
        <v>40</v>
      </c>
      <c r="D239" t="s">
        <v>66</v>
      </c>
      <c r="E239" t="s">
        <v>42</v>
      </c>
      <c r="F239" t="s">
        <v>49</v>
      </c>
      <c r="G239">
        <v>5</v>
      </c>
      <c r="H239">
        <v>25</v>
      </c>
      <c r="I239">
        <v>6</v>
      </c>
      <c r="J239" t="s">
        <v>56</v>
      </c>
      <c r="K239" t="s">
        <v>46</v>
      </c>
      <c r="L239" t="s">
        <v>72</v>
      </c>
      <c r="M239">
        <v>467.55609311175749</v>
      </c>
      <c r="N239">
        <v>565</v>
      </c>
      <c r="O239">
        <v>340</v>
      </c>
      <c r="P239">
        <v>400</v>
      </c>
      <c r="Q239">
        <v>0.69314718055994529</v>
      </c>
      <c r="R239">
        <v>1.3862943611198906</v>
      </c>
      <c r="S239">
        <v>4.5538768916005408</v>
      </c>
      <c r="T239">
        <v>89.340161030595823</v>
      </c>
      <c r="U239">
        <v>1.4712304197281412</v>
      </c>
      <c r="V239">
        <v>0.59716251398508702</v>
      </c>
      <c r="W239">
        <v>0.91068296986709796</v>
      </c>
      <c r="X239">
        <v>1.2273243988355</v>
      </c>
      <c r="Y239">
        <v>-0.4121809470949</v>
      </c>
      <c r="Z239">
        <v>-0.86472582726521097</v>
      </c>
      <c r="AA239">
        <v>-1.0172779374790899</v>
      </c>
      <c r="AB239">
        <v>1828.1689246701658</v>
      </c>
      <c r="AC239">
        <v>1.1127464888636687</v>
      </c>
      <c r="AD239">
        <v>1.8630656830756136</v>
      </c>
      <c r="AE239">
        <v>-0.53926882203722504</v>
      </c>
      <c r="AF239">
        <v>0.96493452369342603</v>
      </c>
      <c r="AG239">
        <v>0.53054184922269298</v>
      </c>
      <c r="AH239">
        <v>-2.2737563220044001</v>
      </c>
      <c r="AI239">
        <v>-0.99294647319048002</v>
      </c>
      <c r="AJ239">
        <v>-1.7866403584444901</v>
      </c>
      <c r="AK239">
        <v>44.503641999999999</v>
      </c>
      <c r="AL239">
        <v>1.1863669999999999</v>
      </c>
      <c r="AM239">
        <v>48.631999999999998</v>
      </c>
      <c r="AN239">
        <v>2.3119999999999998</v>
      </c>
    </row>
    <row r="240" spans="1:40" x14ac:dyDescent="0.35">
      <c r="A240">
        <v>317</v>
      </c>
      <c r="B240">
        <v>72</v>
      </c>
      <c r="C240" t="s">
        <v>40</v>
      </c>
      <c r="D240" t="s">
        <v>52</v>
      </c>
      <c r="E240" t="s">
        <v>42</v>
      </c>
      <c r="F240" t="s">
        <v>49</v>
      </c>
      <c r="G240">
        <v>0</v>
      </c>
      <c r="H240">
        <v>0</v>
      </c>
      <c r="I240">
        <v>7</v>
      </c>
      <c r="J240" t="s">
        <v>56</v>
      </c>
      <c r="K240" t="s">
        <v>46</v>
      </c>
      <c r="L240" t="s">
        <v>47</v>
      </c>
      <c r="M240">
        <v>651.86146730802693</v>
      </c>
      <c r="N240">
        <v>921</v>
      </c>
      <c r="O240">
        <v>548</v>
      </c>
      <c r="P240">
        <v>465</v>
      </c>
      <c r="Q240">
        <v>5.9107966440405271</v>
      </c>
      <c r="R240">
        <v>6.4997870406558542</v>
      </c>
      <c r="S240">
        <v>8.6415324656718457</v>
      </c>
      <c r="T240">
        <v>89.265350482850479</v>
      </c>
      <c r="U240">
        <v>1.4417786561042019</v>
      </c>
      <c r="V240">
        <v>-0.22886708829074301</v>
      </c>
      <c r="W240">
        <v>0.28745285629339301</v>
      </c>
      <c r="X240">
        <v>-0.15627425222847</v>
      </c>
      <c r="Y240">
        <v>1.45226138127617</v>
      </c>
      <c r="Z240">
        <v>0.98247225355557</v>
      </c>
      <c r="AA240">
        <v>0.627775520474398</v>
      </c>
      <c r="AB240">
        <v>3362.2959371744532</v>
      </c>
      <c r="AC240">
        <v>2.8998317172850387</v>
      </c>
      <c r="AD240">
        <v>2.9499158586425196</v>
      </c>
      <c r="AE240">
        <v>1.06273170356322</v>
      </c>
      <c r="AF240">
        <v>-1.7183960808021099</v>
      </c>
      <c r="AG240">
        <v>0.416778138348181</v>
      </c>
      <c r="AH240">
        <v>0.80999788744105405</v>
      </c>
      <c r="AI240">
        <v>-0.73498830656636682</v>
      </c>
      <c r="AJ240">
        <v>-6.6407625328020567E-2</v>
      </c>
      <c r="AK240">
        <v>43.3535629403058</v>
      </c>
      <c r="AL240">
        <v>3.21615314793977</v>
      </c>
      <c r="AM240">
        <v>48.111866200000001</v>
      </c>
      <c r="AN240">
        <v>-1.6801145</v>
      </c>
    </row>
    <row r="241" spans="1:40" x14ac:dyDescent="0.35">
      <c r="A241">
        <v>318</v>
      </c>
      <c r="B241">
        <v>57</v>
      </c>
      <c r="C241" t="s">
        <v>40</v>
      </c>
      <c r="D241" t="s">
        <v>66</v>
      </c>
      <c r="E241" t="s">
        <v>42</v>
      </c>
      <c r="F241" t="s">
        <v>61</v>
      </c>
      <c r="G241">
        <v>5</v>
      </c>
      <c r="H241">
        <v>25</v>
      </c>
      <c r="I241">
        <v>6</v>
      </c>
      <c r="J241" t="s">
        <v>50</v>
      </c>
      <c r="K241" t="s">
        <v>46</v>
      </c>
      <c r="L241" t="s">
        <v>62</v>
      </c>
      <c r="M241">
        <v>82.425531851367111</v>
      </c>
      <c r="N241">
        <v>94</v>
      </c>
      <c r="O241">
        <v>65</v>
      </c>
      <c r="P241">
        <v>104</v>
      </c>
      <c r="Q241">
        <v>0.69314718055994529</v>
      </c>
      <c r="R241">
        <v>3.2580965380214821</v>
      </c>
      <c r="S241">
        <v>3.2580965380214821</v>
      </c>
      <c r="T241">
        <v>95.68</v>
      </c>
      <c r="U241">
        <v>0</v>
      </c>
      <c r="V241">
        <v>1.82802042479695</v>
      </c>
      <c r="W241">
        <v>0.99424279543483596</v>
      </c>
      <c r="X241">
        <v>0.99177342203587404</v>
      </c>
      <c r="Y241">
        <v>-0.96278755162326501</v>
      </c>
      <c r="Z241">
        <v>-0.75605764486205096</v>
      </c>
      <c r="AA241">
        <v>-0.80037586101695801</v>
      </c>
      <c r="AB241">
        <v>2092.91</v>
      </c>
      <c r="AC241">
        <v>0</v>
      </c>
      <c r="AD241">
        <v>2.1</v>
      </c>
      <c r="AE241">
        <v>-1.0768626388726401</v>
      </c>
      <c r="AF241">
        <v>0.74572973245980401</v>
      </c>
      <c r="AG241">
        <v>0.96351954229514702</v>
      </c>
      <c r="AH241">
        <v>-1.21132772156117</v>
      </c>
      <c r="AI241">
        <v>0.27054440811122499</v>
      </c>
      <c r="AJ241">
        <v>0.83744120504511499</v>
      </c>
      <c r="AK241">
        <v>49.042560999999999</v>
      </c>
      <c r="AL241">
        <v>3.9528660000000002</v>
      </c>
      <c r="AM241">
        <v>49.585741935483881</v>
      </c>
      <c r="AN241">
        <v>3.1809677419354845</v>
      </c>
    </row>
    <row r="242" spans="1:40" x14ac:dyDescent="0.35">
      <c r="A242">
        <v>319</v>
      </c>
      <c r="B242">
        <v>72</v>
      </c>
      <c r="C242" t="s">
        <v>40</v>
      </c>
      <c r="D242" t="s">
        <v>52</v>
      </c>
      <c r="E242" t="s">
        <v>42</v>
      </c>
      <c r="F242" t="s">
        <v>49</v>
      </c>
      <c r="G242">
        <v>3</v>
      </c>
      <c r="H242">
        <v>9</v>
      </c>
      <c r="I242">
        <v>3</v>
      </c>
      <c r="J242" t="s">
        <v>45</v>
      </c>
      <c r="K242" t="s">
        <v>46</v>
      </c>
      <c r="L242" t="s">
        <v>71</v>
      </c>
      <c r="M242">
        <v>461.63476637503351</v>
      </c>
      <c r="N242">
        <v>423</v>
      </c>
      <c r="O242">
        <v>220</v>
      </c>
      <c r="P242">
        <v>168</v>
      </c>
      <c r="Q242">
        <v>4.5747109785033828</v>
      </c>
      <c r="R242">
        <v>3.5263605246161616</v>
      </c>
      <c r="S242">
        <v>5.1416635565026603</v>
      </c>
      <c r="T242">
        <v>92.265120976563693</v>
      </c>
      <c r="U242">
        <v>2.9351954657362995</v>
      </c>
      <c r="V242">
        <v>-8.3509539921858403E-2</v>
      </c>
      <c r="W242">
        <v>-8.6188355584626702E-2</v>
      </c>
      <c r="X242">
        <v>-6.2117403422328299E-2</v>
      </c>
      <c r="Y242">
        <v>-0.51135009403950604</v>
      </c>
      <c r="Z242">
        <v>-0.669554030021006</v>
      </c>
      <c r="AA242">
        <v>-1.4915282051312999</v>
      </c>
      <c r="AB242">
        <v>1813.5248996931791</v>
      </c>
      <c r="AC242">
        <v>1.6535284399339156</v>
      </c>
      <c r="AD242">
        <v>0.49421760679726223</v>
      </c>
      <c r="AE242">
        <v>-0.18520258641298501</v>
      </c>
      <c r="AF242">
        <v>-1.53003297737929</v>
      </c>
      <c r="AG242">
        <v>0.46803529263472499</v>
      </c>
      <c r="AH242">
        <v>-4.7008959152347998E-2</v>
      </c>
      <c r="AI242">
        <v>-2.3824548635955898</v>
      </c>
      <c r="AJ242">
        <v>-0.116521844112893</v>
      </c>
      <c r="AK242">
        <v>45.071283999999999</v>
      </c>
      <c r="AL242">
        <v>4.8370730000000002</v>
      </c>
      <c r="AM242">
        <v>48.856372813999997</v>
      </c>
      <c r="AN242">
        <v>2.3525296170000001</v>
      </c>
    </row>
    <row r="243" spans="1:40" x14ac:dyDescent="0.35">
      <c r="A243">
        <v>321</v>
      </c>
      <c r="B243">
        <v>72</v>
      </c>
      <c r="C243" t="s">
        <v>40</v>
      </c>
      <c r="D243" t="s">
        <v>52</v>
      </c>
      <c r="E243" t="s">
        <v>42</v>
      </c>
      <c r="F243" t="s">
        <v>61</v>
      </c>
      <c r="G243">
        <v>6</v>
      </c>
      <c r="H243">
        <v>36</v>
      </c>
      <c r="I243">
        <v>6</v>
      </c>
      <c r="J243" t="s">
        <v>56</v>
      </c>
      <c r="K243" t="s">
        <v>46</v>
      </c>
      <c r="L243" t="s">
        <v>58</v>
      </c>
      <c r="M243">
        <v>394.38402937565348</v>
      </c>
      <c r="N243">
        <v>450</v>
      </c>
      <c r="O243">
        <v>354</v>
      </c>
      <c r="P243">
        <v>539</v>
      </c>
      <c r="Q243">
        <v>3.2580965380214821</v>
      </c>
      <c r="R243">
        <v>2.8903717578961645</v>
      </c>
      <c r="S243">
        <v>4.7535901911063645</v>
      </c>
      <c r="T243">
        <v>90.794285714285706</v>
      </c>
      <c r="U243">
        <v>0</v>
      </c>
      <c r="V243">
        <v>0.63905639120027702</v>
      </c>
      <c r="W243">
        <v>0.692565001186083</v>
      </c>
      <c r="X243">
        <v>0.56469097254324596</v>
      </c>
      <c r="Y243">
        <v>1.4483117406157899</v>
      </c>
      <c r="Z243">
        <v>1.7680602694732599</v>
      </c>
      <c r="AA243">
        <v>0.26366440732357699</v>
      </c>
      <c r="AB243">
        <v>4236</v>
      </c>
      <c r="AC243">
        <v>0</v>
      </c>
      <c r="AD243">
        <v>4</v>
      </c>
      <c r="AE243">
        <v>1.6751267091712101</v>
      </c>
      <c r="AF243">
        <v>-0.49453885132374997</v>
      </c>
      <c r="AG243">
        <v>1.3976602824054301</v>
      </c>
      <c r="AH243">
        <v>-0.41968746380288402</v>
      </c>
      <c r="AI243">
        <v>1.5533628481564801</v>
      </c>
      <c r="AJ243">
        <v>-1.4091679625110101</v>
      </c>
      <c r="AK243">
        <v>45.198478000000001</v>
      </c>
      <c r="AL243">
        <v>-0.74874399999999997</v>
      </c>
      <c r="AM243">
        <v>48.640000000000008</v>
      </c>
      <c r="AN243">
        <v>-1.9810000000000001</v>
      </c>
    </row>
    <row r="244" spans="1:40" x14ac:dyDescent="0.35">
      <c r="A244">
        <v>322</v>
      </c>
      <c r="B244">
        <v>57</v>
      </c>
      <c r="C244" t="s">
        <v>40</v>
      </c>
      <c r="D244" t="s">
        <v>41</v>
      </c>
      <c r="E244" t="s">
        <v>42</v>
      </c>
      <c r="F244" t="s">
        <v>61</v>
      </c>
      <c r="G244">
        <v>5</v>
      </c>
      <c r="H244">
        <v>25</v>
      </c>
      <c r="I244">
        <v>6</v>
      </c>
      <c r="J244" t="s">
        <v>50</v>
      </c>
      <c r="K244" t="s">
        <v>46</v>
      </c>
      <c r="L244" t="s">
        <v>47</v>
      </c>
      <c r="M244">
        <v>269.2254411752271</v>
      </c>
      <c r="N244">
        <v>347</v>
      </c>
      <c r="O244">
        <v>226</v>
      </c>
      <c r="P244">
        <v>347</v>
      </c>
      <c r="Q244">
        <v>5.9107966440405271</v>
      </c>
      <c r="R244">
        <v>6.4997870406558542</v>
      </c>
      <c r="S244">
        <v>8.6415324656718457</v>
      </c>
      <c r="T244">
        <v>89.265350482850479</v>
      </c>
      <c r="U244">
        <v>1.4417786561042019</v>
      </c>
      <c r="V244">
        <v>-0.22886708829074301</v>
      </c>
      <c r="W244">
        <v>0.28745285629339301</v>
      </c>
      <c r="X244">
        <v>-0.15627425222847</v>
      </c>
      <c r="Y244">
        <v>1.45226138127617</v>
      </c>
      <c r="Z244">
        <v>0.98247225355557</v>
      </c>
      <c r="AA244">
        <v>0.627775520474398</v>
      </c>
      <c r="AB244">
        <v>3362.2959371744532</v>
      </c>
      <c r="AC244">
        <v>2.8998317172850387</v>
      </c>
      <c r="AD244">
        <v>2.9499158586425196</v>
      </c>
      <c r="AE244">
        <v>1.06273170356322</v>
      </c>
      <c r="AF244">
        <v>0.1542641280532</v>
      </c>
      <c r="AG244">
        <v>1.3363295655288201</v>
      </c>
      <c r="AH244">
        <v>-0.76854902313065898</v>
      </c>
      <c r="AI244">
        <v>0.47342334257211999</v>
      </c>
      <c r="AJ244">
        <v>0.33276723974647199</v>
      </c>
      <c r="AK244">
        <v>43.3535629403058</v>
      </c>
      <c r="AL244">
        <v>3.21615314793977</v>
      </c>
      <c r="AM244">
        <v>45.771999999999998</v>
      </c>
      <c r="AN244">
        <v>3.1930000000000001</v>
      </c>
    </row>
    <row r="245" spans="1:40" x14ac:dyDescent="0.35">
      <c r="A245">
        <v>324</v>
      </c>
      <c r="B245">
        <v>57</v>
      </c>
      <c r="C245" t="s">
        <v>40</v>
      </c>
      <c r="D245" t="s">
        <v>41</v>
      </c>
      <c r="E245" t="s">
        <v>42</v>
      </c>
      <c r="F245" t="s">
        <v>61</v>
      </c>
      <c r="G245">
        <v>5</v>
      </c>
      <c r="H245">
        <v>25</v>
      </c>
      <c r="I245">
        <v>5</v>
      </c>
      <c r="J245" t="s">
        <v>50</v>
      </c>
      <c r="K245" t="s">
        <v>46</v>
      </c>
      <c r="L245" t="s">
        <v>59</v>
      </c>
      <c r="M245">
        <v>185.70331615590251</v>
      </c>
      <c r="N245">
        <v>225</v>
      </c>
      <c r="O245">
        <v>165</v>
      </c>
      <c r="P245">
        <v>139</v>
      </c>
      <c r="Q245">
        <v>1.3862943611198906</v>
      </c>
      <c r="R245">
        <v>1.3862943611198906</v>
      </c>
      <c r="S245">
        <v>4.9972122737641147</v>
      </c>
      <c r="T245">
        <v>90.035146103896111</v>
      </c>
      <c r="U245">
        <v>1.418823059726001</v>
      </c>
      <c r="V245">
        <v>-0.52223564926899602</v>
      </c>
      <c r="W245">
        <v>-0.46072710968150399</v>
      </c>
      <c r="X245">
        <v>-0.361786268345754</v>
      </c>
      <c r="Y245">
        <v>-0.552694479448822</v>
      </c>
      <c r="Z245">
        <v>2.1676297177028899E-2</v>
      </c>
      <c r="AA245">
        <v>0.625223797005378</v>
      </c>
      <c r="AB245">
        <v>2234.6992515788952</v>
      </c>
      <c r="AC245">
        <v>0</v>
      </c>
      <c r="AD245">
        <v>0.12112735591028891</v>
      </c>
      <c r="AE245">
        <v>-0.60610368582010199</v>
      </c>
      <c r="AF245">
        <v>-1.28396755609569</v>
      </c>
      <c r="AG245">
        <v>0.23482103359076401</v>
      </c>
      <c r="AH245">
        <v>-1.6832092698785299</v>
      </c>
      <c r="AI245">
        <v>-1.6026098930266599</v>
      </c>
      <c r="AJ245">
        <v>-2.2458009655536699</v>
      </c>
      <c r="AK245">
        <v>47.411035099999999</v>
      </c>
      <c r="AL245">
        <v>0.98369799999999996</v>
      </c>
      <c r="AM245">
        <v>48.78799999999999</v>
      </c>
      <c r="AN245">
        <v>2.3940000000000001</v>
      </c>
    </row>
    <row r="246" spans="1:40" x14ac:dyDescent="0.35">
      <c r="A246">
        <v>325</v>
      </c>
      <c r="B246">
        <v>72</v>
      </c>
      <c r="C246" t="s">
        <v>40</v>
      </c>
      <c r="D246" t="s">
        <v>52</v>
      </c>
      <c r="E246" t="s">
        <v>42</v>
      </c>
      <c r="F246" t="s">
        <v>49</v>
      </c>
      <c r="G246">
        <v>4</v>
      </c>
      <c r="H246">
        <v>16</v>
      </c>
      <c r="I246">
        <v>5</v>
      </c>
      <c r="J246" t="s">
        <v>50</v>
      </c>
      <c r="K246" t="s">
        <v>46</v>
      </c>
      <c r="L246" t="s">
        <v>47</v>
      </c>
      <c r="M246">
        <v>668.16867204606672</v>
      </c>
      <c r="N246">
        <v>883</v>
      </c>
      <c r="O246">
        <v>558</v>
      </c>
      <c r="P246">
        <v>878</v>
      </c>
      <c r="Q246">
        <v>5.9107966440405271</v>
      </c>
      <c r="R246">
        <v>6.4997870406558542</v>
      </c>
      <c r="S246">
        <v>8.6415324656718457</v>
      </c>
      <c r="T246">
        <v>89.265350482850479</v>
      </c>
      <c r="U246">
        <v>1.4417786561042019</v>
      </c>
      <c r="V246">
        <v>-0.22886708829074301</v>
      </c>
      <c r="W246">
        <v>0.28745285629339301</v>
      </c>
      <c r="X246">
        <v>-0.15627425222847</v>
      </c>
      <c r="Y246">
        <v>1.45226138127617</v>
      </c>
      <c r="Z246">
        <v>0.98247225355557</v>
      </c>
      <c r="AA246">
        <v>0.627775520474398</v>
      </c>
      <c r="AB246">
        <v>3362.2959371744532</v>
      </c>
      <c r="AC246">
        <v>2.8998317172850387</v>
      </c>
      <c r="AD246">
        <v>2.9499158586425196</v>
      </c>
      <c r="AE246">
        <v>1.06273170356322</v>
      </c>
      <c r="AF246">
        <v>-0.59862974136160096</v>
      </c>
      <c r="AG246">
        <v>-7.0312395098297399E-3</v>
      </c>
      <c r="AH246">
        <v>-4.6511993082922601E-2</v>
      </c>
      <c r="AI246">
        <v>-0.61556774465972097</v>
      </c>
      <c r="AJ246">
        <v>-0.48346210434644299</v>
      </c>
      <c r="AK246">
        <v>43.3535629403058</v>
      </c>
      <c r="AL246">
        <v>3.21615314793977</v>
      </c>
      <c r="AM246">
        <v>47.66</v>
      </c>
      <c r="AN246">
        <v>-2.7570000000000001</v>
      </c>
    </row>
    <row r="247" spans="1:40" x14ac:dyDescent="0.35">
      <c r="A247">
        <v>326</v>
      </c>
      <c r="B247">
        <v>72</v>
      </c>
      <c r="C247" t="s">
        <v>40</v>
      </c>
      <c r="D247" t="s">
        <v>52</v>
      </c>
      <c r="E247" t="s">
        <v>42</v>
      </c>
      <c r="F247" t="s">
        <v>49</v>
      </c>
      <c r="G247">
        <v>5</v>
      </c>
      <c r="H247">
        <v>25</v>
      </c>
      <c r="I247">
        <v>4</v>
      </c>
      <c r="J247" t="s">
        <v>56</v>
      </c>
      <c r="K247" t="s">
        <v>46</v>
      </c>
      <c r="L247" t="s">
        <v>55</v>
      </c>
      <c r="M247">
        <v>77.133068842991804</v>
      </c>
      <c r="N247">
        <v>230</v>
      </c>
      <c r="O247">
        <v>156</v>
      </c>
      <c r="P247">
        <v>129</v>
      </c>
      <c r="Q247">
        <v>2.0794415416798357</v>
      </c>
      <c r="R247">
        <v>2.3025850929940459</v>
      </c>
      <c r="S247">
        <v>3.2580965380214821</v>
      </c>
      <c r="T247">
        <v>95.12</v>
      </c>
      <c r="U247">
        <v>0</v>
      </c>
      <c r="V247">
        <v>1.89305099905856</v>
      </c>
      <c r="W247">
        <v>0.59880690621441701</v>
      </c>
      <c r="X247">
        <v>1.1856460040685599</v>
      </c>
      <c r="Y247">
        <v>-0.15565097555555901</v>
      </c>
      <c r="Z247">
        <v>-0.22748295097212001</v>
      </c>
      <c r="AA247">
        <v>1.0415013010201299</v>
      </c>
      <c r="AB247">
        <v>2939.9504036908884</v>
      </c>
      <c r="AC247">
        <v>2</v>
      </c>
      <c r="AD247">
        <v>0.42868127643214149</v>
      </c>
      <c r="AE247">
        <v>-2.40641039566141E-2</v>
      </c>
      <c r="AF247">
        <v>-0.42889766881466901</v>
      </c>
      <c r="AG247">
        <v>-0.45455499077255102</v>
      </c>
      <c r="AH247">
        <v>0.82118228496390699</v>
      </c>
      <c r="AI247">
        <v>-1.1233326514329001</v>
      </c>
      <c r="AJ247">
        <v>-0.58578072837750805</v>
      </c>
      <c r="AK247">
        <v>48.0777517</v>
      </c>
      <c r="AL247">
        <v>7.3579641000000002</v>
      </c>
      <c r="AM247">
        <v>48.75</v>
      </c>
      <c r="AN247">
        <v>7.1050000000000004</v>
      </c>
    </row>
    <row r="248" spans="1:40" x14ac:dyDescent="0.35">
      <c r="A248">
        <v>327</v>
      </c>
      <c r="B248">
        <v>57</v>
      </c>
      <c r="C248" t="s">
        <v>40</v>
      </c>
      <c r="D248" t="s">
        <v>41</v>
      </c>
      <c r="E248" t="s">
        <v>42</v>
      </c>
      <c r="F248" t="s">
        <v>49</v>
      </c>
      <c r="G248">
        <v>5</v>
      </c>
      <c r="H248">
        <v>25</v>
      </c>
      <c r="I248">
        <v>5</v>
      </c>
      <c r="J248" t="s">
        <v>56</v>
      </c>
      <c r="K248" t="s">
        <v>46</v>
      </c>
      <c r="L248" t="s">
        <v>62</v>
      </c>
      <c r="M248">
        <v>118.81389814254101</v>
      </c>
      <c r="N248">
        <v>143</v>
      </c>
      <c r="O248">
        <v>100</v>
      </c>
      <c r="P248">
        <v>80</v>
      </c>
      <c r="Q248">
        <v>0.69314718055994529</v>
      </c>
      <c r="R248">
        <v>3.2580965380214821</v>
      </c>
      <c r="S248">
        <v>3.2580965380214821</v>
      </c>
      <c r="T248">
        <v>95.68</v>
      </c>
      <c r="U248">
        <v>0</v>
      </c>
      <c r="V248">
        <v>1.82802042479695</v>
      </c>
      <c r="W248">
        <v>0.99424279543483596</v>
      </c>
      <c r="X248">
        <v>0.99177342203587404</v>
      </c>
      <c r="Y248">
        <v>-0.96278755162326501</v>
      </c>
      <c r="Z248">
        <v>-0.75605764486205096</v>
      </c>
      <c r="AA248">
        <v>-0.80037586101695801</v>
      </c>
      <c r="AB248">
        <v>2092.91</v>
      </c>
      <c r="AC248">
        <v>0</v>
      </c>
      <c r="AD248">
        <v>2.1</v>
      </c>
      <c r="AE248">
        <v>-1.0768626388726401</v>
      </c>
      <c r="AF248">
        <v>1.44121221169383</v>
      </c>
      <c r="AG248">
        <v>1.29070614196042</v>
      </c>
      <c r="AH248">
        <v>-1.4945721079612</v>
      </c>
      <c r="AI248">
        <v>1.2578403353246801</v>
      </c>
      <c r="AJ248">
        <v>-0.38575052969988999</v>
      </c>
      <c r="AK248">
        <v>49.042560999999999</v>
      </c>
      <c r="AL248">
        <v>3.9528660000000002</v>
      </c>
      <c r="AM248">
        <v>48.856372813999997</v>
      </c>
      <c r="AN248">
        <v>2.3525296170000001</v>
      </c>
    </row>
    <row r="249" spans="1:40" x14ac:dyDescent="0.35">
      <c r="A249">
        <v>328</v>
      </c>
      <c r="B249">
        <v>72</v>
      </c>
      <c r="C249" t="s">
        <v>40</v>
      </c>
      <c r="D249" t="s">
        <v>52</v>
      </c>
      <c r="E249" t="s">
        <v>42</v>
      </c>
      <c r="F249" t="s">
        <v>49</v>
      </c>
      <c r="G249">
        <v>5</v>
      </c>
      <c r="H249">
        <v>25</v>
      </c>
      <c r="I249">
        <v>4</v>
      </c>
      <c r="J249" t="s">
        <v>50</v>
      </c>
      <c r="K249" t="s">
        <v>46</v>
      </c>
      <c r="L249" t="s">
        <v>83</v>
      </c>
      <c r="M249">
        <v>592.64662151526943</v>
      </c>
      <c r="N249">
        <v>737</v>
      </c>
      <c r="O249">
        <v>433</v>
      </c>
      <c r="P249">
        <v>398</v>
      </c>
      <c r="Q249">
        <v>0</v>
      </c>
      <c r="R249">
        <v>0</v>
      </c>
      <c r="S249">
        <v>4.4886363697321396</v>
      </c>
      <c r="T249">
        <v>90.115111111111119</v>
      </c>
      <c r="U249">
        <v>1.2513404171152498</v>
      </c>
      <c r="V249">
        <v>-0.46152060700845399</v>
      </c>
      <c r="W249">
        <v>-0.57121975163865102</v>
      </c>
      <c r="X249">
        <v>-0.33135740862223101</v>
      </c>
      <c r="Y249">
        <v>-0.77598924050104101</v>
      </c>
      <c r="Z249">
        <v>0.47668876811384397</v>
      </c>
      <c r="AA249">
        <v>0.85617757356637403</v>
      </c>
      <c r="AB249">
        <v>2565</v>
      </c>
      <c r="AC249">
        <v>1</v>
      </c>
      <c r="AD249">
        <v>0</v>
      </c>
      <c r="AE249">
        <v>-0.72514205471140702</v>
      </c>
      <c r="AF249">
        <v>-0.16690087966070699</v>
      </c>
      <c r="AG249">
        <v>0.35775929869606798</v>
      </c>
      <c r="AH249">
        <v>-5.0130182667475201E-3</v>
      </c>
      <c r="AI249">
        <v>-0.65956712460096101</v>
      </c>
      <c r="AJ249">
        <v>-0.13520727288648801</v>
      </c>
      <c r="AK249">
        <v>46.839658</v>
      </c>
      <c r="AL249">
        <v>4.7189269999999999</v>
      </c>
      <c r="AM249">
        <v>47.805999999999997</v>
      </c>
      <c r="AN249">
        <v>-3.008</v>
      </c>
    </row>
    <row r="250" spans="1:40" x14ac:dyDescent="0.35">
      <c r="A250">
        <v>329</v>
      </c>
      <c r="B250">
        <v>72</v>
      </c>
      <c r="C250" t="s">
        <v>40</v>
      </c>
      <c r="D250" t="s">
        <v>52</v>
      </c>
      <c r="E250" t="s">
        <v>42</v>
      </c>
      <c r="F250" t="s">
        <v>49</v>
      </c>
      <c r="G250">
        <v>4</v>
      </c>
      <c r="H250">
        <v>16</v>
      </c>
      <c r="I250">
        <v>4</v>
      </c>
      <c r="J250" t="s">
        <v>56</v>
      </c>
      <c r="K250" t="s">
        <v>46</v>
      </c>
      <c r="L250" t="s">
        <v>55</v>
      </c>
      <c r="M250">
        <v>130.6454025628517</v>
      </c>
      <c r="N250">
        <v>245</v>
      </c>
      <c r="O250">
        <v>197</v>
      </c>
      <c r="P250">
        <v>163</v>
      </c>
      <c r="Q250">
        <v>2.0794415416798357</v>
      </c>
      <c r="R250">
        <v>2.3025850929940459</v>
      </c>
      <c r="S250">
        <v>3.2580965380214821</v>
      </c>
      <c r="T250">
        <v>95.12</v>
      </c>
      <c r="U250">
        <v>0</v>
      </c>
      <c r="V250">
        <v>1.89305099905856</v>
      </c>
      <c r="W250">
        <v>0.59880690621441701</v>
      </c>
      <c r="X250">
        <v>1.1856460040685599</v>
      </c>
      <c r="Y250">
        <v>-0.15565097555555901</v>
      </c>
      <c r="Z250">
        <v>-0.22748295097212001</v>
      </c>
      <c r="AA250">
        <v>1.0415013010201299</v>
      </c>
      <c r="AB250">
        <v>2939.9504036908884</v>
      </c>
      <c r="AC250">
        <v>2</v>
      </c>
      <c r="AD250">
        <v>0.42868127643214149</v>
      </c>
      <c r="AE250">
        <v>-2.40641039566141E-2</v>
      </c>
      <c r="AF250">
        <v>-0.13354025963445601</v>
      </c>
      <c r="AG250">
        <v>-0.73728303252049399</v>
      </c>
      <c r="AH250">
        <v>0.72679769051629695</v>
      </c>
      <c r="AI250">
        <v>2.1874509554694432</v>
      </c>
      <c r="AJ250">
        <v>0.16539801664938858</v>
      </c>
      <c r="AK250">
        <v>48.0777517</v>
      </c>
      <c r="AL250">
        <v>7.3579641000000002</v>
      </c>
      <c r="AM250">
        <v>48.179250000000003</v>
      </c>
      <c r="AN250">
        <v>5.6062000000000012</v>
      </c>
    </row>
    <row r="251" spans="1:40" x14ac:dyDescent="0.35">
      <c r="A251">
        <v>330</v>
      </c>
      <c r="B251">
        <v>72</v>
      </c>
      <c r="C251" t="s">
        <v>48</v>
      </c>
      <c r="D251" t="s">
        <v>52</v>
      </c>
      <c r="E251" t="s">
        <v>42</v>
      </c>
      <c r="F251" t="s">
        <v>49</v>
      </c>
      <c r="G251">
        <v>3</v>
      </c>
      <c r="H251">
        <v>9</v>
      </c>
      <c r="I251">
        <v>5</v>
      </c>
      <c r="J251" t="s">
        <v>56</v>
      </c>
      <c r="K251" t="s">
        <v>46</v>
      </c>
      <c r="L251" t="s">
        <v>65</v>
      </c>
      <c r="M251">
        <v>92.345508069975807</v>
      </c>
      <c r="N251">
        <v>134</v>
      </c>
      <c r="O251">
        <v>85</v>
      </c>
      <c r="P251">
        <v>131</v>
      </c>
      <c r="Q251">
        <v>0</v>
      </c>
      <c r="R251">
        <v>0</v>
      </c>
      <c r="S251">
        <v>4.4543472962535073</v>
      </c>
      <c r="T251">
        <v>89.333044733044744</v>
      </c>
      <c r="U251">
        <v>1.2554235437523662</v>
      </c>
      <c r="V251">
        <v>1.64975517953679</v>
      </c>
      <c r="W251">
        <v>2.4220969657957299</v>
      </c>
      <c r="X251">
        <v>1.68128863126442</v>
      </c>
      <c r="Y251">
        <v>2.0553398017137301</v>
      </c>
      <c r="Z251">
        <v>2.0921400018840099</v>
      </c>
      <c r="AA251">
        <v>2.0596698968962701</v>
      </c>
      <c r="AB251">
        <v>3262.71</v>
      </c>
      <c r="AC251">
        <v>0.33</v>
      </c>
      <c r="AD251">
        <v>0.66</v>
      </c>
      <c r="AE251">
        <v>1.9221838973381</v>
      </c>
      <c r="AF251">
        <v>0.80035763521834902</v>
      </c>
      <c r="AG251">
        <v>-1.00414517232817</v>
      </c>
      <c r="AH251">
        <v>-1.14624275159995</v>
      </c>
      <c r="AI251">
        <v>-0.41874115921765698</v>
      </c>
      <c r="AJ251">
        <v>0.20817648912588199</v>
      </c>
      <c r="AK251">
        <v>43.537466000000002</v>
      </c>
      <c r="AL251">
        <v>6.4627330000000001</v>
      </c>
      <c r="AM251">
        <v>43.296606916000002</v>
      </c>
      <c r="AN251">
        <v>5.3698669680000002</v>
      </c>
    </row>
    <row r="252" spans="1:40" x14ac:dyDescent="0.35">
      <c r="A252">
        <v>331</v>
      </c>
      <c r="B252">
        <v>72</v>
      </c>
      <c r="C252" t="s">
        <v>40</v>
      </c>
      <c r="D252" t="s">
        <v>52</v>
      </c>
      <c r="E252" t="s">
        <v>68</v>
      </c>
      <c r="F252" t="s">
        <v>49</v>
      </c>
      <c r="G252">
        <v>4</v>
      </c>
      <c r="H252">
        <v>16</v>
      </c>
      <c r="I252">
        <v>6</v>
      </c>
      <c r="J252" t="s">
        <v>56</v>
      </c>
      <c r="K252" t="s">
        <v>46</v>
      </c>
      <c r="L252" t="s">
        <v>62</v>
      </c>
      <c r="M252">
        <v>185.02215271766741</v>
      </c>
      <c r="N252">
        <v>263</v>
      </c>
      <c r="O252">
        <v>231</v>
      </c>
      <c r="P252">
        <v>208</v>
      </c>
      <c r="Q252">
        <v>0.69314718055994529</v>
      </c>
      <c r="R252">
        <v>3.2580965380214821</v>
      </c>
      <c r="S252">
        <v>3.2580965380214821</v>
      </c>
      <c r="T252">
        <v>95.68</v>
      </c>
      <c r="U252">
        <v>0</v>
      </c>
      <c r="V252">
        <v>1.82802042479695</v>
      </c>
      <c r="W252">
        <v>0.99424279543483596</v>
      </c>
      <c r="X252">
        <v>0.99177342203587404</v>
      </c>
      <c r="Y252">
        <v>-0.96278755162326501</v>
      </c>
      <c r="Z252">
        <v>-0.75605764486205096</v>
      </c>
      <c r="AA252">
        <v>-0.80037586101695801</v>
      </c>
      <c r="AB252">
        <v>2092.91</v>
      </c>
      <c r="AC252">
        <v>0</v>
      </c>
      <c r="AD252">
        <v>2.1</v>
      </c>
      <c r="AE252">
        <v>-1.0768626388726401</v>
      </c>
      <c r="AF252">
        <v>-2.2225092850820499E-2</v>
      </c>
      <c r="AG252">
        <v>-0.14901023121989501</v>
      </c>
      <c r="AH252">
        <v>-2.39725234073626</v>
      </c>
      <c r="AI252">
        <v>-1.15915877202898</v>
      </c>
      <c r="AJ252">
        <v>0.57843942711228902</v>
      </c>
      <c r="AK252">
        <v>49.042560999999999</v>
      </c>
      <c r="AL252">
        <v>3.9528660000000002</v>
      </c>
      <c r="AM252">
        <v>50.640682937000001</v>
      </c>
      <c r="AN252">
        <v>4.6610704270000003</v>
      </c>
    </row>
    <row r="253" spans="1:40" x14ac:dyDescent="0.35">
      <c r="A253">
        <v>333</v>
      </c>
      <c r="B253">
        <v>72</v>
      </c>
      <c r="C253" t="s">
        <v>40</v>
      </c>
      <c r="D253" t="s">
        <v>52</v>
      </c>
      <c r="E253" t="s">
        <v>42</v>
      </c>
      <c r="F253" t="s">
        <v>49</v>
      </c>
      <c r="G253">
        <v>4</v>
      </c>
      <c r="H253">
        <v>16</v>
      </c>
      <c r="I253">
        <v>7</v>
      </c>
      <c r="J253" t="s">
        <v>45</v>
      </c>
      <c r="K253" t="s">
        <v>46</v>
      </c>
      <c r="L253" t="s">
        <v>58</v>
      </c>
      <c r="M253">
        <v>460.41294441952408</v>
      </c>
      <c r="N253">
        <v>570</v>
      </c>
      <c r="O253">
        <v>405</v>
      </c>
      <c r="P253">
        <v>249</v>
      </c>
      <c r="Q253">
        <v>3.2580965380214821</v>
      </c>
      <c r="R253">
        <v>2.8903717578961645</v>
      </c>
      <c r="S253">
        <v>4.7535901911063645</v>
      </c>
      <c r="T253">
        <v>90.794285714285706</v>
      </c>
      <c r="U253">
        <v>0</v>
      </c>
      <c r="V253">
        <v>0.63905639120027702</v>
      </c>
      <c r="W253">
        <v>0.692565001186083</v>
      </c>
      <c r="X253">
        <v>0.56469097254324596</v>
      </c>
      <c r="Y253">
        <v>1.4483117406157899</v>
      </c>
      <c r="Z253">
        <v>1.7680602694732599</v>
      </c>
      <c r="AA253">
        <v>0.26366440732357699</v>
      </c>
      <c r="AB253">
        <v>4236</v>
      </c>
      <c r="AC253">
        <v>0</v>
      </c>
      <c r="AD253">
        <v>4</v>
      </c>
      <c r="AE253">
        <v>1.6751267091712101</v>
      </c>
      <c r="AF253">
        <v>0.25174602346955371</v>
      </c>
      <c r="AG253">
        <v>1.9997258140982368</v>
      </c>
      <c r="AH253">
        <v>-0.20471396030728645</v>
      </c>
      <c r="AI253">
        <v>4.62839205116998E-2</v>
      </c>
      <c r="AJ253">
        <v>-0.27179167453594999</v>
      </c>
      <c r="AK253">
        <v>45.198478000000001</v>
      </c>
      <c r="AL253">
        <v>-0.74874399999999997</v>
      </c>
      <c r="AM253">
        <v>48.822000000000003</v>
      </c>
      <c r="AN253">
        <v>2.1779999999999999</v>
      </c>
    </row>
    <row r="254" spans="1:40" x14ac:dyDescent="0.35">
      <c r="A254">
        <v>335</v>
      </c>
      <c r="B254">
        <v>72</v>
      </c>
      <c r="C254" t="s">
        <v>40</v>
      </c>
      <c r="D254" t="s">
        <v>52</v>
      </c>
      <c r="E254" t="s">
        <v>42</v>
      </c>
      <c r="F254" t="s">
        <v>49</v>
      </c>
      <c r="G254">
        <v>5</v>
      </c>
      <c r="H254">
        <v>25</v>
      </c>
      <c r="I254">
        <v>7</v>
      </c>
      <c r="J254" t="s">
        <v>50</v>
      </c>
      <c r="K254" t="s">
        <v>46</v>
      </c>
      <c r="L254" t="s">
        <v>65</v>
      </c>
      <c r="M254">
        <v>279.7078506219151</v>
      </c>
      <c r="N254">
        <v>408</v>
      </c>
      <c r="O254">
        <v>220</v>
      </c>
      <c r="P254">
        <v>232</v>
      </c>
      <c r="Q254">
        <v>0</v>
      </c>
      <c r="R254">
        <v>0</v>
      </c>
      <c r="S254">
        <v>4.4543472962535073</v>
      </c>
      <c r="T254">
        <v>89.333044733044744</v>
      </c>
      <c r="U254">
        <v>1.2554235437523662</v>
      </c>
      <c r="V254">
        <v>1.64975517953679</v>
      </c>
      <c r="W254">
        <v>2.4220969657957299</v>
      </c>
      <c r="X254">
        <v>1.68128863126442</v>
      </c>
      <c r="Y254">
        <v>2.0553398017137301</v>
      </c>
      <c r="Z254">
        <v>2.0921400018840099</v>
      </c>
      <c r="AA254">
        <v>2.0596698968962701</v>
      </c>
      <c r="AB254">
        <v>3262.71</v>
      </c>
      <c r="AC254">
        <v>0.33</v>
      </c>
      <c r="AD254">
        <v>0.66</v>
      </c>
      <c r="AE254">
        <v>1.9221838973381</v>
      </c>
      <c r="AF254">
        <v>-0.107809911879006</v>
      </c>
      <c r="AG254">
        <v>-0.45385959159803901</v>
      </c>
      <c r="AH254">
        <v>-1.0697324947553799</v>
      </c>
      <c r="AI254">
        <v>-1.11303045368999</v>
      </c>
      <c r="AJ254">
        <v>0.35436705940605701</v>
      </c>
      <c r="AK254">
        <v>43.537466000000002</v>
      </c>
      <c r="AL254">
        <v>6.4627330000000001</v>
      </c>
      <c r="AM254">
        <v>45.767306300000001</v>
      </c>
      <c r="AN254">
        <v>4.8343065000000003</v>
      </c>
    </row>
    <row r="255" spans="1:40" x14ac:dyDescent="0.35">
      <c r="A255">
        <v>336</v>
      </c>
      <c r="B255">
        <v>72</v>
      </c>
      <c r="C255" t="s">
        <v>40</v>
      </c>
      <c r="D255" t="s">
        <v>52</v>
      </c>
      <c r="E255" t="s">
        <v>42</v>
      </c>
      <c r="F255" t="s">
        <v>49</v>
      </c>
      <c r="G255">
        <v>5</v>
      </c>
      <c r="H255">
        <v>25</v>
      </c>
      <c r="I255">
        <v>7</v>
      </c>
      <c r="J255" t="s">
        <v>56</v>
      </c>
      <c r="K255" t="s">
        <v>46</v>
      </c>
      <c r="L255" t="s">
        <v>71</v>
      </c>
      <c r="M255">
        <v>25.499671603353121</v>
      </c>
      <c r="N255">
        <v>186</v>
      </c>
      <c r="O255">
        <v>120</v>
      </c>
      <c r="P255">
        <v>198</v>
      </c>
      <c r="Q255">
        <v>4.5747109785033828</v>
      </c>
      <c r="R255">
        <v>3.5263605246161616</v>
      </c>
      <c r="S255">
        <v>5.1416635565026603</v>
      </c>
      <c r="T255">
        <v>92.265120976563693</v>
      </c>
      <c r="U255">
        <v>2.9351954657362995</v>
      </c>
      <c r="V255">
        <v>-8.3509539921858403E-2</v>
      </c>
      <c r="W255">
        <v>-8.6188355584626702E-2</v>
      </c>
      <c r="X255">
        <v>-6.2117403422328299E-2</v>
      </c>
      <c r="Y255">
        <v>-0.51135009403950604</v>
      </c>
      <c r="Z255">
        <v>-0.669554030021006</v>
      </c>
      <c r="AA255">
        <v>-1.4915282051312999</v>
      </c>
      <c r="AB255">
        <v>1813.5248996931791</v>
      </c>
      <c r="AC255">
        <v>1.6535284399339156</v>
      </c>
      <c r="AD255">
        <v>0.49421760679726223</v>
      </c>
      <c r="AE255">
        <v>-0.18520258641298501</v>
      </c>
      <c r="AF255">
        <v>-0.60912586472122698</v>
      </c>
      <c r="AG255">
        <v>-0.45992938315596399</v>
      </c>
      <c r="AH255">
        <v>1.05181696906763E-2</v>
      </c>
      <c r="AI255">
        <v>-0.50063704907222695</v>
      </c>
      <c r="AJ255">
        <v>0.59325491583897505</v>
      </c>
      <c r="AK255">
        <v>45.071283999999999</v>
      </c>
      <c r="AL255">
        <v>4.8370730000000002</v>
      </c>
      <c r="AM255">
        <v>45.255249999999997</v>
      </c>
      <c r="AN255">
        <v>4.6435000000000004</v>
      </c>
    </row>
    <row r="256" spans="1:40" x14ac:dyDescent="0.35">
      <c r="A256">
        <v>337</v>
      </c>
      <c r="B256">
        <v>72</v>
      </c>
      <c r="C256" t="s">
        <v>40</v>
      </c>
      <c r="D256" t="s">
        <v>52</v>
      </c>
      <c r="E256" t="s">
        <v>42</v>
      </c>
      <c r="F256" t="s">
        <v>49</v>
      </c>
      <c r="G256">
        <v>4</v>
      </c>
      <c r="H256">
        <v>16</v>
      </c>
      <c r="I256">
        <v>7</v>
      </c>
      <c r="J256" t="s">
        <v>56</v>
      </c>
      <c r="K256" t="s">
        <v>46</v>
      </c>
      <c r="L256" t="s">
        <v>62</v>
      </c>
      <c r="M256">
        <v>640.57323641882579</v>
      </c>
      <c r="N256">
        <v>847</v>
      </c>
      <c r="O256">
        <v>430</v>
      </c>
      <c r="P256">
        <v>366</v>
      </c>
      <c r="Q256">
        <v>0.69314718055994529</v>
      </c>
      <c r="R256">
        <v>3.2580965380214821</v>
      </c>
      <c r="S256">
        <v>3.2580965380214821</v>
      </c>
      <c r="T256">
        <v>95.68</v>
      </c>
      <c r="U256">
        <v>0</v>
      </c>
      <c r="V256">
        <v>1.82802042479695</v>
      </c>
      <c r="W256">
        <v>0.99424279543483596</v>
      </c>
      <c r="X256">
        <v>0.99177342203587404</v>
      </c>
      <c r="Y256">
        <v>-0.96278755162326501</v>
      </c>
      <c r="Z256">
        <v>-0.75605764486205096</v>
      </c>
      <c r="AA256">
        <v>-0.80037586101695801</v>
      </c>
      <c r="AB256">
        <v>2092.91</v>
      </c>
      <c r="AC256">
        <v>0</v>
      </c>
      <c r="AD256">
        <v>2.1</v>
      </c>
      <c r="AE256">
        <v>-1.0768626388726401</v>
      </c>
      <c r="AF256">
        <v>0.73144219273731503</v>
      </c>
      <c r="AG256">
        <v>1.08799156813118</v>
      </c>
      <c r="AH256">
        <v>0.56756830853141804</v>
      </c>
      <c r="AI256">
        <v>1.40901751062816E-2</v>
      </c>
      <c r="AJ256">
        <v>0.41788150884445602</v>
      </c>
      <c r="AK256">
        <v>49.042560999999999</v>
      </c>
      <c r="AL256">
        <v>3.9528660000000002</v>
      </c>
      <c r="AM256">
        <v>43.615124999999992</v>
      </c>
      <c r="AN256">
        <v>6.7263749999999991</v>
      </c>
    </row>
    <row r="257" spans="1:40" x14ac:dyDescent="0.35">
      <c r="A257">
        <v>338</v>
      </c>
      <c r="B257">
        <v>57</v>
      </c>
      <c r="C257" t="s">
        <v>40</v>
      </c>
      <c r="D257" t="s">
        <v>41</v>
      </c>
      <c r="E257" t="s">
        <v>42</v>
      </c>
      <c r="F257" t="s">
        <v>61</v>
      </c>
      <c r="G257">
        <v>5</v>
      </c>
      <c r="H257">
        <v>25</v>
      </c>
      <c r="I257">
        <v>5</v>
      </c>
      <c r="J257" t="s">
        <v>56</v>
      </c>
      <c r="K257" t="s">
        <v>46</v>
      </c>
      <c r="L257" t="s">
        <v>65</v>
      </c>
      <c r="M257">
        <v>279.7078506219151</v>
      </c>
      <c r="N257">
        <v>408</v>
      </c>
      <c r="O257">
        <v>220</v>
      </c>
      <c r="P257">
        <v>232</v>
      </c>
      <c r="Q257">
        <v>0</v>
      </c>
      <c r="R257">
        <v>0</v>
      </c>
      <c r="S257">
        <v>4.4543472962535073</v>
      </c>
      <c r="T257">
        <v>89.333044733044744</v>
      </c>
      <c r="U257">
        <v>1.2554235437523662</v>
      </c>
      <c r="V257">
        <v>1.64975517953679</v>
      </c>
      <c r="W257">
        <v>2.4220969657957299</v>
      </c>
      <c r="X257">
        <v>1.68128863126442</v>
      </c>
      <c r="Y257">
        <v>2.0553398017137301</v>
      </c>
      <c r="Z257">
        <v>2.0921400018840099</v>
      </c>
      <c r="AA257">
        <v>2.0596698968962701</v>
      </c>
      <c r="AB257">
        <v>3262.71</v>
      </c>
      <c r="AC257">
        <v>0.33</v>
      </c>
      <c r="AD257">
        <v>0.66</v>
      </c>
      <c r="AE257">
        <v>1.9221838973381</v>
      </c>
      <c r="AF257">
        <v>0.13570303197016201</v>
      </c>
      <c r="AG257">
        <v>-1.8003352997084401</v>
      </c>
      <c r="AH257">
        <v>0.92009565518193503</v>
      </c>
      <c r="AI257">
        <v>0.46780078307068801</v>
      </c>
      <c r="AJ257">
        <v>-1.01736518295351</v>
      </c>
      <c r="AK257">
        <v>43.537466000000002</v>
      </c>
      <c r="AL257">
        <v>6.4627330000000001</v>
      </c>
      <c r="AM257">
        <v>45.767306300000001</v>
      </c>
      <c r="AN257">
        <v>4.8343065000000003</v>
      </c>
    </row>
    <row r="258" spans="1:40" x14ac:dyDescent="0.35">
      <c r="A258">
        <v>340</v>
      </c>
      <c r="B258">
        <v>57</v>
      </c>
      <c r="C258" t="s">
        <v>40</v>
      </c>
      <c r="D258" t="s">
        <v>52</v>
      </c>
      <c r="E258" t="s">
        <v>42</v>
      </c>
      <c r="F258" t="s">
        <v>49</v>
      </c>
      <c r="G258">
        <v>5</v>
      </c>
      <c r="H258">
        <v>25</v>
      </c>
      <c r="I258">
        <v>5</v>
      </c>
      <c r="J258" t="s">
        <v>45</v>
      </c>
      <c r="K258" t="s">
        <v>46</v>
      </c>
      <c r="L258" t="s">
        <v>78</v>
      </c>
      <c r="M258">
        <v>282.34087322283739</v>
      </c>
      <c r="N258">
        <v>428</v>
      </c>
      <c r="O258">
        <v>514</v>
      </c>
      <c r="P258">
        <v>1067</v>
      </c>
      <c r="Q258">
        <v>0</v>
      </c>
      <c r="R258">
        <v>0</v>
      </c>
      <c r="S258">
        <v>3.784189633918261</v>
      </c>
      <c r="T258">
        <v>88.642856449106446</v>
      </c>
      <c r="U258">
        <v>1.0940428522509147</v>
      </c>
      <c r="V258">
        <v>8.5508000285955607E-3</v>
      </c>
      <c r="W258">
        <v>-0.51120442009665101</v>
      </c>
      <c r="X258">
        <v>-0.50395056569549701</v>
      </c>
      <c r="Y258">
        <v>-1.08176131679965</v>
      </c>
      <c r="Z258">
        <v>-1.2254354371323599</v>
      </c>
      <c r="AA258">
        <v>-2.1159072764009799</v>
      </c>
      <c r="AB258">
        <v>465.17385257301805</v>
      </c>
      <c r="AC258">
        <v>0.43254520166898469</v>
      </c>
      <c r="AD258">
        <v>0.43254520166898469</v>
      </c>
      <c r="AE258">
        <v>7.7424783941295205E-2</v>
      </c>
      <c r="AF258">
        <v>0.79877274353654004</v>
      </c>
      <c r="AG258">
        <v>-4.9690638775821902E-2</v>
      </c>
      <c r="AH258">
        <v>-6.7015470885877504E-2</v>
      </c>
      <c r="AI258">
        <v>-0.21160779150395001</v>
      </c>
      <c r="AJ258">
        <v>-0.56012370934216604</v>
      </c>
      <c r="AK258">
        <v>42.680641999999999</v>
      </c>
      <c r="AL258">
        <v>9.3018979999999996</v>
      </c>
      <c r="AM258">
        <v>43.147599999999997</v>
      </c>
      <c r="AN258">
        <v>5.8977000000000004</v>
      </c>
    </row>
    <row r="259" spans="1:40" x14ac:dyDescent="0.35">
      <c r="A259">
        <v>341</v>
      </c>
      <c r="B259">
        <v>72</v>
      </c>
      <c r="C259" t="s">
        <v>40</v>
      </c>
      <c r="D259" t="s">
        <v>52</v>
      </c>
      <c r="E259" t="s">
        <v>42</v>
      </c>
      <c r="F259" t="s">
        <v>49</v>
      </c>
      <c r="G259">
        <v>5</v>
      </c>
      <c r="H259">
        <v>25</v>
      </c>
      <c r="I259">
        <v>7</v>
      </c>
      <c r="J259" t="s">
        <v>50</v>
      </c>
      <c r="K259" t="s">
        <v>46</v>
      </c>
      <c r="L259" t="s">
        <v>51</v>
      </c>
      <c r="M259">
        <v>157.82131685425651</v>
      </c>
      <c r="N259">
        <v>184</v>
      </c>
      <c r="O259">
        <v>154</v>
      </c>
      <c r="P259">
        <v>161</v>
      </c>
      <c r="Q259">
        <v>0</v>
      </c>
      <c r="R259">
        <v>1.3862943611198906</v>
      </c>
      <c r="S259">
        <v>4.3438054218536841</v>
      </c>
      <c r="T259">
        <v>91.16</v>
      </c>
      <c r="U259">
        <v>2.3174698847378039</v>
      </c>
      <c r="V259">
        <v>-0.58471966768986094</v>
      </c>
      <c r="W259">
        <v>-0.55557078097057</v>
      </c>
      <c r="X259">
        <v>-0.47566183223429498</v>
      </c>
      <c r="Y259">
        <v>-0.95884680312505799</v>
      </c>
      <c r="Z259">
        <v>-0.76521334103430205</v>
      </c>
      <c r="AA259">
        <v>-0.77245900699560299</v>
      </c>
      <c r="AB259">
        <v>1376</v>
      </c>
      <c r="AC259">
        <v>0</v>
      </c>
      <c r="AD259">
        <v>2</v>
      </c>
      <c r="AE259">
        <v>-1.2769936012368599</v>
      </c>
      <c r="AF259">
        <v>-1.2967181566589601</v>
      </c>
      <c r="AG259">
        <v>-2.5986085393938398</v>
      </c>
      <c r="AH259">
        <v>2.0739047260321296E-2</v>
      </c>
      <c r="AI259">
        <v>-1.2264750161372899</v>
      </c>
      <c r="AJ259">
        <v>1.4605510605852301</v>
      </c>
      <c r="AK259">
        <v>47.815207299999997</v>
      </c>
      <c r="AL259">
        <v>3.8001657</v>
      </c>
      <c r="AM259">
        <v>48.856372813999997</v>
      </c>
      <c r="AN259">
        <v>2.3525296170000001</v>
      </c>
    </row>
    <row r="260" spans="1:40" x14ac:dyDescent="0.35">
      <c r="A260">
        <v>342</v>
      </c>
      <c r="B260">
        <v>57</v>
      </c>
      <c r="C260" t="s">
        <v>40</v>
      </c>
      <c r="D260" t="s">
        <v>41</v>
      </c>
      <c r="E260" t="s">
        <v>82</v>
      </c>
      <c r="F260" t="s">
        <v>61</v>
      </c>
      <c r="G260">
        <v>5</v>
      </c>
      <c r="H260">
        <v>25</v>
      </c>
      <c r="I260">
        <v>6</v>
      </c>
      <c r="J260" t="s">
        <v>50</v>
      </c>
      <c r="K260" t="s">
        <v>46</v>
      </c>
      <c r="L260" t="s">
        <v>83</v>
      </c>
      <c r="M260">
        <v>268.61617350970539</v>
      </c>
      <c r="N260">
        <v>280</v>
      </c>
      <c r="O260">
        <v>193</v>
      </c>
      <c r="P260">
        <v>250</v>
      </c>
      <c r="Q260">
        <v>0</v>
      </c>
      <c r="R260">
        <v>0</v>
      </c>
      <c r="S260">
        <v>4.4886363697321396</v>
      </c>
      <c r="T260">
        <v>90.115111111111119</v>
      </c>
      <c r="U260">
        <v>1.2513404171152498</v>
      </c>
      <c r="V260">
        <v>-0.46152060700845399</v>
      </c>
      <c r="W260">
        <v>-0.57121975163865102</v>
      </c>
      <c r="X260">
        <v>-0.33135740862223101</v>
      </c>
      <c r="Y260">
        <v>-0.77598924050104101</v>
      </c>
      <c r="Z260">
        <v>0.47668876811384397</v>
      </c>
      <c r="AA260">
        <v>0.85617757356637403</v>
      </c>
      <c r="AB260">
        <v>2565</v>
      </c>
      <c r="AC260">
        <v>1</v>
      </c>
      <c r="AD260">
        <v>0</v>
      </c>
      <c r="AE260">
        <v>-0.72514205471140702</v>
      </c>
      <c r="AF260">
        <v>-1.98103140429378</v>
      </c>
      <c r="AG260">
        <v>-1.94475717755378</v>
      </c>
      <c r="AH260">
        <v>0.31892894541191702</v>
      </c>
      <c r="AI260">
        <v>-1.31654552416159</v>
      </c>
      <c r="AJ260">
        <v>1.515083773033</v>
      </c>
      <c r="AK260">
        <v>46.839658</v>
      </c>
      <c r="AL260">
        <v>4.7189269999999999</v>
      </c>
      <c r="AM260">
        <v>46.799817441999998</v>
      </c>
      <c r="AN260">
        <v>8.2450240959999999</v>
      </c>
    </row>
    <row r="261" spans="1:40" x14ac:dyDescent="0.35">
      <c r="A261">
        <v>343</v>
      </c>
      <c r="B261">
        <v>57</v>
      </c>
      <c r="C261" t="s">
        <v>40</v>
      </c>
      <c r="D261" t="s">
        <v>41</v>
      </c>
      <c r="E261" t="s">
        <v>42</v>
      </c>
      <c r="F261" t="s">
        <v>43</v>
      </c>
      <c r="G261">
        <v>3</v>
      </c>
      <c r="H261">
        <v>9</v>
      </c>
      <c r="I261">
        <v>3</v>
      </c>
      <c r="J261" t="s">
        <v>56</v>
      </c>
      <c r="K261" t="s">
        <v>46</v>
      </c>
      <c r="L261" t="s">
        <v>51</v>
      </c>
      <c r="M261">
        <v>174.81223626032201</v>
      </c>
      <c r="N261">
        <v>190</v>
      </c>
      <c r="O261">
        <v>151</v>
      </c>
      <c r="P261">
        <v>242</v>
      </c>
      <c r="Q261">
        <v>0</v>
      </c>
      <c r="R261">
        <v>1.3862943611198906</v>
      </c>
      <c r="S261">
        <v>4.3438054218536841</v>
      </c>
      <c r="T261">
        <v>91.16</v>
      </c>
      <c r="U261">
        <v>2.3174698847378039</v>
      </c>
      <c r="V261">
        <v>-0.58471966768986094</v>
      </c>
      <c r="W261">
        <v>-0.55557078097057</v>
      </c>
      <c r="X261">
        <v>-0.47566183223429498</v>
      </c>
      <c r="Y261">
        <v>-0.95884680312505799</v>
      </c>
      <c r="Z261">
        <v>-0.76521334103430205</v>
      </c>
      <c r="AA261">
        <v>-0.77245900699560299</v>
      </c>
      <c r="AB261">
        <v>1376</v>
      </c>
      <c r="AC261">
        <v>0</v>
      </c>
      <c r="AD261">
        <v>2</v>
      </c>
      <c r="AE261">
        <v>-1.2769936012368599</v>
      </c>
      <c r="AF261">
        <v>-0.16304568868442301</v>
      </c>
      <c r="AG261">
        <v>-1.1120568809403999</v>
      </c>
      <c r="AH261">
        <v>0.17843473171202301</v>
      </c>
      <c r="AI261">
        <v>-0.86126343690393703</v>
      </c>
      <c r="AJ261">
        <v>1.10166413446283E-2</v>
      </c>
      <c r="AK261">
        <v>47.815207299999997</v>
      </c>
      <c r="AL261">
        <v>3.8001657</v>
      </c>
      <c r="AM261">
        <v>48.819000000000003</v>
      </c>
      <c r="AN261">
        <v>1.984</v>
      </c>
    </row>
    <row r="262" spans="1:40" x14ac:dyDescent="0.35">
      <c r="A262">
        <v>344</v>
      </c>
      <c r="B262">
        <v>72</v>
      </c>
      <c r="C262" t="s">
        <v>40</v>
      </c>
      <c r="D262" t="s">
        <v>52</v>
      </c>
      <c r="E262" t="s">
        <v>42</v>
      </c>
      <c r="F262" t="s">
        <v>49</v>
      </c>
      <c r="G262">
        <v>5</v>
      </c>
      <c r="H262">
        <v>25</v>
      </c>
      <c r="I262">
        <v>4</v>
      </c>
      <c r="J262" t="s">
        <v>56</v>
      </c>
      <c r="K262" t="s">
        <v>46</v>
      </c>
      <c r="L262" t="s">
        <v>58</v>
      </c>
      <c r="M262">
        <v>477.52997283552651</v>
      </c>
      <c r="N262">
        <v>552</v>
      </c>
      <c r="O262">
        <v>397</v>
      </c>
      <c r="P262">
        <v>291</v>
      </c>
      <c r="Q262">
        <v>3.2580965380214821</v>
      </c>
      <c r="R262">
        <v>2.8903717578961645</v>
      </c>
      <c r="S262">
        <v>4.7535901911063645</v>
      </c>
      <c r="T262">
        <v>90.794285714285706</v>
      </c>
      <c r="U262">
        <v>0</v>
      </c>
      <c r="V262">
        <v>0.63905639120027702</v>
      </c>
      <c r="W262">
        <v>0.692565001186083</v>
      </c>
      <c r="X262">
        <v>0.56469097254324596</v>
      </c>
      <c r="Y262">
        <v>1.4483117406157899</v>
      </c>
      <c r="Z262">
        <v>1.7680602694732599</v>
      </c>
      <c r="AA262">
        <v>0.26366440732357699</v>
      </c>
      <c r="AB262">
        <v>4236</v>
      </c>
      <c r="AC262">
        <v>0</v>
      </c>
      <c r="AD262">
        <v>4</v>
      </c>
      <c r="AE262">
        <v>1.6751267091712101</v>
      </c>
      <c r="AF262">
        <v>0.422617238154192</v>
      </c>
      <c r="AG262">
        <v>1.4333920049817299</v>
      </c>
      <c r="AH262">
        <v>3.5343130643421698E-2</v>
      </c>
      <c r="AI262">
        <v>1.162708909901</v>
      </c>
      <c r="AJ262">
        <v>0.96203195566570499</v>
      </c>
      <c r="AK262">
        <v>45.198478000000001</v>
      </c>
      <c r="AL262">
        <v>-0.74874399999999997</v>
      </c>
      <c r="AM262">
        <v>48.514624999999995</v>
      </c>
      <c r="AN262">
        <v>3.2334999999999998</v>
      </c>
    </row>
    <row r="263" spans="1:40" x14ac:dyDescent="0.35">
      <c r="A263">
        <v>345</v>
      </c>
      <c r="B263">
        <v>57</v>
      </c>
      <c r="C263" t="s">
        <v>40</v>
      </c>
      <c r="D263" t="s">
        <v>66</v>
      </c>
      <c r="E263" t="s">
        <v>42</v>
      </c>
      <c r="F263" t="s">
        <v>53</v>
      </c>
      <c r="G263">
        <v>4</v>
      </c>
      <c r="H263">
        <v>16</v>
      </c>
      <c r="I263">
        <v>5</v>
      </c>
      <c r="J263" t="s">
        <v>56</v>
      </c>
      <c r="K263" t="s">
        <v>46</v>
      </c>
      <c r="L263" t="s">
        <v>67</v>
      </c>
      <c r="M263">
        <v>531.81869805246822</v>
      </c>
      <c r="N263">
        <v>680</v>
      </c>
      <c r="O263">
        <v>350</v>
      </c>
      <c r="P263">
        <v>281</v>
      </c>
      <c r="Q263">
        <v>0</v>
      </c>
      <c r="R263">
        <v>1.0986122886681098</v>
      </c>
      <c r="S263">
        <v>4.499809670330265</v>
      </c>
      <c r="T263">
        <v>90.053710317460329</v>
      </c>
      <c r="U263">
        <v>1.5728028449904734</v>
      </c>
      <c r="V263">
        <v>-0.577850340007529</v>
      </c>
      <c r="W263">
        <v>-0.32460727773589898</v>
      </c>
      <c r="X263">
        <v>-0.54369568891204501</v>
      </c>
      <c r="Y263">
        <v>-0.77598924050104101</v>
      </c>
      <c r="Z263">
        <v>0.47668876811384397</v>
      </c>
      <c r="AA263">
        <v>0.85617757356637403</v>
      </c>
      <c r="AB263">
        <v>2565</v>
      </c>
      <c r="AC263">
        <v>1</v>
      </c>
      <c r="AD263">
        <v>0</v>
      </c>
      <c r="AE263">
        <v>-0.72514205471140702</v>
      </c>
      <c r="AF263">
        <v>0.80387563354293401</v>
      </c>
      <c r="AG263">
        <v>1.04185014336005</v>
      </c>
      <c r="AH263">
        <v>0.54459409514579604</v>
      </c>
      <c r="AI263">
        <v>0.83269245639960299</v>
      </c>
      <c r="AJ263">
        <v>0.34895034106254003</v>
      </c>
      <c r="AK263">
        <v>46.303668000000002</v>
      </c>
      <c r="AL263">
        <v>4.8322269999999996</v>
      </c>
      <c r="AM263">
        <v>48.111866200000001</v>
      </c>
      <c r="AN263">
        <v>-1.6801145</v>
      </c>
    </row>
    <row r="264" spans="1:40" x14ac:dyDescent="0.35">
      <c r="A264">
        <v>346</v>
      </c>
      <c r="B264">
        <v>42</v>
      </c>
      <c r="C264" t="s">
        <v>40</v>
      </c>
      <c r="D264" t="s">
        <v>66</v>
      </c>
      <c r="E264" t="s">
        <v>42</v>
      </c>
      <c r="F264" t="s">
        <v>53</v>
      </c>
      <c r="G264">
        <v>4</v>
      </c>
      <c r="H264">
        <v>16</v>
      </c>
      <c r="I264">
        <v>6</v>
      </c>
      <c r="J264" t="s">
        <v>50</v>
      </c>
      <c r="K264" t="s">
        <v>46</v>
      </c>
      <c r="L264" t="s">
        <v>55</v>
      </c>
      <c r="M264">
        <v>4.1143507696704136</v>
      </c>
      <c r="N264">
        <v>0</v>
      </c>
      <c r="O264">
        <v>0</v>
      </c>
      <c r="P264">
        <v>0</v>
      </c>
      <c r="Q264">
        <v>2.0794415416798357</v>
      </c>
      <c r="R264">
        <v>2.3025850929940459</v>
      </c>
      <c r="S264">
        <v>3.2580965380214821</v>
      </c>
      <c r="T264">
        <v>95.12</v>
      </c>
      <c r="U264">
        <v>0</v>
      </c>
      <c r="V264">
        <v>1.89305099905856</v>
      </c>
      <c r="W264">
        <v>0.59880690621441701</v>
      </c>
      <c r="X264">
        <v>1.1856460040685599</v>
      </c>
      <c r="Y264">
        <v>-0.15565097555555901</v>
      </c>
      <c r="Z264">
        <v>-0.22748295097212001</v>
      </c>
      <c r="AA264">
        <v>1.0415013010201299</v>
      </c>
      <c r="AB264">
        <v>2939.9504036908884</v>
      </c>
      <c r="AC264">
        <v>2</v>
      </c>
      <c r="AD264">
        <v>0.42868127643214149</v>
      </c>
      <c r="AE264">
        <v>-2.40641039566141E-2</v>
      </c>
      <c r="AF264">
        <v>-1.6391384681392001</v>
      </c>
      <c r="AG264">
        <v>-0.27396221457553099</v>
      </c>
      <c r="AH264">
        <v>0.59406049875934097</v>
      </c>
      <c r="AI264">
        <v>-3.4241395948592501</v>
      </c>
      <c r="AJ264">
        <v>0.88481297274437198</v>
      </c>
      <c r="AK264">
        <v>48.0777517</v>
      </c>
      <c r="AL264">
        <v>7.3579641000000002</v>
      </c>
      <c r="AM264">
        <v>48.110000000000007</v>
      </c>
      <c r="AN264">
        <v>7.3849999999999989</v>
      </c>
    </row>
    <row r="265" spans="1:40" x14ac:dyDescent="0.35">
      <c r="A265">
        <v>347</v>
      </c>
      <c r="B265">
        <v>57</v>
      </c>
      <c r="C265" t="s">
        <v>40</v>
      </c>
      <c r="D265" t="s">
        <v>41</v>
      </c>
      <c r="E265" t="s">
        <v>42</v>
      </c>
      <c r="F265" t="s">
        <v>61</v>
      </c>
      <c r="G265">
        <v>4</v>
      </c>
      <c r="H265">
        <v>16</v>
      </c>
      <c r="I265">
        <v>5</v>
      </c>
      <c r="J265" t="s">
        <v>45</v>
      </c>
      <c r="K265" t="s">
        <v>46</v>
      </c>
      <c r="L265" t="s">
        <v>76</v>
      </c>
      <c r="M265">
        <v>168.81368474098679</v>
      </c>
      <c r="N265">
        <v>211</v>
      </c>
      <c r="O265">
        <v>159</v>
      </c>
      <c r="P265">
        <v>171</v>
      </c>
      <c r="Q265">
        <v>0</v>
      </c>
      <c r="R265">
        <v>1.0986122886681098</v>
      </c>
      <c r="S265">
        <v>4.1588830833596715</v>
      </c>
      <c r="T265">
        <v>91.226666666666674</v>
      </c>
      <c r="U265">
        <v>1.418823059726001</v>
      </c>
      <c r="V265">
        <v>-0.39095273818515502</v>
      </c>
      <c r="W265">
        <v>-0.53446083104759001</v>
      </c>
      <c r="X265">
        <v>-0.40804429067029002</v>
      </c>
      <c r="Y265">
        <v>-0.56789545922357498</v>
      </c>
      <c r="Z265">
        <v>-0.94760790482486201</v>
      </c>
      <c r="AA265">
        <v>-1.0848673571571601</v>
      </c>
      <c r="AB265">
        <v>1770.5103102717287</v>
      </c>
      <c r="AC265">
        <v>0.28213528618230871</v>
      </c>
      <c r="AD265">
        <v>1.7130468298323378</v>
      </c>
      <c r="AE265">
        <v>-1.13486126839574</v>
      </c>
      <c r="AF265">
        <v>-1.0452327093962701</v>
      </c>
      <c r="AG265">
        <v>0.26040688872397399</v>
      </c>
      <c r="AH265">
        <v>-1.9781812373905401</v>
      </c>
      <c r="AI265">
        <v>-1.51702957887206</v>
      </c>
      <c r="AJ265">
        <v>-2.0687822244122902</v>
      </c>
      <c r="AK265">
        <v>47.330690599999997</v>
      </c>
      <c r="AL265">
        <v>2.8390453999999998</v>
      </c>
      <c r="AM265">
        <v>48.835999999999999</v>
      </c>
      <c r="AN265">
        <v>2.5640000000000001</v>
      </c>
    </row>
    <row r="266" spans="1:40" x14ac:dyDescent="0.35">
      <c r="A266">
        <v>348</v>
      </c>
      <c r="B266">
        <v>57</v>
      </c>
      <c r="C266" t="s">
        <v>48</v>
      </c>
      <c r="D266" t="s">
        <v>41</v>
      </c>
      <c r="E266" t="s">
        <v>42</v>
      </c>
      <c r="F266" t="s">
        <v>49</v>
      </c>
      <c r="G266">
        <v>3</v>
      </c>
      <c r="H266">
        <v>9</v>
      </c>
      <c r="I266">
        <v>5</v>
      </c>
      <c r="J266" t="s">
        <v>56</v>
      </c>
      <c r="K266" t="s">
        <v>46</v>
      </c>
      <c r="L266" t="s">
        <v>67</v>
      </c>
      <c r="M266">
        <v>266.62038670116999</v>
      </c>
      <c r="N266">
        <v>298</v>
      </c>
      <c r="O266">
        <v>170</v>
      </c>
      <c r="P266">
        <v>112</v>
      </c>
      <c r="Q266">
        <v>0</v>
      </c>
      <c r="R266">
        <v>1.0986122886681098</v>
      </c>
      <c r="S266">
        <v>4.499809670330265</v>
      </c>
      <c r="T266">
        <v>90.053710317460329</v>
      </c>
      <c r="U266">
        <v>1.5728028449904734</v>
      </c>
      <c r="V266">
        <v>-0.577850340007529</v>
      </c>
      <c r="W266">
        <v>-0.32460727773589898</v>
      </c>
      <c r="X266">
        <v>-0.54369568891204501</v>
      </c>
      <c r="Y266">
        <v>-0.77598924050104101</v>
      </c>
      <c r="Z266">
        <v>0.47668876811384397</v>
      </c>
      <c r="AA266">
        <v>0.85617757356637403</v>
      </c>
      <c r="AB266">
        <v>2565</v>
      </c>
      <c r="AC266">
        <v>1</v>
      </c>
      <c r="AD266">
        <v>0</v>
      </c>
      <c r="AE266">
        <v>-0.72514205471140702</v>
      </c>
      <c r="AF266">
        <v>-0.67662995167552697</v>
      </c>
      <c r="AG266">
        <v>1.1835205741796201E-2</v>
      </c>
      <c r="AH266">
        <v>1.7450422209774899E-2</v>
      </c>
      <c r="AI266">
        <v>0.133970802561167</v>
      </c>
      <c r="AJ266">
        <v>-4.0546813246288303E-2</v>
      </c>
      <c r="AK266">
        <v>46.303668000000002</v>
      </c>
      <c r="AL266">
        <v>4.8322269999999996</v>
      </c>
      <c r="AM266">
        <v>43.916249999999998</v>
      </c>
      <c r="AN266">
        <v>5.1037499999999998</v>
      </c>
    </row>
    <row r="267" spans="1:40" x14ac:dyDescent="0.35">
      <c r="A267">
        <v>349</v>
      </c>
      <c r="B267">
        <v>72</v>
      </c>
      <c r="C267" t="s">
        <v>40</v>
      </c>
      <c r="D267" t="s">
        <v>52</v>
      </c>
      <c r="E267" t="s">
        <v>42</v>
      </c>
      <c r="F267" t="s">
        <v>49</v>
      </c>
      <c r="G267">
        <v>4</v>
      </c>
      <c r="H267">
        <v>16</v>
      </c>
      <c r="I267">
        <v>7</v>
      </c>
      <c r="J267" t="s">
        <v>45</v>
      </c>
      <c r="K267" t="s">
        <v>46</v>
      </c>
      <c r="L267" t="s">
        <v>55</v>
      </c>
      <c r="M267">
        <v>384.00431263801238</v>
      </c>
      <c r="N267">
        <v>529</v>
      </c>
      <c r="O267">
        <v>374</v>
      </c>
      <c r="P267">
        <v>212</v>
      </c>
      <c r="Q267">
        <v>2.0794415416798357</v>
      </c>
      <c r="R267">
        <v>2.3025850929940459</v>
      </c>
      <c r="S267">
        <v>3.2580965380214821</v>
      </c>
      <c r="T267">
        <v>95.12</v>
      </c>
      <c r="U267">
        <v>0</v>
      </c>
      <c r="V267">
        <v>1.89305099905856</v>
      </c>
      <c r="W267">
        <v>0.59880690621441701</v>
      </c>
      <c r="X267">
        <v>1.1856460040685599</v>
      </c>
      <c r="Y267">
        <v>-0.15565097555555901</v>
      </c>
      <c r="Z267">
        <v>-0.22748295097212001</v>
      </c>
      <c r="AA267">
        <v>1.0415013010201299</v>
      </c>
      <c r="AB267">
        <v>2939.9504036908884</v>
      </c>
      <c r="AC267">
        <v>2</v>
      </c>
      <c r="AD267">
        <v>0.42868127643214149</v>
      </c>
      <c r="AE267">
        <v>-2.40641039566141E-2</v>
      </c>
      <c r="AF267">
        <v>-6.23067549421807E-2</v>
      </c>
      <c r="AG267">
        <v>0.58448436384798697</v>
      </c>
      <c r="AH267">
        <v>-0.72713974266975601</v>
      </c>
      <c r="AI267">
        <v>0.35378999399261002</v>
      </c>
      <c r="AJ267">
        <v>-0.15447679766821101</v>
      </c>
      <c r="AK267">
        <v>48.0777517</v>
      </c>
      <c r="AL267">
        <v>7.3579641000000002</v>
      </c>
      <c r="AM267">
        <v>48.970999999999997</v>
      </c>
      <c r="AN267">
        <v>2.3260000000000001</v>
      </c>
    </row>
    <row r="268" spans="1:40" x14ac:dyDescent="0.35">
      <c r="A268">
        <v>351</v>
      </c>
      <c r="B268">
        <v>72</v>
      </c>
      <c r="C268" t="s">
        <v>40</v>
      </c>
      <c r="D268" t="s">
        <v>41</v>
      </c>
      <c r="E268" t="s">
        <v>42</v>
      </c>
      <c r="F268" t="s">
        <v>49</v>
      </c>
      <c r="G268">
        <v>5</v>
      </c>
      <c r="H268">
        <v>25</v>
      </c>
      <c r="I268">
        <v>6</v>
      </c>
      <c r="J268" t="s">
        <v>56</v>
      </c>
      <c r="K268" t="s">
        <v>46</v>
      </c>
      <c r="L268" t="s">
        <v>47</v>
      </c>
      <c r="M268">
        <v>612.50793880840058</v>
      </c>
      <c r="N268">
        <v>752</v>
      </c>
      <c r="O268">
        <v>457</v>
      </c>
      <c r="P268">
        <v>323</v>
      </c>
      <c r="Q268">
        <v>5.9107966440405271</v>
      </c>
      <c r="R268">
        <v>6.4997870406558542</v>
      </c>
      <c r="S268">
        <v>8.6415324656718457</v>
      </c>
      <c r="T268">
        <v>89.265350482850479</v>
      </c>
      <c r="U268">
        <v>1.4417786561042019</v>
      </c>
      <c r="V268">
        <v>-0.22886708829074301</v>
      </c>
      <c r="W268">
        <v>0.28745285629339301</v>
      </c>
      <c r="X268">
        <v>-0.15627425222847</v>
      </c>
      <c r="Y268">
        <v>1.45226138127617</v>
      </c>
      <c r="Z268">
        <v>0.98247225355557</v>
      </c>
      <c r="AA268">
        <v>0.627775520474398</v>
      </c>
      <c r="AB268">
        <v>3362.2959371744532</v>
      </c>
      <c r="AC268">
        <v>2.8998317172850387</v>
      </c>
      <c r="AD268">
        <v>2.9499158586425196</v>
      </c>
      <c r="AE268">
        <v>1.06273170356322</v>
      </c>
      <c r="AF268">
        <v>0.73564621967111898</v>
      </c>
      <c r="AG268">
        <v>0.41851029887087998</v>
      </c>
      <c r="AH268">
        <v>-0.40273239865420102</v>
      </c>
      <c r="AI268">
        <v>-3.7225459024454198E-2</v>
      </c>
      <c r="AJ268">
        <v>-0.19457120090969099</v>
      </c>
      <c r="AK268">
        <v>43.3535629403058</v>
      </c>
      <c r="AL268">
        <v>3.21615314793977</v>
      </c>
      <c r="AM268">
        <v>48.802999999999997</v>
      </c>
      <c r="AN268">
        <v>2.1179999999999999</v>
      </c>
    </row>
    <row r="269" spans="1:40" x14ac:dyDescent="0.35">
      <c r="A269">
        <v>352</v>
      </c>
      <c r="B269">
        <v>72</v>
      </c>
      <c r="C269" t="s">
        <v>40</v>
      </c>
      <c r="D269" t="s">
        <v>52</v>
      </c>
      <c r="E269" t="s">
        <v>42</v>
      </c>
      <c r="F269" t="s">
        <v>49</v>
      </c>
      <c r="G269">
        <v>4</v>
      </c>
      <c r="H269">
        <v>16</v>
      </c>
      <c r="I269">
        <v>6</v>
      </c>
      <c r="J269" t="s">
        <v>45</v>
      </c>
      <c r="K269" t="s">
        <v>46</v>
      </c>
      <c r="L269" t="s">
        <v>83</v>
      </c>
      <c r="M269">
        <v>400.14886049988519</v>
      </c>
      <c r="N269">
        <v>608</v>
      </c>
      <c r="O269">
        <v>378</v>
      </c>
      <c r="P269">
        <v>395</v>
      </c>
      <c r="Q269">
        <v>0</v>
      </c>
      <c r="R269">
        <v>0</v>
      </c>
      <c r="S269">
        <v>4.4886363697321396</v>
      </c>
      <c r="T269">
        <v>90.115111111111119</v>
      </c>
      <c r="U269">
        <v>1.2513404171152498</v>
      </c>
      <c r="V269">
        <v>-0.46152060700845399</v>
      </c>
      <c r="W269">
        <v>-0.57121975163865102</v>
      </c>
      <c r="X269">
        <v>-0.33135740862223101</v>
      </c>
      <c r="Y269">
        <v>-0.77598924050104101</v>
      </c>
      <c r="Z269">
        <v>0.47668876811384397</v>
      </c>
      <c r="AA269">
        <v>0.85617757356637403</v>
      </c>
      <c r="AB269">
        <v>2565</v>
      </c>
      <c r="AC269">
        <v>1</v>
      </c>
      <c r="AD269">
        <v>0</v>
      </c>
      <c r="AE269">
        <v>-0.72514205471140702</v>
      </c>
      <c r="AF269">
        <v>0.21444064571166899</v>
      </c>
      <c r="AG269">
        <v>0.55228950064129301</v>
      </c>
      <c r="AH269">
        <v>-6.5492151395054002E-2</v>
      </c>
      <c r="AI269">
        <v>0.39867092194033299</v>
      </c>
      <c r="AJ269">
        <v>-0.67519937676701902</v>
      </c>
      <c r="AK269">
        <v>46.839658</v>
      </c>
      <c r="AL269">
        <v>4.7189269999999999</v>
      </c>
      <c r="AM269">
        <v>43.712000000000003</v>
      </c>
      <c r="AN269">
        <v>7.2380000000000004</v>
      </c>
    </row>
    <row r="270" spans="1:40" x14ac:dyDescent="0.35">
      <c r="A270">
        <v>353</v>
      </c>
      <c r="B270">
        <v>57</v>
      </c>
      <c r="C270" t="s">
        <v>40</v>
      </c>
      <c r="D270" t="s">
        <v>41</v>
      </c>
      <c r="E270" t="s">
        <v>42</v>
      </c>
      <c r="F270" t="s">
        <v>49</v>
      </c>
      <c r="G270">
        <v>4</v>
      </c>
      <c r="H270">
        <v>16</v>
      </c>
      <c r="I270">
        <v>4</v>
      </c>
      <c r="J270" t="s">
        <v>56</v>
      </c>
      <c r="K270" t="s">
        <v>46</v>
      </c>
      <c r="L270" t="s">
        <v>79</v>
      </c>
      <c r="M270">
        <v>613.7641846501449</v>
      </c>
      <c r="N270">
        <v>757</v>
      </c>
      <c r="O270">
        <v>450</v>
      </c>
      <c r="P270">
        <v>473</v>
      </c>
      <c r="Q270">
        <v>0</v>
      </c>
      <c r="R270">
        <v>1.0986122886681098</v>
      </c>
      <c r="S270">
        <v>4.4659081186545837</v>
      </c>
      <c r="T270">
        <v>90.88000000000001</v>
      </c>
      <c r="U270">
        <v>0.63076672920079646</v>
      </c>
      <c r="V270">
        <v>-0.66459185691613598</v>
      </c>
      <c r="W270">
        <v>-0.11297510960708999</v>
      </c>
      <c r="X270">
        <v>-0.19037106594949799</v>
      </c>
      <c r="Y270">
        <v>-0.374020329094302</v>
      </c>
      <c r="Z270">
        <v>-0.78642831806525804</v>
      </c>
      <c r="AA270">
        <v>-1.3830773108541501</v>
      </c>
      <c r="AB270">
        <v>1910</v>
      </c>
      <c r="AC270">
        <v>4</v>
      </c>
      <c r="AD270">
        <v>0</v>
      </c>
      <c r="AE270">
        <v>3.4620335695619099E-2</v>
      </c>
      <c r="AF270">
        <v>0.36940414175615</v>
      </c>
      <c r="AG270">
        <v>0.179805854626507</v>
      </c>
      <c r="AH270">
        <v>-8.1588281849289401E-3</v>
      </c>
      <c r="AI270">
        <v>0.70355689425261803</v>
      </c>
      <c r="AJ270">
        <v>-6.8206787437313093E-2</v>
      </c>
      <c r="AK270">
        <v>42.698529999999998</v>
      </c>
      <c r="AL270">
        <v>2.8953120000000001</v>
      </c>
      <c r="AM270">
        <v>47.206794299999999</v>
      </c>
      <c r="AN270">
        <v>-1.5949811</v>
      </c>
    </row>
    <row r="271" spans="1:40" x14ac:dyDescent="0.35">
      <c r="A271">
        <v>354</v>
      </c>
      <c r="B271">
        <v>72</v>
      </c>
      <c r="C271" t="s">
        <v>40</v>
      </c>
      <c r="D271" t="s">
        <v>52</v>
      </c>
      <c r="E271" t="s">
        <v>68</v>
      </c>
      <c r="F271" t="s">
        <v>49</v>
      </c>
      <c r="G271">
        <v>7</v>
      </c>
      <c r="H271">
        <v>49</v>
      </c>
      <c r="I271">
        <v>7</v>
      </c>
      <c r="J271" t="s">
        <v>50</v>
      </c>
      <c r="K271" t="s">
        <v>46</v>
      </c>
      <c r="L271" t="s">
        <v>81</v>
      </c>
      <c r="M271">
        <v>261.34262421284723</v>
      </c>
      <c r="N271">
        <v>794</v>
      </c>
      <c r="O271">
        <v>506</v>
      </c>
      <c r="P271">
        <v>364</v>
      </c>
      <c r="Q271">
        <v>0</v>
      </c>
      <c r="R271">
        <v>0</v>
      </c>
      <c r="S271">
        <v>4.0430512678345503</v>
      </c>
      <c r="T271">
        <v>88.705120018058608</v>
      </c>
      <c r="U271">
        <v>1.1736806104474848</v>
      </c>
      <c r="V271">
        <v>-0.47558929701305802</v>
      </c>
      <c r="W271">
        <v>-0.86536000504125898</v>
      </c>
      <c r="X271">
        <v>-0.756079468432718</v>
      </c>
      <c r="Y271">
        <v>-0.29991099617686701</v>
      </c>
      <c r="Z271">
        <v>-0.41295088194839003</v>
      </c>
      <c r="AA271">
        <v>-1.4747044340851601</v>
      </c>
      <c r="AB271">
        <v>2397.9202643171807</v>
      </c>
      <c r="AC271">
        <v>4.5123348017621154</v>
      </c>
      <c r="AD271">
        <v>0.89074889867841411</v>
      </c>
      <c r="AE271">
        <v>2.0319785812814501</v>
      </c>
      <c r="AF271">
        <v>-2.48910081960457E-2</v>
      </c>
      <c r="AG271">
        <v>-0.56268062305885802</v>
      </c>
      <c r="AH271">
        <v>-1.00156308341887</v>
      </c>
      <c r="AI271">
        <v>-0.58100767693219901</v>
      </c>
      <c r="AJ271">
        <v>1.3227175957634101</v>
      </c>
      <c r="AK271">
        <v>48.862724999999998</v>
      </c>
      <c r="AL271">
        <v>2.2875920000000001</v>
      </c>
      <c r="AM271">
        <v>50.640682937000001</v>
      </c>
      <c r="AN271">
        <v>4.6610704270000003</v>
      </c>
    </row>
    <row r="272" spans="1:40" x14ac:dyDescent="0.35">
      <c r="A272">
        <v>355</v>
      </c>
      <c r="B272">
        <v>72</v>
      </c>
      <c r="C272" t="s">
        <v>48</v>
      </c>
      <c r="D272" t="s">
        <v>52</v>
      </c>
      <c r="E272" t="s">
        <v>42</v>
      </c>
      <c r="F272" t="s">
        <v>49</v>
      </c>
      <c r="G272">
        <v>7</v>
      </c>
      <c r="H272">
        <v>49</v>
      </c>
      <c r="I272">
        <v>6</v>
      </c>
      <c r="J272" t="s">
        <v>50</v>
      </c>
      <c r="K272" t="s">
        <v>46</v>
      </c>
      <c r="L272" t="s">
        <v>60</v>
      </c>
      <c r="M272">
        <v>560.27888678499482</v>
      </c>
      <c r="N272">
        <v>704</v>
      </c>
      <c r="O272">
        <v>480</v>
      </c>
      <c r="P272">
        <v>291</v>
      </c>
      <c r="Q272">
        <v>3.8501476017100584</v>
      </c>
      <c r="R272">
        <v>2.9957322735539909</v>
      </c>
      <c r="S272">
        <v>5.4424177105217932</v>
      </c>
      <c r="T272">
        <v>88.975873222691746</v>
      </c>
      <c r="U272">
        <v>2.5514539469641888</v>
      </c>
      <c r="V272">
        <v>2.9336799326863701</v>
      </c>
      <c r="W272">
        <v>3.3730943146768602</v>
      </c>
      <c r="X272">
        <v>3.6072071704345601</v>
      </c>
      <c r="Y272">
        <v>-0.19189497559235799</v>
      </c>
      <c r="Z272">
        <v>0.17569111512999699</v>
      </c>
      <c r="AA272">
        <v>-0.304970615080496</v>
      </c>
      <c r="AB272">
        <v>1906.836709612184</v>
      </c>
      <c r="AC272">
        <v>0.7978420820676605</v>
      </c>
      <c r="AD272">
        <v>2.1056638128240834</v>
      </c>
      <c r="AE272">
        <v>-0.25037207080954499</v>
      </c>
      <c r="AF272">
        <v>-0.65284120201928297</v>
      </c>
      <c r="AG272">
        <v>1.23678361139655</v>
      </c>
      <c r="AH272">
        <v>-9.7542717786490804E-2</v>
      </c>
      <c r="AI272">
        <v>0.372978009775849</v>
      </c>
      <c r="AJ272">
        <v>1.31732974816191</v>
      </c>
      <c r="AK272">
        <v>44.055988999999997</v>
      </c>
      <c r="AL272">
        <v>4.8317350000000001</v>
      </c>
      <c r="AM272">
        <v>48.768000000000001</v>
      </c>
      <c r="AN272">
        <v>2.2629999999999999</v>
      </c>
    </row>
    <row r="273" spans="1:40" x14ac:dyDescent="0.35">
      <c r="A273">
        <v>357</v>
      </c>
      <c r="B273">
        <v>57</v>
      </c>
      <c r="C273" t="s">
        <v>40</v>
      </c>
      <c r="D273" t="s">
        <v>41</v>
      </c>
      <c r="E273" t="s">
        <v>42</v>
      </c>
      <c r="F273" t="s">
        <v>53</v>
      </c>
      <c r="G273">
        <v>4</v>
      </c>
      <c r="H273">
        <v>16</v>
      </c>
      <c r="I273">
        <v>5</v>
      </c>
      <c r="J273" t="s">
        <v>45</v>
      </c>
      <c r="K273" t="s">
        <v>46</v>
      </c>
      <c r="L273" t="s">
        <v>57</v>
      </c>
      <c r="M273">
        <v>211.55089973827239</v>
      </c>
      <c r="N273">
        <v>284</v>
      </c>
      <c r="O273">
        <v>177</v>
      </c>
      <c r="P273">
        <v>166</v>
      </c>
      <c r="Q273">
        <v>0.69314718055994529</v>
      </c>
      <c r="R273">
        <v>3.6109179126442243</v>
      </c>
      <c r="S273">
        <v>5.8833223884882786</v>
      </c>
      <c r="T273">
        <v>90.922105263157903</v>
      </c>
      <c r="U273">
        <v>2.3923758041545438</v>
      </c>
      <c r="V273">
        <v>-0.399596989308249</v>
      </c>
      <c r="W273">
        <v>-0.58810405700346202</v>
      </c>
      <c r="X273">
        <v>-0.29041857108635599</v>
      </c>
      <c r="Y273">
        <v>-0.846122564821426</v>
      </c>
      <c r="Z273">
        <v>-0.92679578564836795</v>
      </c>
      <c r="AA273">
        <v>0.86332342905974202</v>
      </c>
      <c r="AB273">
        <v>2050</v>
      </c>
      <c r="AC273">
        <v>1</v>
      </c>
      <c r="AD273">
        <v>2</v>
      </c>
      <c r="AE273">
        <v>-0.51011828243844404</v>
      </c>
      <c r="AF273">
        <v>-0.86725501186857301</v>
      </c>
      <c r="AG273">
        <v>1.2298578776627</v>
      </c>
      <c r="AH273">
        <v>-2.5455348300340002</v>
      </c>
      <c r="AI273">
        <v>-0.23286184433118701</v>
      </c>
      <c r="AJ273">
        <v>-7.1765096271031198E-2</v>
      </c>
      <c r="AK273">
        <v>47.023905999999997</v>
      </c>
      <c r="AL273">
        <v>4.8380429999999999</v>
      </c>
      <c r="AM273">
        <v>48.277999999999999</v>
      </c>
      <c r="AN273">
        <v>2.7182000000000004</v>
      </c>
    </row>
    <row r="274" spans="1:40" x14ac:dyDescent="0.35">
      <c r="A274">
        <v>359</v>
      </c>
      <c r="B274">
        <v>72</v>
      </c>
      <c r="C274" t="s">
        <v>40</v>
      </c>
      <c r="D274" t="s">
        <v>52</v>
      </c>
      <c r="E274" t="s">
        <v>42</v>
      </c>
      <c r="F274" t="s">
        <v>49</v>
      </c>
      <c r="G274">
        <v>5</v>
      </c>
      <c r="H274">
        <v>25</v>
      </c>
      <c r="I274">
        <v>3</v>
      </c>
      <c r="J274" t="s">
        <v>50</v>
      </c>
      <c r="K274" t="s">
        <v>46</v>
      </c>
      <c r="L274" t="s">
        <v>69</v>
      </c>
      <c r="M274">
        <v>239.03017686985541</v>
      </c>
      <c r="N274">
        <v>297</v>
      </c>
      <c r="O274">
        <v>150</v>
      </c>
      <c r="P274">
        <v>184</v>
      </c>
      <c r="Q274">
        <v>2.3978952727983707</v>
      </c>
      <c r="R274">
        <v>4.5538768916005408</v>
      </c>
      <c r="S274">
        <v>5.4847969334906548</v>
      </c>
      <c r="T274">
        <v>93.296000000000006</v>
      </c>
      <c r="U274">
        <v>2.2325431437911538</v>
      </c>
      <c r="V274">
        <v>-0.44922684044461197</v>
      </c>
      <c r="W274">
        <v>-0.76855194782346203</v>
      </c>
      <c r="X274">
        <v>-0.44700324392789598</v>
      </c>
      <c r="Y274">
        <v>-0.846122564821426</v>
      </c>
      <c r="Z274">
        <v>-0.92679578564836795</v>
      </c>
      <c r="AA274">
        <v>0.86332342905974202</v>
      </c>
      <c r="AB274">
        <v>2050</v>
      </c>
      <c r="AC274">
        <v>1</v>
      </c>
      <c r="AD274">
        <v>2</v>
      </c>
      <c r="AE274">
        <v>-0.51011828243844404</v>
      </c>
      <c r="AF274">
        <v>-0.40291669688375997</v>
      </c>
      <c r="AG274">
        <v>-0.66217992508830503</v>
      </c>
      <c r="AH274">
        <v>0.94775709672136799</v>
      </c>
      <c r="AI274">
        <v>0.433230989667855</v>
      </c>
      <c r="AJ274">
        <v>1.1309803233428399</v>
      </c>
      <c r="AK274">
        <v>47.177235000000003</v>
      </c>
      <c r="AL274">
        <v>4.964315</v>
      </c>
      <c r="AM274">
        <v>48.515333333333331</v>
      </c>
      <c r="AN274">
        <v>2.4616666666666664</v>
      </c>
    </row>
    <row r="275" spans="1:40" x14ac:dyDescent="0.35">
      <c r="A275">
        <v>360</v>
      </c>
      <c r="B275">
        <v>72</v>
      </c>
      <c r="C275" t="s">
        <v>40</v>
      </c>
      <c r="D275" t="s">
        <v>52</v>
      </c>
      <c r="E275" t="s">
        <v>42</v>
      </c>
      <c r="F275" t="s">
        <v>49</v>
      </c>
      <c r="G275">
        <v>5</v>
      </c>
      <c r="H275">
        <v>25</v>
      </c>
      <c r="I275">
        <v>5</v>
      </c>
      <c r="J275" t="s">
        <v>56</v>
      </c>
      <c r="K275" t="s">
        <v>46</v>
      </c>
      <c r="L275" t="s">
        <v>55</v>
      </c>
      <c r="M275">
        <v>168.149701916157</v>
      </c>
      <c r="N275">
        <v>230</v>
      </c>
      <c r="O275">
        <v>156</v>
      </c>
      <c r="P275">
        <v>129</v>
      </c>
      <c r="Q275">
        <v>2.0794415416798357</v>
      </c>
      <c r="R275">
        <v>2.3025850929940459</v>
      </c>
      <c r="S275">
        <v>3.2580965380214821</v>
      </c>
      <c r="T275">
        <v>95.12</v>
      </c>
      <c r="U275">
        <v>0</v>
      </c>
      <c r="V275">
        <v>1.89305099905856</v>
      </c>
      <c r="W275">
        <v>0.59880690621441701</v>
      </c>
      <c r="X275">
        <v>1.1856460040685599</v>
      </c>
      <c r="Y275">
        <v>-0.15565097555555901</v>
      </c>
      <c r="Z275">
        <v>-0.22748295097212001</v>
      </c>
      <c r="AA275">
        <v>1.0415013010201299</v>
      </c>
      <c r="AB275">
        <v>2939.9504036908884</v>
      </c>
      <c r="AC275">
        <v>2</v>
      </c>
      <c r="AD275">
        <v>0.42868127643214149</v>
      </c>
      <c r="AE275">
        <v>-2.40641039566141E-2</v>
      </c>
      <c r="AF275">
        <v>0.19910307976125299</v>
      </c>
      <c r="AG275">
        <v>1.1672208108625901</v>
      </c>
      <c r="AH275">
        <v>0.98678495960471702</v>
      </c>
      <c r="AI275">
        <v>1.1216415089614</v>
      </c>
      <c r="AJ275">
        <v>-0.107145449545879</v>
      </c>
      <c r="AK275">
        <v>48.0777517</v>
      </c>
      <c r="AL275">
        <v>7.3579641000000002</v>
      </c>
      <c r="AM275">
        <v>49.314999999999998</v>
      </c>
      <c r="AN275">
        <v>6.044999999999999</v>
      </c>
    </row>
    <row r="276" spans="1:40" x14ac:dyDescent="0.35">
      <c r="A276">
        <v>361</v>
      </c>
      <c r="B276">
        <v>72</v>
      </c>
      <c r="C276" t="s">
        <v>40</v>
      </c>
      <c r="D276" t="s">
        <v>52</v>
      </c>
      <c r="E276" t="s">
        <v>42</v>
      </c>
      <c r="F276" t="s">
        <v>49</v>
      </c>
      <c r="G276">
        <v>5</v>
      </c>
      <c r="H276">
        <v>25</v>
      </c>
      <c r="I276">
        <v>7</v>
      </c>
      <c r="J276" t="s">
        <v>56</v>
      </c>
      <c r="K276" t="s">
        <v>46</v>
      </c>
      <c r="L276" t="s">
        <v>77</v>
      </c>
      <c r="M276">
        <v>164.27660207442099</v>
      </c>
      <c r="N276">
        <v>167</v>
      </c>
      <c r="O276">
        <v>109</v>
      </c>
      <c r="P276">
        <v>141</v>
      </c>
      <c r="Q276">
        <v>0</v>
      </c>
      <c r="R276">
        <v>2.3978952727983707</v>
      </c>
      <c r="S276">
        <v>5.1416635565026603</v>
      </c>
      <c r="T276">
        <v>90.472417453603512</v>
      </c>
      <c r="U276">
        <v>2.7735735584863375</v>
      </c>
      <c r="V276">
        <v>-0.15231437986527399</v>
      </c>
      <c r="W276">
        <v>3.49635939345109E-2</v>
      </c>
      <c r="X276">
        <v>-0.19627808847033801</v>
      </c>
      <c r="Y276">
        <v>-0.57382446736590997</v>
      </c>
      <c r="Z276">
        <v>-0.74335605457542497</v>
      </c>
      <c r="AA276">
        <v>-0.53588051656191904</v>
      </c>
      <c r="AB276">
        <v>3937</v>
      </c>
      <c r="AC276">
        <v>0</v>
      </c>
      <c r="AD276">
        <v>1</v>
      </c>
      <c r="AE276">
        <v>-0.60610368582010199</v>
      </c>
      <c r="AF276">
        <v>-2.1578116994264702</v>
      </c>
      <c r="AG276">
        <v>0.59890684453333098</v>
      </c>
      <c r="AH276">
        <v>1.4032328184876399</v>
      </c>
      <c r="AI276">
        <v>-2.0792068823253915</v>
      </c>
      <c r="AJ276">
        <v>1.6447818962532839</v>
      </c>
      <c r="AK276">
        <v>47.259622</v>
      </c>
      <c r="AL276">
        <v>-7.8518000000000004E-2</v>
      </c>
      <c r="AM276">
        <v>48.638799999999996</v>
      </c>
      <c r="AN276">
        <v>0.70540000000000003</v>
      </c>
    </row>
    <row r="277" spans="1:40" x14ac:dyDescent="0.35">
      <c r="A277">
        <v>363</v>
      </c>
      <c r="B277">
        <v>72</v>
      </c>
      <c r="C277" t="s">
        <v>40</v>
      </c>
      <c r="D277" t="s">
        <v>52</v>
      </c>
      <c r="E277" t="s">
        <v>42</v>
      </c>
      <c r="F277" t="s">
        <v>49</v>
      </c>
      <c r="G277">
        <v>4</v>
      </c>
      <c r="H277">
        <v>16</v>
      </c>
      <c r="I277">
        <v>5</v>
      </c>
      <c r="J277" t="s">
        <v>56</v>
      </c>
      <c r="K277" t="s">
        <v>46</v>
      </c>
      <c r="L277" t="s">
        <v>76</v>
      </c>
      <c r="M277">
        <v>173.64663678342501</v>
      </c>
      <c r="N277">
        <v>199</v>
      </c>
      <c r="O277">
        <v>141</v>
      </c>
      <c r="P277">
        <v>113</v>
      </c>
      <c r="Q277">
        <v>0</v>
      </c>
      <c r="R277">
        <v>1.0986122886681098</v>
      </c>
      <c r="S277">
        <v>4.1588830833596715</v>
      </c>
      <c r="T277">
        <v>91.226666666666674</v>
      </c>
      <c r="U277">
        <v>1.418823059726001</v>
      </c>
      <c r="V277">
        <v>-0.39095273818515502</v>
      </c>
      <c r="W277">
        <v>-0.53446083104759001</v>
      </c>
      <c r="X277">
        <v>-0.40804429067029002</v>
      </c>
      <c r="Y277">
        <v>-0.56789545922357498</v>
      </c>
      <c r="Z277">
        <v>-0.94760790482486201</v>
      </c>
      <c r="AA277">
        <v>-1.0848673571571601</v>
      </c>
      <c r="AB277">
        <v>1770.5103102717287</v>
      </c>
      <c r="AC277">
        <v>0.28213528618230871</v>
      </c>
      <c r="AD277">
        <v>1.7130468298323378</v>
      </c>
      <c r="AE277">
        <v>-1.13486126839574</v>
      </c>
      <c r="AF277">
        <v>1.8505077751116701</v>
      </c>
      <c r="AG277">
        <v>-1.0847832084518401</v>
      </c>
      <c r="AH277">
        <v>-4.3988337254557397</v>
      </c>
      <c r="AI277">
        <v>-2.8417861156190098</v>
      </c>
      <c r="AJ277">
        <v>0.32882076826222401</v>
      </c>
      <c r="AK277">
        <v>47.330690599999997</v>
      </c>
      <c r="AL277">
        <v>2.8390453999999998</v>
      </c>
      <c r="AM277">
        <v>48.856372813999997</v>
      </c>
      <c r="AN277">
        <v>2.3525296170000001</v>
      </c>
    </row>
    <row r="278" spans="1:40" x14ac:dyDescent="0.35">
      <c r="A278">
        <v>364</v>
      </c>
      <c r="B278">
        <v>57</v>
      </c>
      <c r="C278" t="s">
        <v>40</v>
      </c>
      <c r="D278" t="s">
        <v>52</v>
      </c>
      <c r="E278" t="s">
        <v>42</v>
      </c>
      <c r="F278" t="s">
        <v>43</v>
      </c>
      <c r="G278">
        <v>4</v>
      </c>
      <c r="H278">
        <v>16</v>
      </c>
      <c r="I278">
        <v>2</v>
      </c>
      <c r="J278" t="s">
        <v>56</v>
      </c>
      <c r="K278" t="s">
        <v>46</v>
      </c>
      <c r="L278" t="s">
        <v>69</v>
      </c>
      <c r="M278">
        <v>77.147781532537948</v>
      </c>
      <c r="N278">
        <v>127</v>
      </c>
      <c r="O278">
        <v>80</v>
      </c>
      <c r="P278">
        <v>120</v>
      </c>
      <c r="Q278">
        <v>2.3978952727983707</v>
      </c>
      <c r="R278">
        <v>4.5538768916005408</v>
      </c>
      <c r="S278">
        <v>5.4847969334906548</v>
      </c>
      <c r="T278">
        <v>93.296000000000006</v>
      </c>
      <c r="U278">
        <v>2.2325431437911538</v>
      </c>
      <c r="V278">
        <v>-0.44922684044461197</v>
      </c>
      <c r="W278">
        <v>-0.76855194782346203</v>
      </c>
      <c r="X278">
        <v>-0.44700324392789598</v>
      </c>
      <c r="Y278">
        <v>-0.846122564821426</v>
      </c>
      <c r="Z278">
        <v>-0.92679578564836795</v>
      </c>
      <c r="AA278">
        <v>0.86332342905974202</v>
      </c>
      <c r="AB278">
        <v>2050</v>
      </c>
      <c r="AC278">
        <v>1</v>
      </c>
      <c r="AD278">
        <v>2</v>
      </c>
      <c r="AE278">
        <v>-0.51011828243844404</v>
      </c>
      <c r="AF278">
        <v>0.73883757993889698</v>
      </c>
      <c r="AG278">
        <v>0.43677232683149397</v>
      </c>
      <c r="AH278">
        <v>-0.49635533335639898</v>
      </c>
      <c r="AI278">
        <v>-0.31586015133719603</v>
      </c>
      <c r="AJ278">
        <v>-2.5519453063133999E-2</v>
      </c>
      <c r="AK278">
        <v>47.177235000000003</v>
      </c>
      <c r="AL278">
        <v>4.964315</v>
      </c>
      <c r="AM278">
        <v>47.791000000000004</v>
      </c>
      <c r="AN278">
        <v>5.4405714285714284</v>
      </c>
    </row>
    <row r="279" spans="1:40" x14ac:dyDescent="0.35">
      <c r="A279">
        <v>365</v>
      </c>
      <c r="B279">
        <v>72</v>
      </c>
      <c r="C279" t="s">
        <v>40</v>
      </c>
      <c r="D279" t="s">
        <v>52</v>
      </c>
      <c r="E279" t="s">
        <v>42</v>
      </c>
      <c r="F279" t="s">
        <v>49</v>
      </c>
      <c r="G279">
        <v>4</v>
      </c>
      <c r="H279">
        <v>16</v>
      </c>
      <c r="I279">
        <v>5</v>
      </c>
      <c r="J279" t="s">
        <v>56</v>
      </c>
      <c r="K279" t="s">
        <v>46</v>
      </c>
      <c r="L279" t="s">
        <v>77</v>
      </c>
      <c r="M279">
        <v>150.3504882785264</v>
      </c>
      <c r="N279">
        <v>190</v>
      </c>
      <c r="O279">
        <v>141</v>
      </c>
      <c r="P279">
        <v>176</v>
      </c>
      <c r="Q279">
        <v>0</v>
      </c>
      <c r="R279">
        <v>2.3978952727983707</v>
      </c>
      <c r="S279">
        <v>5.1416635565026603</v>
      </c>
      <c r="T279">
        <v>90.472417453603512</v>
      </c>
      <c r="U279">
        <v>2.7735735584863375</v>
      </c>
      <c r="V279">
        <v>-0.15231437986527399</v>
      </c>
      <c r="W279">
        <v>3.49635939345109E-2</v>
      </c>
      <c r="X279">
        <v>-0.19627808847033801</v>
      </c>
      <c r="Y279">
        <v>-0.57382446736590997</v>
      </c>
      <c r="Z279">
        <v>-0.74335605457542497</v>
      </c>
      <c r="AA279">
        <v>-0.53588051656191904</v>
      </c>
      <c r="AB279">
        <v>3937</v>
      </c>
      <c r="AC279">
        <v>0</v>
      </c>
      <c r="AD279">
        <v>1</v>
      </c>
      <c r="AE279">
        <v>-0.72244456620022002</v>
      </c>
      <c r="AF279">
        <v>1.32571397156377</v>
      </c>
      <c r="AG279">
        <v>-0.52426627353802202</v>
      </c>
      <c r="AH279">
        <v>0.250029399347933</v>
      </c>
      <c r="AI279">
        <v>0.59749227622189605</v>
      </c>
      <c r="AJ279">
        <v>-0.55896796820925199</v>
      </c>
      <c r="AK279">
        <v>47.259622</v>
      </c>
      <c r="AL279">
        <v>-7.8518000000000004E-2</v>
      </c>
      <c r="AM279">
        <v>48.089328700000003</v>
      </c>
      <c r="AN279">
        <v>-1.6613457</v>
      </c>
    </row>
    <row r="280" spans="1:40" x14ac:dyDescent="0.35">
      <c r="A280">
        <v>366</v>
      </c>
      <c r="B280">
        <v>42</v>
      </c>
      <c r="C280" t="s">
        <v>40</v>
      </c>
      <c r="D280" t="s">
        <v>41</v>
      </c>
      <c r="E280" t="s">
        <v>42</v>
      </c>
      <c r="F280" t="s">
        <v>49</v>
      </c>
      <c r="G280">
        <v>5</v>
      </c>
      <c r="H280">
        <v>25</v>
      </c>
      <c r="I280">
        <v>5</v>
      </c>
      <c r="J280" t="s">
        <v>50</v>
      </c>
      <c r="K280" t="s">
        <v>46</v>
      </c>
      <c r="L280" t="s">
        <v>55</v>
      </c>
      <c r="M280">
        <v>320.84352438002179</v>
      </c>
      <c r="N280">
        <v>408</v>
      </c>
      <c r="O280">
        <v>263</v>
      </c>
      <c r="P280">
        <v>213</v>
      </c>
      <c r="Q280">
        <v>2.0794415416798357</v>
      </c>
      <c r="R280">
        <v>2.3025850929940459</v>
      </c>
      <c r="S280">
        <v>3.2580965380214821</v>
      </c>
      <c r="T280">
        <v>95.12</v>
      </c>
      <c r="U280">
        <v>0</v>
      </c>
      <c r="V280">
        <v>1.89305099905856</v>
      </c>
      <c r="W280">
        <v>0.59880690621441701</v>
      </c>
      <c r="X280">
        <v>1.1856460040685599</v>
      </c>
      <c r="Y280">
        <v>-0.15565097555555901</v>
      </c>
      <c r="Z280">
        <v>-0.22748295097212001</v>
      </c>
      <c r="AA280">
        <v>1.0415013010201299</v>
      </c>
      <c r="AB280">
        <v>2939.9504036908884</v>
      </c>
      <c r="AC280">
        <v>2</v>
      </c>
      <c r="AD280">
        <v>0.42868127643214149</v>
      </c>
      <c r="AE280">
        <v>-2.40641039566141E-2</v>
      </c>
      <c r="AF280">
        <v>-0.16160408969807399</v>
      </c>
      <c r="AG280">
        <v>-0.60243542026741803</v>
      </c>
      <c r="AH280">
        <v>0.50593749772547503</v>
      </c>
      <c r="AI280">
        <v>-0.94408381779665596</v>
      </c>
      <c r="AJ280">
        <v>0.85657624231093599</v>
      </c>
      <c r="AK280">
        <v>48.0777517</v>
      </c>
      <c r="AL280">
        <v>7.3579641000000002</v>
      </c>
      <c r="AM280">
        <v>45.767306300000001</v>
      </c>
      <c r="AN280">
        <v>4.8343065000000003</v>
      </c>
    </row>
    <row r="281" spans="1:40" x14ac:dyDescent="0.35">
      <c r="A281">
        <v>368</v>
      </c>
      <c r="B281">
        <v>57</v>
      </c>
      <c r="C281" t="s">
        <v>40</v>
      </c>
      <c r="D281" t="s">
        <v>41</v>
      </c>
      <c r="E281" t="s">
        <v>42</v>
      </c>
      <c r="F281" t="s">
        <v>49</v>
      </c>
      <c r="G281">
        <v>5</v>
      </c>
      <c r="H281">
        <v>25</v>
      </c>
      <c r="I281">
        <v>6</v>
      </c>
      <c r="J281" t="s">
        <v>50</v>
      </c>
      <c r="K281" t="s">
        <v>46</v>
      </c>
      <c r="L281" t="s">
        <v>62</v>
      </c>
      <c r="M281">
        <v>118.81389814254101</v>
      </c>
      <c r="N281">
        <v>143</v>
      </c>
      <c r="O281">
        <v>100</v>
      </c>
      <c r="P281">
        <v>80</v>
      </c>
      <c r="Q281">
        <v>0.69314718055994529</v>
      </c>
      <c r="R281">
        <v>3.2580965380214821</v>
      </c>
      <c r="S281">
        <v>3.2580965380214821</v>
      </c>
      <c r="T281">
        <v>95.68</v>
      </c>
      <c r="U281">
        <v>0</v>
      </c>
      <c r="V281">
        <v>1.82802042479695</v>
      </c>
      <c r="W281">
        <v>0.99424279543483596</v>
      </c>
      <c r="X281">
        <v>0.99177342203587404</v>
      </c>
      <c r="Y281">
        <v>-0.96278755162326501</v>
      </c>
      <c r="Z281">
        <v>-0.75605764486205096</v>
      </c>
      <c r="AA281">
        <v>-0.80037586101695801</v>
      </c>
      <c r="AB281">
        <v>2092.91</v>
      </c>
      <c r="AC281">
        <v>0</v>
      </c>
      <c r="AD281">
        <v>2.1</v>
      </c>
      <c r="AE281">
        <v>-1.0768626388726401</v>
      </c>
      <c r="AF281">
        <v>-0.39571802532095401</v>
      </c>
      <c r="AG281">
        <v>-0.61640679276534904</v>
      </c>
      <c r="AH281">
        <v>0.61425355981965202</v>
      </c>
      <c r="AI281">
        <v>-0.13685537087216301</v>
      </c>
      <c r="AJ281">
        <v>0.44784290717132602</v>
      </c>
      <c r="AK281">
        <v>49.042560999999999</v>
      </c>
      <c r="AL281">
        <v>3.9528660000000002</v>
      </c>
      <c r="AM281">
        <v>48.856372813999997</v>
      </c>
      <c r="AN281">
        <v>2.3525296170000001</v>
      </c>
    </row>
    <row r="282" spans="1:40" x14ac:dyDescent="0.35">
      <c r="A282">
        <v>372</v>
      </c>
      <c r="B282">
        <v>57</v>
      </c>
      <c r="C282" t="s">
        <v>40</v>
      </c>
      <c r="D282" t="s">
        <v>52</v>
      </c>
      <c r="E282" t="s">
        <v>42</v>
      </c>
      <c r="F282" t="s">
        <v>49</v>
      </c>
      <c r="G282">
        <v>6</v>
      </c>
      <c r="H282">
        <v>36</v>
      </c>
      <c r="I282">
        <v>4</v>
      </c>
      <c r="J282" t="s">
        <v>50</v>
      </c>
      <c r="K282" t="s">
        <v>46</v>
      </c>
      <c r="L282" t="s">
        <v>55</v>
      </c>
      <c r="M282">
        <v>712.68304868747714</v>
      </c>
      <c r="N282">
        <v>926</v>
      </c>
      <c r="O282">
        <v>600</v>
      </c>
      <c r="P282">
        <v>480</v>
      </c>
      <c r="Q282">
        <v>2.0794415416798357</v>
      </c>
      <c r="R282">
        <v>2.3025850929940459</v>
      </c>
      <c r="S282">
        <v>3.2580965380214821</v>
      </c>
      <c r="T282">
        <v>95.12</v>
      </c>
      <c r="U282">
        <v>0</v>
      </c>
      <c r="V282">
        <v>1.89305099905856</v>
      </c>
      <c r="W282">
        <v>0.59880690621441701</v>
      </c>
      <c r="X282">
        <v>1.1856460040685599</v>
      </c>
      <c r="Y282">
        <v>-0.15565097555555901</v>
      </c>
      <c r="Z282">
        <v>-0.22748295097212001</v>
      </c>
      <c r="AA282">
        <v>1.0415013010201299</v>
      </c>
      <c r="AB282">
        <v>2939.9504036908884</v>
      </c>
      <c r="AC282">
        <v>2</v>
      </c>
      <c r="AD282">
        <v>0.42868127643214149</v>
      </c>
      <c r="AE282">
        <v>-2.40641039566141E-2</v>
      </c>
      <c r="AF282">
        <v>-0.314719977912225</v>
      </c>
      <c r="AG282">
        <v>-2.2405737997556598</v>
      </c>
      <c r="AH282">
        <v>1.5359480053576799</v>
      </c>
      <c r="AI282">
        <v>-0.52788736258139901</v>
      </c>
      <c r="AJ282">
        <v>1.7876409933900199</v>
      </c>
      <c r="AK282">
        <v>48.0777517</v>
      </c>
      <c r="AL282">
        <v>7.3579641000000002</v>
      </c>
      <c r="AM282">
        <v>47.64414285714286</v>
      </c>
      <c r="AN282">
        <v>-2.1684285714285716</v>
      </c>
    </row>
    <row r="283" spans="1:40" x14ac:dyDescent="0.35">
      <c r="A283">
        <v>373</v>
      </c>
      <c r="B283">
        <v>72</v>
      </c>
      <c r="C283" t="s">
        <v>40</v>
      </c>
      <c r="D283" t="s">
        <v>52</v>
      </c>
      <c r="E283" t="s">
        <v>42</v>
      </c>
      <c r="F283" t="s">
        <v>49</v>
      </c>
      <c r="G283">
        <v>3</v>
      </c>
      <c r="H283">
        <v>9</v>
      </c>
      <c r="I283">
        <v>4</v>
      </c>
      <c r="J283" t="s">
        <v>56</v>
      </c>
      <c r="K283" t="s">
        <v>46</v>
      </c>
      <c r="L283" t="s">
        <v>73</v>
      </c>
      <c r="M283">
        <v>509.01499173025383</v>
      </c>
      <c r="N283">
        <v>588</v>
      </c>
      <c r="O283">
        <v>372</v>
      </c>
      <c r="P283">
        <v>207</v>
      </c>
      <c r="Q283">
        <v>1.9459101490553132</v>
      </c>
      <c r="R283">
        <v>2.9444389791664403</v>
      </c>
      <c r="S283">
        <v>4.2626798770413155</v>
      </c>
      <c r="T283">
        <v>91.872500000000002</v>
      </c>
      <c r="U283">
        <v>2.0033201607997366</v>
      </c>
      <c r="V283">
        <v>7.5580716531248995E-2</v>
      </c>
      <c r="W283">
        <v>0.203376316306385</v>
      </c>
      <c r="X283">
        <v>0.143329752535333</v>
      </c>
      <c r="Y283">
        <v>1.4483117406157899</v>
      </c>
      <c r="Z283">
        <v>1.7680602694732599</v>
      </c>
      <c r="AA283">
        <v>0.26366440732357699</v>
      </c>
      <c r="AB283">
        <v>4236</v>
      </c>
      <c r="AC283">
        <v>0</v>
      </c>
      <c r="AD283">
        <v>4</v>
      </c>
      <c r="AE283">
        <v>1.6751267091712101</v>
      </c>
      <c r="AF283">
        <v>-1.1551712242363401</v>
      </c>
      <c r="AG283">
        <v>-0.800548379470719</v>
      </c>
      <c r="AH283">
        <v>-0.93227832050779902</v>
      </c>
      <c r="AI283">
        <v>-1.35903632616334</v>
      </c>
      <c r="AJ283">
        <v>-0.28982945805242799</v>
      </c>
      <c r="AK283">
        <v>44.686388999999998</v>
      </c>
      <c r="AL283">
        <v>-0.52383800000000003</v>
      </c>
      <c r="AM283">
        <v>48.869000000000014</v>
      </c>
      <c r="AN283">
        <v>2.177</v>
      </c>
    </row>
    <row r="284" spans="1:40" x14ac:dyDescent="0.35">
      <c r="A284">
        <v>374</v>
      </c>
      <c r="B284">
        <v>57</v>
      </c>
      <c r="C284" t="s">
        <v>40</v>
      </c>
      <c r="D284" t="s">
        <v>52</v>
      </c>
      <c r="E284" t="s">
        <v>42</v>
      </c>
      <c r="F284" t="s">
        <v>49</v>
      </c>
      <c r="G284">
        <v>5</v>
      </c>
      <c r="H284">
        <v>25</v>
      </c>
      <c r="I284">
        <v>6</v>
      </c>
      <c r="J284" t="s">
        <v>50</v>
      </c>
      <c r="K284" t="s">
        <v>46</v>
      </c>
      <c r="L284" t="s">
        <v>54</v>
      </c>
      <c r="M284">
        <v>378.59434914964612</v>
      </c>
      <c r="N284">
        <v>523</v>
      </c>
      <c r="O284">
        <v>324</v>
      </c>
      <c r="P284">
        <v>390</v>
      </c>
      <c r="Q284">
        <v>3.9889840465642745</v>
      </c>
      <c r="R284">
        <v>3.0910424533583161</v>
      </c>
      <c r="S284">
        <v>4.1271343850450917</v>
      </c>
      <c r="T284">
        <v>92.826666666666668</v>
      </c>
      <c r="U284">
        <v>2.9827057067926286</v>
      </c>
      <c r="V284">
        <v>-0.16604708794949699</v>
      </c>
      <c r="W284">
        <v>-0.150727876652859</v>
      </c>
      <c r="X284">
        <v>-0.19602043866096</v>
      </c>
      <c r="Y284">
        <v>1.4483117406157899</v>
      </c>
      <c r="Z284">
        <v>1.7680602694732599</v>
      </c>
      <c r="AA284">
        <v>0.26366440732357699</v>
      </c>
      <c r="AB284">
        <v>4236</v>
      </c>
      <c r="AC284">
        <v>0</v>
      </c>
      <c r="AD284">
        <v>4</v>
      </c>
      <c r="AE284">
        <v>1.6751267091712101</v>
      </c>
      <c r="AF284">
        <v>-0.150709678845967</v>
      </c>
      <c r="AG284">
        <v>0.28296252987806197</v>
      </c>
      <c r="AH284">
        <v>1.14192168389099</v>
      </c>
      <c r="AI284">
        <v>0.35823129016069299</v>
      </c>
      <c r="AJ284">
        <v>1.0686860663347699</v>
      </c>
      <c r="AK284">
        <v>44.917983300000003</v>
      </c>
      <c r="AL284">
        <v>-0.22352169999999999</v>
      </c>
      <c r="AM284">
        <v>44.220799999999997</v>
      </c>
      <c r="AN284">
        <v>4.4498000000000006</v>
      </c>
    </row>
    <row r="285" spans="1:40" x14ac:dyDescent="0.35">
      <c r="A285">
        <v>375</v>
      </c>
      <c r="B285">
        <v>57</v>
      </c>
      <c r="C285" t="s">
        <v>40</v>
      </c>
      <c r="D285" t="s">
        <v>52</v>
      </c>
      <c r="E285" t="s">
        <v>42</v>
      </c>
      <c r="F285" t="s">
        <v>49</v>
      </c>
      <c r="G285">
        <v>4</v>
      </c>
      <c r="H285">
        <v>16</v>
      </c>
      <c r="I285">
        <v>4</v>
      </c>
      <c r="J285" t="s">
        <v>56</v>
      </c>
      <c r="K285" t="s">
        <v>46</v>
      </c>
      <c r="L285" t="s">
        <v>67</v>
      </c>
      <c r="M285">
        <v>59.707727583038832</v>
      </c>
      <c r="N285">
        <v>73</v>
      </c>
      <c r="O285">
        <v>50</v>
      </c>
      <c r="P285">
        <v>47</v>
      </c>
      <c r="Q285">
        <v>0</v>
      </c>
      <c r="R285">
        <v>1.0986122886681098</v>
      </c>
      <c r="S285">
        <v>4.499809670330265</v>
      </c>
      <c r="T285">
        <v>90.053710317460329</v>
      </c>
      <c r="U285">
        <v>1.5728028449904734</v>
      </c>
      <c r="V285">
        <v>-0.577850340007529</v>
      </c>
      <c r="W285">
        <v>-0.32460727773589898</v>
      </c>
      <c r="X285">
        <v>-0.54369568891204501</v>
      </c>
      <c r="Y285">
        <v>-0.77598924050104101</v>
      </c>
      <c r="Z285">
        <v>0.47668876811384397</v>
      </c>
      <c r="AA285">
        <v>0.85617757356637403</v>
      </c>
      <c r="AB285">
        <v>2565</v>
      </c>
      <c r="AC285">
        <v>1</v>
      </c>
      <c r="AD285">
        <v>0</v>
      </c>
      <c r="AE285">
        <v>-0.72514205471140702</v>
      </c>
      <c r="AF285">
        <v>0.416234517618637</v>
      </c>
      <c r="AG285">
        <v>1.3968679490605</v>
      </c>
      <c r="AH285">
        <v>0.22258900004781701</v>
      </c>
      <c r="AI285">
        <v>-0.51762259069809402</v>
      </c>
      <c r="AJ285">
        <v>-4.8976191527590598E-2</v>
      </c>
      <c r="AK285">
        <v>46.303668000000002</v>
      </c>
      <c r="AL285">
        <v>4.8322269999999996</v>
      </c>
      <c r="AM285">
        <v>45.767306300000001</v>
      </c>
      <c r="AN285">
        <v>4.8343065000000003</v>
      </c>
    </row>
    <row r="286" spans="1:40" x14ac:dyDescent="0.35">
      <c r="A286">
        <v>376</v>
      </c>
      <c r="B286">
        <v>42</v>
      </c>
      <c r="C286" t="s">
        <v>40</v>
      </c>
      <c r="D286" t="s">
        <v>66</v>
      </c>
      <c r="E286" t="s">
        <v>42</v>
      </c>
      <c r="F286" t="s">
        <v>53</v>
      </c>
      <c r="G286">
        <v>7</v>
      </c>
      <c r="H286">
        <v>49</v>
      </c>
      <c r="I286">
        <v>4</v>
      </c>
      <c r="J286" t="s">
        <v>56</v>
      </c>
      <c r="K286" t="s">
        <v>46</v>
      </c>
      <c r="L286" t="s">
        <v>71</v>
      </c>
      <c r="M286">
        <v>41.75078706831053</v>
      </c>
      <c r="N286">
        <v>146</v>
      </c>
      <c r="O286">
        <v>90</v>
      </c>
      <c r="P286">
        <v>130</v>
      </c>
      <c r="Q286">
        <v>4.5747109785033828</v>
      </c>
      <c r="R286">
        <v>3.5263605246161616</v>
      </c>
      <c r="S286">
        <v>5.1416635565026603</v>
      </c>
      <c r="T286">
        <v>92.265120976563693</v>
      </c>
      <c r="U286">
        <v>2.9351954657362995</v>
      </c>
      <c r="V286">
        <v>-8.3509539921858403E-2</v>
      </c>
      <c r="W286">
        <v>-8.6188355584626702E-2</v>
      </c>
      <c r="X286">
        <v>-6.2117403422328299E-2</v>
      </c>
      <c r="Y286">
        <v>-0.51135009403950604</v>
      </c>
      <c r="Z286">
        <v>-0.669554030021006</v>
      </c>
      <c r="AA286">
        <v>-1.4915282051312999</v>
      </c>
      <c r="AB286">
        <v>1813.5248996931791</v>
      </c>
      <c r="AC286">
        <v>1.6535284399339156</v>
      </c>
      <c r="AD286">
        <v>0.49421760679726223</v>
      </c>
      <c r="AE286">
        <v>-0.18520258641298501</v>
      </c>
      <c r="AF286">
        <v>-0.28141754044393202</v>
      </c>
      <c r="AG286">
        <v>0.24505318876427901</v>
      </c>
      <c r="AH286">
        <v>-0.31424176621361499</v>
      </c>
      <c r="AI286">
        <v>0.15671612967517001</v>
      </c>
      <c r="AJ286">
        <v>9.9556968364891502E-2</v>
      </c>
      <c r="AK286">
        <v>45.071283999999999</v>
      </c>
      <c r="AL286">
        <v>4.8370730000000002</v>
      </c>
      <c r="AM286">
        <v>44.730708333333318</v>
      </c>
      <c r="AN286">
        <v>5.0588333333333324</v>
      </c>
    </row>
    <row r="287" spans="1:40" x14ac:dyDescent="0.35">
      <c r="A287">
        <v>377</v>
      </c>
      <c r="B287">
        <v>72</v>
      </c>
      <c r="C287" t="s">
        <v>40</v>
      </c>
      <c r="D287" t="s">
        <v>52</v>
      </c>
      <c r="E287" t="s">
        <v>42</v>
      </c>
      <c r="F287" t="s">
        <v>49</v>
      </c>
      <c r="G287">
        <v>5</v>
      </c>
      <c r="H287">
        <v>25</v>
      </c>
      <c r="I287">
        <v>3</v>
      </c>
      <c r="J287" t="s">
        <v>50</v>
      </c>
      <c r="K287" t="s">
        <v>46</v>
      </c>
      <c r="L287" t="s">
        <v>55</v>
      </c>
      <c r="M287">
        <v>43.913699276256438</v>
      </c>
      <c r="N287">
        <v>73</v>
      </c>
      <c r="O287">
        <v>61</v>
      </c>
      <c r="P287">
        <v>30</v>
      </c>
      <c r="Q287">
        <v>2.0794415416798357</v>
      </c>
      <c r="R287">
        <v>2.3025850929940459</v>
      </c>
      <c r="S287">
        <v>3.2580965380214821</v>
      </c>
      <c r="T287">
        <v>95.12</v>
      </c>
      <c r="U287">
        <v>0</v>
      </c>
      <c r="V287">
        <v>1.89305099905856</v>
      </c>
      <c r="W287">
        <v>0.59880690621441701</v>
      </c>
      <c r="X287">
        <v>1.1856460040685599</v>
      </c>
      <c r="Y287">
        <v>-0.15565097555555901</v>
      </c>
      <c r="Z287">
        <v>-0.22748295097212001</v>
      </c>
      <c r="AA287">
        <v>1.0415013010201299</v>
      </c>
      <c r="AB287">
        <v>2939.9504036908884</v>
      </c>
      <c r="AC287">
        <v>2</v>
      </c>
      <c r="AD287">
        <v>0.42868127643214149</v>
      </c>
      <c r="AE287">
        <v>-2.40641039566141E-2</v>
      </c>
      <c r="AF287">
        <v>-0.369565634122069</v>
      </c>
      <c r="AG287">
        <v>1.51627513332668</v>
      </c>
      <c r="AH287">
        <v>1.0506018271698301</v>
      </c>
      <c r="AI287">
        <v>1.2833455957005699</v>
      </c>
      <c r="AJ287">
        <v>0.77693159401898104</v>
      </c>
      <c r="AK287">
        <v>48.0777517</v>
      </c>
      <c r="AL287">
        <v>7.3579641000000002</v>
      </c>
      <c r="AM287">
        <v>48.419833333333337</v>
      </c>
      <c r="AN287">
        <v>7.6530000000000022</v>
      </c>
    </row>
    <row r="288" spans="1:40" x14ac:dyDescent="0.35">
      <c r="A288">
        <v>378</v>
      </c>
      <c r="B288">
        <v>72</v>
      </c>
      <c r="C288" t="s">
        <v>40</v>
      </c>
      <c r="D288" t="s">
        <v>41</v>
      </c>
      <c r="E288" t="s">
        <v>68</v>
      </c>
      <c r="F288" t="s">
        <v>49</v>
      </c>
      <c r="G288">
        <v>0</v>
      </c>
      <c r="H288">
        <v>0</v>
      </c>
      <c r="I288">
        <v>5</v>
      </c>
      <c r="J288" t="s">
        <v>56</v>
      </c>
      <c r="K288" t="s">
        <v>46</v>
      </c>
      <c r="L288" t="s">
        <v>62</v>
      </c>
      <c r="M288">
        <v>185.02215271766741</v>
      </c>
      <c r="N288">
        <v>263</v>
      </c>
      <c r="O288">
        <v>231</v>
      </c>
      <c r="P288">
        <v>208</v>
      </c>
      <c r="Q288">
        <v>0.69314718055994529</v>
      </c>
      <c r="R288">
        <v>3.2580965380214821</v>
      </c>
      <c r="S288">
        <v>3.2580965380214821</v>
      </c>
      <c r="T288">
        <v>95.68</v>
      </c>
      <c r="U288">
        <v>0</v>
      </c>
      <c r="V288">
        <v>1.82802042479695</v>
      </c>
      <c r="W288">
        <v>0.99424279543483596</v>
      </c>
      <c r="X288">
        <v>0.99177342203587404</v>
      </c>
      <c r="Y288">
        <v>-0.96278755162326501</v>
      </c>
      <c r="Z288">
        <v>-0.75605764486205096</v>
      </c>
      <c r="AA288">
        <v>-0.80037586101695801</v>
      </c>
      <c r="AB288">
        <v>2092.91</v>
      </c>
      <c r="AC288">
        <v>0</v>
      </c>
      <c r="AD288">
        <v>2.1</v>
      </c>
      <c r="AE288">
        <v>-1.0768626388726401</v>
      </c>
      <c r="AF288">
        <v>-0.51740710413277802</v>
      </c>
      <c r="AG288">
        <v>-6.3376649270261598E-2</v>
      </c>
      <c r="AH288">
        <v>3.0297790141866399E-2</v>
      </c>
      <c r="AI288">
        <v>-0.52218895034673496</v>
      </c>
      <c r="AJ288">
        <v>-0.64707113762062995</v>
      </c>
      <c r="AK288">
        <v>49.042560999999999</v>
      </c>
      <c r="AL288">
        <v>3.9528660000000002</v>
      </c>
      <c r="AM288">
        <v>50.640682937000001</v>
      </c>
      <c r="AN288">
        <v>4.6610704270000003</v>
      </c>
    </row>
    <row r="289" spans="1:40" x14ac:dyDescent="0.35">
      <c r="A289">
        <v>379</v>
      </c>
      <c r="B289">
        <v>72</v>
      </c>
      <c r="C289" t="s">
        <v>40</v>
      </c>
      <c r="D289" t="s">
        <v>52</v>
      </c>
      <c r="E289" t="s">
        <v>42</v>
      </c>
      <c r="F289" t="s">
        <v>49</v>
      </c>
      <c r="G289">
        <v>5</v>
      </c>
      <c r="H289">
        <v>25</v>
      </c>
      <c r="I289">
        <v>6</v>
      </c>
      <c r="J289" t="s">
        <v>50</v>
      </c>
      <c r="K289" t="s">
        <v>46</v>
      </c>
      <c r="L289" t="s">
        <v>54</v>
      </c>
      <c r="M289">
        <v>346.16724772227371</v>
      </c>
      <c r="N289">
        <v>478</v>
      </c>
      <c r="O289">
        <v>303</v>
      </c>
      <c r="P289">
        <v>272</v>
      </c>
      <c r="Q289">
        <v>3.9889840465642745</v>
      </c>
      <c r="R289">
        <v>3.0910424533583161</v>
      </c>
      <c r="S289">
        <v>4.1271343850450917</v>
      </c>
      <c r="T289">
        <v>92.826666666666668</v>
      </c>
      <c r="U289">
        <v>2.9827057067926286</v>
      </c>
      <c r="V289">
        <v>-0.16604708794949699</v>
      </c>
      <c r="W289">
        <v>-0.150727876652859</v>
      </c>
      <c r="X289">
        <v>-0.19602043866096</v>
      </c>
      <c r="Y289">
        <v>1.4483117406157899</v>
      </c>
      <c r="Z289">
        <v>1.7680602694732599</v>
      </c>
      <c r="AA289">
        <v>0.26366440732357699</v>
      </c>
      <c r="AB289">
        <v>4236</v>
      </c>
      <c r="AC289">
        <v>0</v>
      </c>
      <c r="AD289">
        <v>4</v>
      </c>
      <c r="AE289">
        <v>1.6751267091712101</v>
      </c>
      <c r="AF289">
        <v>0.74811469896489102</v>
      </c>
      <c r="AG289">
        <v>-2.30096489577751</v>
      </c>
      <c r="AH289">
        <v>-0.52972701043146797</v>
      </c>
      <c r="AI289">
        <v>-0.89320232545656797</v>
      </c>
      <c r="AJ289">
        <v>0.927912214398118</v>
      </c>
      <c r="AK289">
        <v>44.917983300000003</v>
      </c>
      <c r="AL289">
        <v>-0.22352169999999999</v>
      </c>
      <c r="AM289">
        <v>48.00333333333333</v>
      </c>
      <c r="AN289">
        <v>-0.78733333333333333</v>
      </c>
    </row>
    <row r="290" spans="1:40" x14ac:dyDescent="0.35">
      <c r="A290">
        <v>381</v>
      </c>
      <c r="B290">
        <v>57</v>
      </c>
      <c r="C290" t="s">
        <v>40</v>
      </c>
      <c r="D290" t="s">
        <v>52</v>
      </c>
      <c r="E290" t="s">
        <v>42</v>
      </c>
      <c r="F290" t="s">
        <v>49</v>
      </c>
      <c r="G290">
        <v>4</v>
      </c>
      <c r="H290">
        <v>16</v>
      </c>
      <c r="I290">
        <v>5</v>
      </c>
      <c r="J290" t="s">
        <v>56</v>
      </c>
      <c r="K290" t="s">
        <v>46</v>
      </c>
      <c r="L290" t="s">
        <v>79</v>
      </c>
      <c r="M290">
        <v>686.77685841622576</v>
      </c>
      <c r="N290">
        <v>846</v>
      </c>
      <c r="O290">
        <v>507</v>
      </c>
      <c r="P290">
        <v>301</v>
      </c>
      <c r="Q290">
        <v>0</v>
      </c>
      <c r="R290">
        <v>1.0986122886681098</v>
      </c>
      <c r="S290">
        <v>4.4659081186545837</v>
      </c>
      <c r="T290">
        <v>90.88000000000001</v>
      </c>
      <c r="U290">
        <v>0.63076672920079646</v>
      </c>
      <c r="V290">
        <v>-0.66459185691613598</v>
      </c>
      <c r="W290">
        <v>-0.11297510960708999</v>
      </c>
      <c r="X290">
        <v>-0.19037106594949799</v>
      </c>
      <c r="Y290">
        <v>-0.374020329094302</v>
      </c>
      <c r="Z290">
        <v>-0.78642831806525804</v>
      </c>
      <c r="AA290">
        <v>-1.3830773108541501</v>
      </c>
      <c r="AB290">
        <v>1910</v>
      </c>
      <c r="AC290">
        <v>4</v>
      </c>
      <c r="AD290">
        <v>0</v>
      </c>
      <c r="AE290">
        <v>3.4620335695619099E-2</v>
      </c>
      <c r="AF290">
        <v>-0.32042195353133301</v>
      </c>
      <c r="AG290">
        <v>-0.94587019932016303</v>
      </c>
      <c r="AH290">
        <v>-1.5348300158694601</v>
      </c>
      <c r="AI290">
        <v>-1.4057833075846</v>
      </c>
      <c r="AJ290">
        <v>-1.55416237208134</v>
      </c>
      <c r="AK290">
        <v>42.698529999999998</v>
      </c>
      <c r="AL290">
        <v>2.8953120000000001</v>
      </c>
      <c r="AM290">
        <v>48.856372813999997</v>
      </c>
      <c r="AN290">
        <v>2.3525296170000001</v>
      </c>
    </row>
    <row r="291" spans="1:40" x14ac:dyDescent="0.35">
      <c r="A291">
        <v>382</v>
      </c>
      <c r="B291">
        <v>72</v>
      </c>
      <c r="C291" t="s">
        <v>40</v>
      </c>
      <c r="D291" t="s">
        <v>52</v>
      </c>
      <c r="E291" t="s">
        <v>42</v>
      </c>
      <c r="F291" t="s">
        <v>53</v>
      </c>
      <c r="G291">
        <v>6</v>
      </c>
      <c r="H291">
        <v>36</v>
      </c>
      <c r="I291">
        <v>7</v>
      </c>
      <c r="J291" t="s">
        <v>56</v>
      </c>
      <c r="K291" t="s">
        <v>46</v>
      </c>
      <c r="L291" t="s">
        <v>76</v>
      </c>
      <c r="M291">
        <v>193.54968055923561</v>
      </c>
      <c r="N291">
        <v>245</v>
      </c>
      <c r="O291">
        <v>179</v>
      </c>
      <c r="P291">
        <v>175</v>
      </c>
      <c r="Q291">
        <v>0</v>
      </c>
      <c r="R291">
        <v>1.0986122886681098</v>
      </c>
      <c r="S291">
        <v>4.1588830833596715</v>
      </c>
      <c r="T291">
        <v>91.226666666666674</v>
      </c>
      <c r="U291">
        <v>1.418823059726001</v>
      </c>
      <c r="V291">
        <v>-0.39095273818515502</v>
      </c>
      <c r="W291">
        <v>-0.53446083104759001</v>
      </c>
      <c r="X291">
        <v>-0.40804429067029002</v>
      </c>
      <c r="Y291">
        <v>-0.56789545922357498</v>
      </c>
      <c r="Z291">
        <v>-0.94760790482486201</v>
      </c>
      <c r="AA291">
        <v>-1.0848673571571601</v>
      </c>
      <c r="AB291">
        <v>1770.5103102717287</v>
      </c>
      <c r="AC291">
        <v>0.28213528618230871</v>
      </c>
      <c r="AD291">
        <v>1.7130468298323378</v>
      </c>
      <c r="AE291">
        <v>-1.13486126839574</v>
      </c>
      <c r="AF291">
        <v>6.6834369582358305E-2</v>
      </c>
      <c r="AG291">
        <v>0.420498568297835</v>
      </c>
      <c r="AH291">
        <v>1.1292908844674601</v>
      </c>
      <c r="AI291">
        <v>0.95169153584800603</v>
      </c>
      <c r="AJ291">
        <v>6.2989766610649506E-2</v>
      </c>
      <c r="AK291">
        <v>47.330690599999997</v>
      </c>
      <c r="AL291">
        <v>2.8390453999999998</v>
      </c>
      <c r="AM291">
        <v>49.015000000000008</v>
      </c>
      <c r="AN291">
        <v>2.1920000000000002</v>
      </c>
    </row>
    <row r="292" spans="1:40" x14ac:dyDescent="0.35">
      <c r="A292">
        <v>383</v>
      </c>
      <c r="B292">
        <v>72</v>
      </c>
      <c r="C292" t="s">
        <v>40</v>
      </c>
      <c r="D292" t="s">
        <v>52</v>
      </c>
      <c r="E292" t="s">
        <v>42</v>
      </c>
      <c r="F292" t="s">
        <v>49</v>
      </c>
      <c r="G292">
        <v>3</v>
      </c>
      <c r="H292">
        <v>9</v>
      </c>
      <c r="I292">
        <v>3</v>
      </c>
      <c r="J292" t="s">
        <v>56</v>
      </c>
      <c r="K292" t="s">
        <v>46</v>
      </c>
      <c r="L292" t="s">
        <v>65</v>
      </c>
      <c r="M292">
        <v>130.7643939972051</v>
      </c>
      <c r="N292">
        <v>197</v>
      </c>
      <c r="O292">
        <v>110</v>
      </c>
      <c r="P292">
        <v>184</v>
      </c>
      <c r="Q292">
        <v>0</v>
      </c>
      <c r="R292">
        <v>0</v>
      </c>
      <c r="S292">
        <v>4.4543472962535073</v>
      </c>
      <c r="T292">
        <v>89.333044733044744</v>
      </c>
      <c r="U292">
        <v>1.2554235437523662</v>
      </c>
      <c r="V292">
        <v>1.64975517953679</v>
      </c>
      <c r="W292">
        <v>2.4220969657957299</v>
      </c>
      <c r="X292">
        <v>1.68128863126442</v>
      </c>
      <c r="Y292">
        <v>2.0553398017137301</v>
      </c>
      <c r="Z292">
        <v>2.0921400018840099</v>
      </c>
      <c r="AA292">
        <v>2.0596698968962701</v>
      </c>
      <c r="AB292">
        <v>3262.71</v>
      </c>
      <c r="AC292">
        <v>0.33</v>
      </c>
      <c r="AD292">
        <v>0.66</v>
      </c>
      <c r="AE292">
        <v>1.9221838973381</v>
      </c>
      <c r="AF292">
        <v>-0.58811182146948904</v>
      </c>
      <c r="AG292">
        <v>0.583597187624878</v>
      </c>
      <c r="AH292">
        <v>-1.5185350104008899</v>
      </c>
      <c r="AI292">
        <v>-1.0043367976886599</v>
      </c>
      <c r="AJ292">
        <v>1.04292566713001</v>
      </c>
      <c r="AK292">
        <v>43.537466000000002</v>
      </c>
      <c r="AL292">
        <v>6.4627330000000001</v>
      </c>
      <c r="AM292">
        <v>44.097999999999999</v>
      </c>
      <c r="AN292">
        <v>5.032</v>
      </c>
    </row>
    <row r="293" spans="1:40" x14ac:dyDescent="0.35">
      <c r="A293">
        <v>384</v>
      </c>
      <c r="B293">
        <v>57</v>
      </c>
      <c r="C293" t="s">
        <v>40</v>
      </c>
      <c r="D293" t="s">
        <v>41</v>
      </c>
      <c r="E293" t="s">
        <v>42</v>
      </c>
      <c r="F293" t="s">
        <v>61</v>
      </c>
      <c r="G293">
        <v>5</v>
      </c>
      <c r="H293">
        <v>25</v>
      </c>
      <c r="I293">
        <v>6</v>
      </c>
      <c r="J293" t="s">
        <v>56</v>
      </c>
      <c r="K293" t="s">
        <v>46</v>
      </c>
      <c r="L293" t="s">
        <v>77</v>
      </c>
      <c r="M293">
        <v>326.49411486943569</v>
      </c>
      <c r="N293">
        <v>494</v>
      </c>
      <c r="O293">
        <v>288</v>
      </c>
      <c r="P293">
        <v>320</v>
      </c>
      <c r="Q293">
        <v>0</v>
      </c>
      <c r="R293">
        <v>2.3978952727983707</v>
      </c>
      <c r="S293">
        <v>5.1416635565026603</v>
      </c>
      <c r="T293">
        <v>90.472417453603512</v>
      </c>
      <c r="U293">
        <v>2.7735735584863375</v>
      </c>
      <c r="V293">
        <v>-0.15231437986527399</v>
      </c>
      <c r="W293">
        <v>3.49635939345109E-2</v>
      </c>
      <c r="X293">
        <v>-0.19627808847033801</v>
      </c>
      <c r="Y293">
        <v>-0.57382446736590997</v>
      </c>
      <c r="Z293">
        <v>-0.74335605457542497</v>
      </c>
      <c r="AA293">
        <v>-0.53588051656191904</v>
      </c>
      <c r="AB293">
        <v>3937</v>
      </c>
      <c r="AC293">
        <v>0</v>
      </c>
      <c r="AD293">
        <v>1</v>
      </c>
      <c r="AE293">
        <v>-0.72244456620022002</v>
      </c>
      <c r="AF293">
        <v>1.9958603994291502E-2</v>
      </c>
      <c r="AG293">
        <v>-0.21621162738926</v>
      </c>
      <c r="AH293">
        <v>0.60559711182077203</v>
      </c>
      <c r="AI293">
        <v>0.50292328177357903</v>
      </c>
      <c r="AJ293">
        <v>-1.20980363304605</v>
      </c>
      <c r="AK293">
        <v>47.259622</v>
      </c>
      <c r="AL293">
        <v>-7.8518000000000004E-2</v>
      </c>
      <c r="AM293">
        <v>48.719740740740733</v>
      </c>
      <c r="AN293">
        <v>3.7230370370370367</v>
      </c>
    </row>
    <row r="294" spans="1:40" x14ac:dyDescent="0.35">
      <c r="A294">
        <v>386</v>
      </c>
      <c r="B294">
        <v>72</v>
      </c>
      <c r="C294" t="s">
        <v>40</v>
      </c>
      <c r="D294" t="s">
        <v>52</v>
      </c>
      <c r="E294" t="s">
        <v>42</v>
      </c>
      <c r="F294" t="s">
        <v>49</v>
      </c>
      <c r="G294">
        <v>4</v>
      </c>
      <c r="H294">
        <v>16</v>
      </c>
      <c r="I294">
        <v>4</v>
      </c>
      <c r="J294" t="s">
        <v>50</v>
      </c>
      <c r="K294" t="s">
        <v>46</v>
      </c>
      <c r="L294" t="s">
        <v>75</v>
      </c>
      <c r="M294">
        <v>239.00468354163661</v>
      </c>
      <c r="N294">
        <v>242</v>
      </c>
      <c r="O294">
        <v>166</v>
      </c>
      <c r="P294">
        <v>169</v>
      </c>
      <c r="Q294">
        <v>0</v>
      </c>
      <c r="R294">
        <v>0</v>
      </c>
      <c r="S294">
        <v>3.5553480614894135</v>
      </c>
      <c r="T294">
        <v>87.721111111111114</v>
      </c>
      <c r="U294">
        <v>1.8185946276597997</v>
      </c>
      <c r="V294">
        <v>-1.01058566247205</v>
      </c>
      <c r="W294">
        <v>-0.72487722485772399</v>
      </c>
      <c r="X294">
        <v>-0.83814251792544203</v>
      </c>
      <c r="Y294">
        <v>0.643019057251217</v>
      </c>
      <c r="Z294">
        <v>0.97010361819212798</v>
      </c>
      <c r="AA294">
        <v>-1.0557286875948499</v>
      </c>
      <c r="AB294">
        <v>4179</v>
      </c>
      <c r="AC294">
        <v>0</v>
      </c>
      <c r="AD294">
        <v>0</v>
      </c>
      <c r="AE294">
        <v>0.59808311135132897</v>
      </c>
      <c r="AF294">
        <v>-0.66730199692280701</v>
      </c>
      <c r="AG294">
        <v>-0.65829712621901404</v>
      </c>
      <c r="AH294">
        <v>0.80944059426856296</v>
      </c>
      <c r="AI294">
        <v>-1.1017807501583901</v>
      </c>
      <c r="AJ294">
        <v>0.65454532508209695</v>
      </c>
      <c r="AK294">
        <v>47.087721999999999</v>
      </c>
      <c r="AL294">
        <v>-1.2817419999999999</v>
      </c>
      <c r="AM294">
        <v>48.75022222222222</v>
      </c>
      <c r="AN294">
        <v>-3.309333333333333</v>
      </c>
    </row>
    <row r="295" spans="1:40" x14ac:dyDescent="0.35">
      <c r="A295">
        <v>387</v>
      </c>
      <c r="B295">
        <v>57</v>
      </c>
      <c r="C295" t="s">
        <v>40</v>
      </c>
      <c r="D295" t="s">
        <v>66</v>
      </c>
      <c r="E295" t="s">
        <v>42</v>
      </c>
      <c r="F295" t="s">
        <v>43</v>
      </c>
      <c r="G295">
        <v>4</v>
      </c>
      <c r="H295">
        <v>16</v>
      </c>
      <c r="I295">
        <v>4</v>
      </c>
      <c r="J295" t="s">
        <v>56</v>
      </c>
      <c r="K295" t="s">
        <v>46</v>
      </c>
      <c r="L295" t="s">
        <v>73</v>
      </c>
      <c r="M295">
        <v>516.36846441692387</v>
      </c>
      <c r="N295">
        <v>676</v>
      </c>
      <c r="O295">
        <v>407</v>
      </c>
      <c r="P295">
        <v>399</v>
      </c>
      <c r="Q295">
        <v>1.9459101490553132</v>
      </c>
      <c r="R295">
        <v>2.9444389791664403</v>
      </c>
      <c r="S295">
        <v>4.2626798770413155</v>
      </c>
      <c r="T295">
        <v>91.872500000000002</v>
      </c>
      <c r="U295">
        <v>2.0033201607997366</v>
      </c>
      <c r="V295">
        <v>7.5580716531248995E-2</v>
      </c>
      <c r="W295">
        <v>0.203376316306385</v>
      </c>
      <c r="X295">
        <v>0.143329752535333</v>
      </c>
      <c r="Y295">
        <v>1.4483117406157899</v>
      </c>
      <c r="Z295">
        <v>1.7680602694732599</v>
      </c>
      <c r="AA295">
        <v>0.26366440732357699</v>
      </c>
      <c r="AB295">
        <v>4236</v>
      </c>
      <c r="AC295">
        <v>0</v>
      </c>
      <c r="AD295">
        <v>4</v>
      </c>
      <c r="AE295">
        <v>1.6751267091712101</v>
      </c>
      <c r="AF295">
        <v>0.18110040619012399</v>
      </c>
      <c r="AG295">
        <v>1.02425305346783</v>
      </c>
      <c r="AH295">
        <v>-0.484585364614815</v>
      </c>
      <c r="AI295">
        <v>0.55243019645671898</v>
      </c>
      <c r="AJ295">
        <v>1.0771076230905501</v>
      </c>
      <c r="AK295">
        <v>44.686388999999998</v>
      </c>
      <c r="AL295">
        <v>-0.52383800000000003</v>
      </c>
      <c r="AM295">
        <v>45.643750000000004</v>
      </c>
      <c r="AN295">
        <v>5.9154999999999998</v>
      </c>
    </row>
    <row r="296" spans="1:40" x14ac:dyDescent="0.35">
      <c r="A296">
        <v>389</v>
      </c>
      <c r="B296">
        <v>72</v>
      </c>
      <c r="C296" t="s">
        <v>40</v>
      </c>
      <c r="D296" t="s">
        <v>52</v>
      </c>
      <c r="E296" t="s">
        <v>42</v>
      </c>
      <c r="F296" t="s">
        <v>49</v>
      </c>
      <c r="G296">
        <v>4</v>
      </c>
      <c r="H296">
        <v>16</v>
      </c>
      <c r="I296">
        <v>3</v>
      </c>
      <c r="J296" t="s">
        <v>56</v>
      </c>
      <c r="K296" t="s">
        <v>46</v>
      </c>
      <c r="L296" t="s">
        <v>60</v>
      </c>
      <c r="M296">
        <v>228.28088990403319</v>
      </c>
      <c r="N296">
        <v>326</v>
      </c>
      <c r="O296">
        <v>199</v>
      </c>
      <c r="P296">
        <v>324</v>
      </c>
      <c r="Q296">
        <v>3.8501476017100584</v>
      </c>
      <c r="R296">
        <v>2.9957322735539909</v>
      </c>
      <c r="S296">
        <v>5.4424177105217932</v>
      </c>
      <c r="T296">
        <v>88.975873222691746</v>
      </c>
      <c r="U296">
        <v>2.5514539469641888</v>
      </c>
      <c r="V296">
        <v>2.9336799326863701</v>
      </c>
      <c r="W296">
        <v>3.3730943146768602</v>
      </c>
      <c r="X296">
        <v>3.6072071704345601</v>
      </c>
      <c r="Y296">
        <v>-0.19189497559235799</v>
      </c>
      <c r="Z296">
        <v>0.17569111512999699</v>
      </c>
      <c r="AA296">
        <v>-0.304970615080496</v>
      </c>
      <c r="AB296">
        <v>1906.836709612184</v>
      </c>
      <c r="AC296">
        <v>0.7978420820676605</v>
      </c>
      <c r="AD296">
        <v>2.1056638128240834</v>
      </c>
      <c r="AE296">
        <v>-0.25037207080954499</v>
      </c>
      <c r="AF296">
        <v>-0.316069849571115</v>
      </c>
      <c r="AG296">
        <v>-4.6975477446489299E-2</v>
      </c>
      <c r="AH296">
        <v>-0.66921094030249695</v>
      </c>
      <c r="AI296">
        <v>-0.92244526010734096</v>
      </c>
      <c r="AJ296">
        <v>-2.4297144787209999</v>
      </c>
      <c r="AK296">
        <v>44.055988999999997</v>
      </c>
      <c r="AL296">
        <v>4.8317350000000001</v>
      </c>
      <c r="AM296">
        <v>45.890999999999998</v>
      </c>
      <c r="AN296">
        <v>6.1260000000000003</v>
      </c>
    </row>
    <row r="297" spans="1:40" x14ac:dyDescent="0.35">
      <c r="A297">
        <v>390</v>
      </c>
      <c r="B297">
        <v>72</v>
      </c>
      <c r="C297" t="s">
        <v>40</v>
      </c>
      <c r="D297" t="s">
        <v>52</v>
      </c>
      <c r="E297" t="s">
        <v>42</v>
      </c>
      <c r="F297" t="s">
        <v>53</v>
      </c>
      <c r="G297">
        <v>5</v>
      </c>
      <c r="H297">
        <v>25</v>
      </c>
      <c r="I297">
        <v>6</v>
      </c>
      <c r="J297" t="s">
        <v>56</v>
      </c>
      <c r="K297" t="s">
        <v>46</v>
      </c>
      <c r="L297" t="s">
        <v>73</v>
      </c>
      <c r="M297">
        <v>516.52705178026827</v>
      </c>
      <c r="N297">
        <v>588</v>
      </c>
      <c r="O297">
        <v>372</v>
      </c>
      <c r="P297">
        <v>207</v>
      </c>
      <c r="Q297">
        <v>1.9459101490553132</v>
      </c>
      <c r="R297">
        <v>2.9444389791664403</v>
      </c>
      <c r="S297">
        <v>4.2626798770413155</v>
      </c>
      <c r="T297">
        <v>91.872500000000002</v>
      </c>
      <c r="U297">
        <v>2.0033201607997366</v>
      </c>
      <c r="V297">
        <v>7.5580716531248995E-2</v>
      </c>
      <c r="W297">
        <v>0.203376316306385</v>
      </c>
      <c r="X297">
        <v>0.143329752535333</v>
      </c>
      <c r="Y297">
        <v>1.4483117406157899</v>
      </c>
      <c r="Z297">
        <v>1.7680602694732599</v>
      </c>
      <c r="AA297">
        <v>0.26366440732357699</v>
      </c>
      <c r="AB297">
        <v>4236</v>
      </c>
      <c r="AC297">
        <v>0</v>
      </c>
      <c r="AD297">
        <v>4</v>
      </c>
      <c r="AE297">
        <v>1.6751267091712101</v>
      </c>
      <c r="AF297">
        <v>-0.96167160260355</v>
      </c>
      <c r="AG297">
        <v>-1.065772741148</v>
      </c>
      <c r="AH297">
        <v>-1.1621838003944001</v>
      </c>
      <c r="AI297">
        <v>-0.62573254714021098</v>
      </c>
      <c r="AJ297">
        <v>-2.6386872134211399</v>
      </c>
      <c r="AK297">
        <v>44.686388999999998</v>
      </c>
      <c r="AL297">
        <v>-0.52383800000000003</v>
      </c>
      <c r="AM297">
        <v>48.922000000000004</v>
      </c>
      <c r="AN297">
        <v>2.2469999999999999</v>
      </c>
    </row>
    <row r="298" spans="1:40" x14ac:dyDescent="0.35">
      <c r="A298">
        <v>392</v>
      </c>
      <c r="B298">
        <v>72</v>
      </c>
      <c r="C298" t="s">
        <v>48</v>
      </c>
      <c r="D298" t="s">
        <v>52</v>
      </c>
      <c r="E298" t="s">
        <v>42</v>
      </c>
      <c r="F298" t="s">
        <v>49</v>
      </c>
      <c r="G298">
        <v>4</v>
      </c>
      <c r="H298">
        <v>16</v>
      </c>
      <c r="I298">
        <v>5</v>
      </c>
      <c r="J298" t="s">
        <v>45</v>
      </c>
      <c r="K298" t="s">
        <v>46</v>
      </c>
      <c r="L298" t="s">
        <v>59</v>
      </c>
      <c r="M298">
        <v>477.62529719901607</v>
      </c>
      <c r="N298">
        <v>503</v>
      </c>
      <c r="O298">
        <v>339</v>
      </c>
      <c r="P298">
        <v>318</v>
      </c>
      <c r="Q298">
        <v>1.3862943611198906</v>
      </c>
      <c r="R298">
        <v>1.3862943611198906</v>
      </c>
      <c r="S298">
        <v>4.9972122737641147</v>
      </c>
      <c r="T298">
        <v>90.035146103896111</v>
      </c>
      <c r="U298">
        <v>1.418823059726001</v>
      </c>
      <c r="V298">
        <v>-0.52223564926899602</v>
      </c>
      <c r="W298">
        <v>-0.46072710968150399</v>
      </c>
      <c r="X298">
        <v>-0.361786268345754</v>
      </c>
      <c r="Y298">
        <v>-0.552694479448822</v>
      </c>
      <c r="Z298">
        <v>2.1676297177028899E-2</v>
      </c>
      <c r="AA298">
        <v>0.625223797005378</v>
      </c>
      <c r="AB298">
        <v>2234.6992515788952</v>
      </c>
      <c r="AC298">
        <v>0</v>
      </c>
      <c r="AD298">
        <v>0.12112735591028891</v>
      </c>
      <c r="AE298">
        <v>-0.60610368582010199</v>
      </c>
      <c r="AF298">
        <v>1.08992384195945E-2</v>
      </c>
      <c r="AG298">
        <v>0.73234137676071798</v>
      </c>
      <c r="AH298">
        <v>1.0592299971224699</v>
      </c>
      <c r="AI298">
        <v>0.34266914959697398</v>
      </c>
      <c r="AJ298">
        <v>1.1621907848420601</v>
      </c>
      <c r="AK298">
        <v>47.411035099999999</v>
      </c>
      <c r="AL298">
        <v>0.98369799999999996</v>
      </c>
      <c r="AM298">
        <v>43.123952380952382</v>
      </c>
      <c r="AN298">
        <v>0.7373333333333334</v>
      </c>
    </row>
    <row r="299" spans="1:40" x14ac:dyDescent="0.35">
      <c r="A299">
        <v>393</v>
      </c>
      <c r="B299">
        <v>72</v>
      </c>
      <c r="C299" t="s">
        <v>40</v>
      </c>
      <c r="D299" t="s">
        <v>41</v>
      </c>
      <c r="E299" t="s">
        <v>42</v>
      </c>
      <c r="F299" t="s">
        <v>49</v>
      </c>
      <c r="G299">
        <v>5</v>
      </c>
      <c r="H299">
        <v>25</v>
      </c>
      <c r="I299">
        <v>4</v>
      </c>
      <c r="J299" t="s">
        <v>50</v>
      </c>
      <c r="K299" t="s">
        <v>46</v>
      </c>
      <c r="L299" t="s">
        <v>62</v>
      </c>
      <c r="M299">
        <v>273.23610243246469</v>
      </c>
      <c r="N299">
        <v>345</v>
      </c>
      <c r="O299">
        <v>230</v>
      </c>
      <c r="P299">
        <v>227</v>
      </c>
      <c r="Q299">
        <v>0.69314718055994529</v>
      </c>
      <c r="R299">
        <v>3.2580965380214821</v>
      </c>
      <c r="S299">
        <v>3.2580965380214821</v>
      </c>
      <c r="T299">
        <v>95.68</v>
      </c>
      <c r="U299">
        <v>0</v>
      </c>
      <c r="V299">
        <v>1.82802042479695</v>
      </c>
      <c r="W299">
        <v>0.99424279543483596</v>
      </c>
      <c r="X299">
        <v>0.99177342203587404</v>
      </c>
      <c r="Y299">
        <v>-0.96278755162326501</v>
      </c>
      <c r="Z299">
        <v>-0.75605764486205096</v>
      </c>
      <c r="AA299">
        <v>-0.80037586101695801</v>
      </c>
      <c r="AB299">
        <v>2092.91</v>
      </c>
      <c r="AC299">
        <v>0</v>
      </c>
      <c r="AD299">
        <v>2.1</v>
      </c>
      <c r="AE299">
        <v>-1.0768626388726401</v>
      </c>
      <c r="AF299">
        <v>1.4264912943828605</v>
      </c>
      <c r="AG299">
        <v>0.13482488194706263</v>
      </c>
      <c r="AH299">
        <v>1.9062097798989694</v>
      </c>
      <c r="AI299">
        <v>1.4836044289928401</v>
      </c>
      <c r="AJ299">
        <v>0.76193534118230599</v>
      </c>
      <c r="AK299">
        <v>49.042560999999999</v>
      </c>
      <c r="AL299">
        <v>3.9528660000000002</v>
      </c>
      <c r="AM299">
        <v>48.110000000000007</v>
      </c>
      <c r="AN299">
        <v>7.3849999999999989</v>
      </c>
    </row>
    <row r="300" spans="1:40" x14ac:dyDescent="0.35">
      <c r="A300">
        <v>395</v>
      </c>
      <c r="B300">
        <v>72</v>
      </c>
      <c r="C300" t="s">
        <v>40</v>
      </c>
      <c r="D300" t="s">
        <v>52</v>
      </c>
      <c r="E300" t="s">
        <v>42</v>
      </c>
      <c r="F300" t="s">
        <v>49</v>
      </c>
      <c r="G300">
        <v>5</v>
      </c>
      <c r="H300">
        <v>25</v>
      </c>
      <c r="I300">
        <v>7</v>
      </c>
      <c r="J300" t="s">
        <v>50</v>
      </c>
      <c r="K300" t="s">
        <v>46</v>
      </c>
      <c r="L300" t="s">
        <v>47</v>
      </c>
      <c r="M300">
        <v>94.576436443299471</v>
      </c>
      <c r="N300">
        <v>118</v>
      </c>
      <c r="O300">
        <v>90</v>
      </c>
      <c r="P300">
        <v>84</v>
      </c>
      <c r="Q300">
        <v>5.9107966440405271</v>
      </c>
      <c r="R300">
        <v>6.4997870406558542</v>
      </c>
      <c r="S300">
        <v>8.6415324656718457</v>
      </c>
      <c r="T300">
        <v>89.265350482850479</v>
      </c>
      <c r="U300">
        <v>1.4417786561042019</v>
      </c>
      <c r="V300">
        <v>-0.22886708829074301</v>
      </c>
      <c r="W300">
        <v>0.28745285629339301</v>
      </c>
      <c r="X300">
        <v>-0.15627425222847</v>
      </c>
      <c r="Y300">
        <v>1.45226138127617</v>
      </c>
      <c r="Z300">
        <v>0.98247225355557</v>
      </c>
      <c r="AA300">
        <v>0.627775520474398</v>
      </c>
      <c r="AB300">
        <v>3362.2959371744532</v>
      </c>
      <c r="AC300">
        <v>2.8998317172850387</v>
      </c>
      <c r="AD300">
        <v>2.9499158586425196</v>
      </c>
      <c r="AE300">
        <v>1.06273170356322</v>
      </c>
      <c r="AF300">
        <v>-0.736449908970919</v>
      </c>
      <c r="AG300">
        <v>0.76853831926226901</v>
      </c>
      <c r="AH300">
        <v>-7.8813446310672094E-2</v>
      </c>
      <c r="AI300">
        <v>-0.43467807896814398</v>
      </c>
      <c r="AJ300">
        <v>-0.85491189081224495</v>
      </c>
      <c r="AK300">
        <v>43.3535629403058</v>
      </c>
      <c r="AL300">
        <v>3.21615314793977</v>
      </c>
      <c r="AM300">
        <v>43.778500000000001</v>
      </c>
      <c r="AN300">
        <v>4.2315000000000005</v>
      </c>
    </row>
    <row r="301" spans="1:40" x14ac:dyDescent="0.35">
      <c r="A301">
        <v>396</v>
      </c>
      <c r="B301">
        <v>57</v>
      </c>
      <c r="C301" t="s">
        <v>40</v>
      </c>
      <c r="D301" t="s">
        <v>66</v>
      </c>
      <c r="E301" t="s">
        <v>42</v>
      </c>
      <c r="F301" t="s">
        <v>49</v>
      </c>
      <c r="G301">
        <v>5</v>
      </c>
      <c r="H301">
        <v>25</v>
      </c>
      <c r="I301">
        <v>6</v>
      </c>
      <c r="J301" t="s">
        <v>50</v>
      </c>
      <c r="K301" t="s">
        <v>46</v>
      </c>
      <c r="L301" t="s">
        <v>72</v>
      </c>
      <c r="M301">
        <v>572.94957071434351</v>
      </c>
      <c r="N301">
        <v>723</v>
      </c>
      <c r="O301">
        <v>481</v>
      </c>
      <c r="P301">
        <v>518</v>
      </c>
      <c r="Q301">
        <v>0.69314718055994529</v>
      </c>
      <c r="R301">
        <v>1.3862943611198906</v>
      </c>
      <c r="S301">
        <v>4.5538768916005408</v>
      </c>
      <c r="T301">
        <v>89.340161030595823</v>
      </c>
      <c r="U301">
        <v>1.4712304197281412</v>
      </c>
      <c r="V301">
        <v>0.59716251398508702</v>
      </c>
      <c r="W301">
        <v>0.91068296986709796</v>
      </c>
      <c r="X301">
        <v>1.2273243988355</v>
      </c>
      <c r="Y301">
        <v>-0.4121809470949</v>
      </c>
      <c r="Z301">
        <v>-0.86472582726521097</v>
      </c>
      <c r="AA301">
        <v>-1.0172779374790899</v>
      </c>
      <c r="AB301">
        <v>1828.1689246701658</v>
      </c>
      <c r="AC301">
        <v>1.1127464888636687</v>
      </c>
      <c r="AD301">
        <v>1.8630656830756136</v>
      </c>
      <c r="AE301">
        <v>-0.53926882203722504</v>
      </c>
      <c r="AF301">
        <v>-0.87372793662858295</v>
      </c>
      <c r="AG301">
        <v>1.19762601989191</v>
      </c>
      <c r="AH301">
        <v>1.0320770657392799</v>
      </c>
      <c r="AI301">
        <v>0.56193241002419403</v>
      </c>
      <c r="AJ301">
        <v>1.0070207141757199</v>
      </c>
      <c r="AK301">
        <v>44.503641999999999</v>
      </c>
      <c r="AL301">
        <v>1.1863669999999999</v>
      </c>
      <c r="AM301">
        <v>48.755000000000003</v>
      </c>
      <c r="AN301">
        <v>-3.0430000000000001</v>
      </c>
    </row>
    <row r="302" spans="1:40" x14ac:dyDescent="0.35">
      <c r="A302">
        <v>397</v>
      </c>
      <c r="B302">
        <v>72</v>
      </c>
      <c r="C302" t="s">
        <v>40</v>
      </c>
      <c r="D302" t="s">
        <v>52</v>
      </c>
      <c r="E302" t="s">
        <v>42</v>
      </c>
      <c r="F302" t="s">
        <v>61</v>
      </c>
      <c r="G302">
        <v>6</v>
      </c>
      <c r="H302">
        <v>36</v>
      </c>
      <c r="I302">
        <v>4</v>
      </c>
      <c r="J302" t="s">
        <v>45</v>
      </c>
      <c r="K302" t="s">
        <v>46</v>
      </c>
      <c r="L302" t="s">
        <v>70</v>
      </c>
      <c r="M302">
        <v>31.605779845901981</v>
      </c>
      <c r="N302">
        <v>49</v>
      </c>
      <c r="O302">
        <v>40</v>
      </c>
      <c r="P302">
        <v>32</v>
      </c>
      <c r="Q302">
        <v>0</v>
      </c>
      <c r="R302">
        <v>0</v>
      </c>
      <c r="S302">
        <v>5.3230099791384085</v>
      </c>
      <c r="T302">
        <v>90.615999999999985</v>
      </c>
      <c r="U302">
        <v>1.11573792223403</v>
      </c>
      <c r="V302">
        <v>0.80288722813325297</v>
      </c>
      <c r="W302">
        <v>0.52082154240315903</v>
      </c>
      <c r="X302">
        <v>0.61908815691345198</v>
      </c>
      <c r="Y302">
        <v>1.5007680231051199</v>
      </c>
      <c r="Z302">
        <v>0.24292628533916899</v>
      </c>
      <c r="AA302">
        <v>8.5217386942517098E-2</v>
      </c>
      <c r="AB302">
        <v>3943</v>
      </c>
      <c r="AC302">
        <v>0</v>
      </c>
      <c r="AD302">
        <v>1</v>
      </c>
      <c r="AE302">
        <v>1.1088815174583</v>
      </c>
      <c r="AF302">
        <v>0.23946545109220299</v>
      </c>
      <c r="AG302">
        <v>2.24484623675319E-2</v>
      </c>
      <c r="AH302">
        <v>-0.10596411494100499</v>
      </c>
      <c r="AI302">
        <v>0.88913513498765295</v>
      </c>
      <c r="AJ302">
        <v>-0.162166069405555</v>
      </c>
      <c r="AK302">
        <v>46.098678999999997</v>
      </c>
      <c r="AL302">
        <v>4.7359530000000003</v>
      </c>
      <c r="AM302">
        <v>45.833000000000006</v>
      </c>
      <c r="AN302">
        <v>4.88</v>
      </c>
    </row>
    <row r="303" spans="1:40" x14ac:dyDescent="0.35">
      <c r="A303">
        <v>398</v>
      </c>
      <c r="B303">
        <v>72</v>
      </c>
      <c r="C303" t="s">
        <v>40</v>
      </c>
      <c r="D303" t="s">
        <v>52</v>
      </c>
      <c r="E303" t="s">
        <v>42</v>
      </c>
      <c r="F303" t="s">
        <v>49</v>
      </c>
      <c r="G303">
        <v>6</v>
      </c>
      <c r="H303">
        <v>36</v>
      </c>
      <c r="I303">
        <v>5</v>
      </c>
      <c r="J303" t="s">
        <v>56</v>
      </c>
      <c r="K303" t="s">
        <v>46</v>
      </c>
      <c r="L303" t="s">
        <v>72</v>
      </c>
      <c r="M303">
        <v>100.0453221098637</v>
      </c>
      <c r="N303">
        <v>112</v>
      </c>
      <c r="O303">
        <v>105</v>
      </c>
      <c r="P303">
        <v>160</v>
      </c>
      <c r="Q303">
        <v>0.69314718055994529</v>
      </c>
      <c r="R303">
        <v>1.3862943611198906</v>
      </c>
      <c r="S303">
        <v>4.5538768916005408</v>
      </c>
      <c r="T303">
        <v>89.340161030595823</v>
      </c>
      <c r="U303">
        <v>1.4712304197281412</v>
      </c>
      <c r="V303">
        <v>0.59716251398508702</v>
      </c>
      <c r="W303">
        <v>0.91068296986709796</v>
      </c>
      <c r="X303">
        <v>1.2273243988355</v>
      </c>
      <c r="Y303">
        <v>-0.4121809470949</v>
      </c>
      <c r="Z303">
        <v>-0.86472582726521097</v>
      </c>
      <c r="AA303">
        <v>-1.0172779374790899</v>
      </c>
      <c r="AB303">
        <v>1828.1689246701658</v>
      </c>
      <c r="AC303">
        <v>1.1127464888636687</v>
      </c>
      <c r="AD303">
        <v>1.8630656830756136</v>
      </c>
      <c r="AE303">
        <v>-0.53926882203722504</v>
      </c>
      <c r="AF303">
        <v>-2.0293561721204099</v>
      </c>
      <c r="AG303">
        <v>1.9216468791586101</v>
      </c>
      <c r="AH303">
        <v>0.91923929823074502</v>
      </c>
      <c r="AI303">
        <v>0.27538500166686303</v>
      </c>
      <c r="AJ303">
        <v>-1.8402664444857699</v>
      </c>
      <c r="AK303">
        <v>44.503641999999999</v>
      </c>
      <c r="AL303">
        <v>1.1863669999999999</v>
      </c>
      <c r="AM303">
        <v>43.926000000000002</v>
      </c>
      <c r="AN303">
        <v>2.1469999999999998</v>
      </c>
    </row>
    <row r="304" spans="1:40" x14ac:dyDescent="0.35">
      <c r="A304">
        <v>399</v>
      </c>
      <c r="B304">
        <v>42</v>
      </c>
      <c r="C304" t="s">
        <v>48</v>
      </c>
      <c r="D304" t="s">
        <v>41</v>
      </c>
      <c r="E304" t="s">
        <v>68</v>
      </c>
      <c r="F304" t="s">
        <v>49</v>
      </c>
      <c r="G304">
        <v>5</v>
      </c>
      <c r="H304">
        <v>25</v>
      </c>
      <c r="I304">
        <v>5</v>
      </c>
      <c r="J304" t="s">
        <v>50</v>
      </c>
      <c r="K304" t="s">
        <v>46</v>
      </c>
      <c r="L304" t="s">
        <v>62</v>
      </c>
      <c r="M304">
        <v>185.02215271766741</v>
      </c>
      <c r="N304">
        <v>263</v>
      </c>
      <c r="O304">
        <v>231</v>
      </c>
      <c r="P304">
        <v>208</v>
      </c>
      <c r="Q304">
        <v>0.69314718055994529</v>
      </c>
      <c r="R304">
        <v>3.2580965380214821</v>
      </c>
      <c r="S304">
        <v>3.2580965380214821</v>
      </c>
      <c r="T304">
        <v>95.68</v>
      </c>
      <c r="U304">
        <v>0</v>
      </c>
      <c r="V304">
        <v>1.82802042479695</v>
      </c>
      <c r="W304">
        <v>0.99424279543483596</v>
      </c>
      <c r="X304">
        <v>0.99177342203587404</v>
      </c>
      <c r="Y304">
        <v>-0.96278755162326501</v>
      </c>
      <c r="Z304">
        <v>-0.75605764486205096</v>
      </c>
      <c r="AA304">
        <v>-0.80037586101695801</v>
      </c>
      <c r="AB304">
        <v>2092.91</v>
      </c>
      <c r="AC304">
        <v>0</v>
      </c>
      <c r="AD304">
        <v>2.1</v>
      </c>
      <c r="AE304">
        <v>-1.0768626388726401</v>
      </c>
      <c r="AF304">
        <v>1.06071267170406</v>
      </c>
      <c r="AG304">
        <v>-0.95344495605116597</v>
      </c>
      <c r="AH304">
        <v>1.18763901701216</v>
      </c>
      <c r="AI304">
        <v>1.4836044289928401</v>
      </c>
      <c r="AJ304">
        <v>0.76193534118230599</v>
      </c>
      <c r="AK304">
        <v>49.042560999999999</v>
      </c>
      <c r="AL304">
        <v>3.9528660000000002</v>
      </c>
      <c r="AM304">
        <v>50.640682937000001</v>
      </c>
      <c r="AN304">
        <v>4.6610704270000003</v>
      </c>
    </row>
    <row r="305" spans="1:40" x14ac:dyDescent="0.35">
      <c r="A305">
        <v>400</v>
      </c>
      <c r="B305">
        <v>57</v>
      </c>
      <c r="C305" t="s">
        <v>40</v>
      </c>
      <c r="D305" t="s">
        <v>52</v>
      </c>
      <c r="E305" t="s">
        <v>42</v>
      </c>
      <c r="F305" t="s">
        <v>49</v>
      </c>
      <c r="G305">
        <v>3</v>
      </c>
      <c r="H305">
        <v>9</v>
      </c>
      <c r="I305">
        <v>4</v>
      </c>
      <c r="J305" t="s">
        <v>56</v>
      </c>
      <c r="K305" t="s">
        <v>46</v>
      </c>
      <c r="L305" t="s">
        <v>69</v>
      </c>
      <c r="M305">
        <v>229.63523836448141</v>
      </c>
      <c r="N305">
        <v>285</v>
      </c>
      <c r="O305">
        <v>150</v>
      </c>
      <c r="P305">
        <v>218</v>
      </c>
      <c r="Q305">
        <v>2.3978952727983707</v>
      </c>
      <c r="R305">
        <v>4.5538768916005408</v>
      </c>
      <c r="S305">
        <v>5.4847969334906548</v>
      </c>
      <c r="T305">
        <v>93.296000000000006</v>
      </c>
      <c r="U305">
        <v>2.2325431437911538</v>
      </c>
      <c r="V305">
        <v>-0.44922684044461197</v>
      </c>
      <c r="W305">
        <v>-0.76855194782346203</v>
      </c>
      <c r="X305">
        <v>-0.44700324392789598</v>
      </c>
      <c r="Y305">
        <v>-0.846122564821426</v>
      </c>
      <c r="Z305">
        <v>-0.92679578564836795</v>
      </c>
      <c r="AA305">
        <v>0.86332342905974202</v>
      </c>
      <c r="AB305">
        <v>2050</v>
      </c>
      <c r="AC305">
        <v>1</v>
      </c>
      <c r="AD305">
        <v>2</v>
      </c>
      <c r="AE305">
        <v>-0.51011828243844404</v>
      </c>
      <c r="AF305">
        <v>0.213893854164417</v>
      </c>
      <c r="AG305">
        <v>-0.135217671736787</v>
      </c>
      <c r="AH305">
        <v>-1.1410623241709099</v>
      </c>
      <c r="AI305">
        <v>0.25985849437956499</v>
      </c>
      <c r="AJ305">
        <v>-1.9467748205978399</v>
      </c>
      <c r="AK305">
        <v>47.177235000000003</v>
      </c>
      <c r="AL305">
        <v>4.964315</v>
      </c>
      <c r="AM305">
        <v>45.181999999999995</v>
      </c>
      <c r="AN305">
        <v>5.7210000000000001</v>
      </c>
    </row>
    <row r="306" spans="1:40" x14ac:dyDescent="0.35">
      <c r="A306">
        <v>401</v>
      </c>
      <c r="B306">
        <v>72</v>
      </c>
      <c r="C306" t="s">
        <v>40</v>
      </c>
      <c r="D306" t="s">
        <v>52</v>
      </c>
      <c r="E306" t="s">
        <v>42</v>
      </c>
      <c r="F306" t="s">
        <v>49</v>
      </c>
      <c r="G306">
        <v>5</v>
      </c>
      <c r="H306">
        <v>25</v>
      </c>
      <c r="I306">
        <v>7</v>
      </c>
      <c r="J306" t="s">
        <v>45</v>
      </c>
      <c r="K306" t="s">
        <v>44</v>
      </c>
      <c r="L306" t="s">
        <v>58</v>
      </c>
      <c r="M306">
        <v>363.47944164288629</v>
      </c>
      <c r="N306">
        <v>540</v>
      </c>
      <c r="O306">
        <v>338</v>
      </c>
      <c r="P306">
        <v>420</v>
      </c>
      <c r="Q306">
        <v>3.2580965380214821</v>
      </c>
      <c r="R306">
        <v>2.8903717578961645</v>
      </c>
      <c r="S306">
        <v>4.7535901911063645</v>
      </c>
      <c r="T306">
        <v>90.794285714285706</v>
      </c>
      <c r="U306">
        <v>0</v>
      </c>
      <c r="V306">
        <v>0.63905639120027702</v>
      </c>
      <c r="W306">
        <v>0.692565001186083</v>
      </c>
      <c r="X306">
        <v>0.56469097254324596</v>
      </c>
      <c r="Y306">
        <v>1.4483117406157899</v>
      </c>
      <c r="Z306">
        <v>1.7680602694732599</v>
      </c>
      <c r="AA306">
        <v>0.26366440732357699</v>
      </c>
      <c r="AB306">
        <v>4236</v>
      </c>
      <c r="AC306">
        <v>0</v>
      </c>
      <c r="AD306">
        <v>4</v>
      </c>
      <c r="AE306">
        <v>1.6751267091712101</v>
      </c>
      <c r="AF306">
        <v>1.3770610907066301</v>
      </c>
      <c r="AG306">
        <v>1.2105300848007301</v>
      </c>
      <c r="AH306">
        <v>-0.286829893419212</v>
      </c>
      <c r="AI306">
        <v>1.4836044289928401</v>
      </c>
      <c r="AJ306">
        <v>0.76193534118230599</v>
      </c>
      <c r="AK306">
        <v>45.198478000000001</v>
      </c>
      <c r="AL306">
        <v>-0.74874399999999997</v>
      </c>
      <c r="AM306">
        <v>43.737647058823526</v>
      </c>
      <c r="AN306">
        <v>3.3440588235294122</v>
      </c>
    </row>
    <row r="307" spans="1:40" x14ac:dyDescent="0.35">
      <c r="A307">
        <v>402</v>
      </c>
      <c r="B307">
        <v>42</v>
      </c>
      <c r="C307" t="s">
        <v>48</v>
      </c>
      <c r="D307" t="s">
        <v>66</v>
      </c>
      <c r="E307" t="s">
        <v>42</v>
      </c>
      <c r="F307" t="s">
        <v>43</v>
      </c>
      <c r="G307">
        <v>5</v>
      </c>
      <c r="H307">
        <v>25</v>
      </c>
      <c r="I307">
        <v>4</v>
      </c>
      <c r="J307" t="s">
        <v>56</v>
      </c>
      <c r="K307" t="s">
        <v>46</v>
      </c>
      <c r="L307" t="s">
        <v>77</v>
      </c>
      <c r="M307">
        <v>106.62586531424181</v>
      </c>
      <c r="N307">
        <v>141</v>
      </c>
      <c r="O307">
        <v>105</v>
      </c>
      <c r="P307">
        <v>129</v>
      </c>
      <c r="Q307">
        <v>0</v>
      </c>
      <c r="R307">
        <v>2.3978952727983707</v>
      </c>
      <c r="S307">
        <v>5.1416635565026603</v>
      </c>
      <c r="T307">
        <v>90.472417453603512</v>
      </c>
      <c r="U307">
        <v>2.7735735584863375</v>
      </c>
      <c r="V307">
        <v>-0.15231437986527399</v>
      </c>
      <c r="W307">
        <v>3.49635939345109E-2</v>
      </c>
      <c r="X307">
        <v>-0.19627808847033801</v>
      </c>
      <c r="Y307">
        <v>-0.57382446736590997</v>
      </c>
      <c r="Z307">
        <v>-0.74335605457542497</v>
      </c>
      <c r="AA307">
        <v>-0.53588051656191904</v>
      </c>
      <c r="AB307">
        <v>3937</v>
      </c>
      <c r="AC307">
        <v>0</v>
      </c>
      <c r="AD307">
        <v>1</v>
      </c>
      <c r="AE307">
        <v>-0.72244456620022002</v>
      </c>
      <c r="AF307">
        <v>0.80275762665139505</v>
      </c>
      <c r="AG307">
        <v>0.36096328412908502</v>
      </c>
      <c r="AH307">
        <v>0.339984388961659</v>
      </c>
      <c r="AI307">
        <v>0.249537634159364</v>
      </c>
      <c r="AJ307">
        <v>0.38012745861082098</v>
      </c>
      <c r="AK307">
        <v>47.259622</v>
      </c>
      <c r="AL307">
        <v>-7.8518000000000004E-2</v>
      </c>
      <c r="AM307">
        <v>46.55533333333333</v>
      </c>
      <c r="AN307">
        <v>-1.0287777777777776</v>
      </c>
    </row>
    <row r="308" spans="1:40" x14ac:dyDescent="0.35">
      <c r="A308">
        <v>403</v>
      </c>
      <c r="B308">
        <v>57</v>
      </c>
      <c r="C308" t="s">
        <v>40</v>
      </c>
      <c r="D308" t="s">
        <v>52</v>
      </c>
      <c r="E308" t="s">
        <v>42</v>
      </c>
      <c r="F308" t="s">
        <v>49</v>
      </c>
      <c r="G308">
        <v>3</v>
      </c>
      <c r="H308">
        <v>9</v>
      </c>
      <c r="I308">
        <v>7</v>
      </c>
      <c r="J308" t="s">
        <v>56</v>
      </c>
      <c r="K308" t="s">
        <v>46</v>
      </c>
      <c r="L308" t="s">
        <v>72</v>
      </c>
      <c r="M308">
        <v>52.409389516849792</v>
      </c>
      <c r="N308">
        <v>169</v>
      </c>
      <c r="O308">
        <v>121</v>
      </c>
      <c r="P308">
        <v>173</v>
      </c>
      <c r="Q308">
        <v>0.69314718055994529</v>
      </c>
      <c r="R308">
        <v>1.3862943611198906</v>
      </c>
      <c r="S308">
        <v>4.5538768916005408</v>
      </c>
      <c r="T308">
        <v>89.340161030595823</v>
      </c>
      <c r="U308">
        <v>1.4712304197281412</v>
      </c>
      <c r="V308">
        <v>0.59716251398508702</v>
      </c>
      <c r="W308">
        <v>0.91068296986709796</v>
      </c>
      <c r="X308">
        <v>1.2273243988355</v>
      </c>
      <c r="Y308">
        <v>-0.4121809470949</v>
      </c>
      <c r="Z308">
        <v>-0.86472582726521097</v>
      </c>
      <c r="AA308">
        <v>-1.0172779374790899</v>
      </c>
      <c r="AB308">
        <v>1828.1689246701658</v>
      </c>
      <c r="AC308">
        <v>1.1127464888636687</v>
      </c>
      <c r="AD308">
        <v>1.8630656830756136</v>
      </c>
      <c r="AE308">
        <v>-0.53926882203722504</v>
      </c>
      <c r="AF308">
        <v>1.0223581706689899</v>
      </c>
      <c r="AG308">
        <v>-2.3478928753630899</v>
      </c>
      <c r="AH308">
        <v>0.356070001264851</v>
      </c>
      <c r="AI308">
        <v>-0.43755953696070399</v>
      </c>
      <c r="AJ308">
        <v>1.4474016684234401</v>
      </c>
      <c r="AK308">
        <v>44.503641999999999</v>
      </c>
      <c r="AL308">
        <v>1.1863669999999999</v>
      </c>
      <c r="AM308">
        <v>44.844285714285711</v>
      </c>
      <c r="AN308">
        <v>0.72935714285714259</v>
      </c>
    </row>
    <row r="309" spans="1:40" x14ac:dyDescent="0.35">
      <c r="A309">
        <v>404</v>
      </c>
      <c r="B309">
        <v>72</v>
      </c>
      <c r="C309" t="s">
        <v>40</v>
      </c>
      <c r="D309" t="s">
        <v>52</v>
      </c>
      <c r="E309" t="s">
        <v>42</v>
      </c>
      <c r="F309" t="s">
        <v>49</v>
      </c>
      <c r="G309">
        <v>5</v>
      </c>
      <c r="H309">
        <v>25</v>
      </c>
      <c r="I309">
        <v>5</v>
      </c>
      <c r="J309" t="s">
        <v>56</v>
      </c>
      <c r="K309" t="s">
        <v>46</v>
      </c>
      <c r="L309" t="s">
        <v>79</v>
      </c>
      <c r="M309">
        <v>374.96171541018299</v>
      </c>
      <c r="N309">
        <v>452</v>
      </c>
      <c r="O309">
        <v>281</v>
      </c>
      <c r="P309">
        <v>198</v>
      </c>
      <c r="Q309">
        <v>0</v>
      </c>
      <c r="R309">
        <v>1.0986122886681098</v>
      </c>
      <c r="S309">
        <v>4.4659081186545837</v>
      </c>
      <c r="T309">
        <v>90.88000000000001</v>
      </c>
      <c r="U309">
        <v>0.63076672920079646</v>
      </c>
      <c r="V309">
        <v>-0.66459185691613598</v>
      </c>
      <c r="W309">
        <v>-0.11297510960708999</v>
      </c>
      <c r="X309">
        <v>-0.19037106594949799</v>
      </c>
      <c r="Y309">
        <v>-0.374020329094302</v>
      </c>
      <c r="Z309">
        <v>-0.78642831806525804</v>
      </c>
      <c r="AA309">
        <v>-1.3830773108541501</v>
      </c>
      <c r="AB309">
        <v>1910</v>
      </c>
      <c r="AC309">
        <v>4</v>
      </c>
      <c r="AD309">
        <v>0</v>
      </c>
      <c r="AE309">
        <v>3.4620335695619099E-2</v>
      </c>
      <c r="AF309">
        <v>-0.61453619373392088</v>
      </c>
      <c r="AG309">
        <v>-1.6321784975321854</v>
      </c>
      <c r="AH309">
        <v>1.3022964551591174</v>
      </c>
      <c r="AI309">
        <v>-1.34459825867703</v>
      </c>
      <c r="AJ309">
        <v>-1.02809822197512</v>
      </c>
      <c r="AK309">
        <v>42.698529999999998</v>
      </c>
      <c r="AL309">
        <v>2.8953120000000001</v>
      </c>
      <c r="AM309">
        <v>45.767306300000001</v>
      </c>
      <c r="AN309">
        <v>4.8343065000000003</v>
      </c>
    </row>
    <row r="310" spans="1:40" x14ac:dyDescent="0.35">
      <c r="A310">
        <v>406</v>
      </c>
      <c r="B310">
        <v>72</v>
      </c>
      <c r="C310" t="s">
        <v>40</v>
      </c>
      <c r="D310" t="s">
        <v>52</v>
      </c>
      <c r="E310" t="s">
        <v>42</v>
      </c>
      <c r="F310" t="s">
        <v>43</v>
      </c>
      <c r="G310">
        <v>7</v>
      </c>
      <c r="H310">
        <v>49</v>
      </c>
      <c r="I310">
        <v>5</v>
      </c>
      <c r="J310" t="s">
        <v>50</v>
      </c>
      <c r="K310" t="s">
        <v>46</v>
      </c>
      <c r="L310" t="s">
        <v>54</v>
      </c>
      <c r="M310">
        <v>461.10129724652461</v>
      </c>
      <c r="N310">
        <v>569</v>
      </c>
      <c r="O310">
        <v>348</v>
      </c>
      <c r="P310">
        <v>234</v>
      </c>
      <c r="Q310">
        <v>3.9889840465642745</v>
      </c>
      <c r="R310">
        <v>3.0910424533583161</v>
      </c>
      <c r="S310">
        <v>4.1271343850450917</v>
      </c>
      <c r="T310">
        <v>92.826666666666668</v>
      </c>
      <c r="U310">
        <v>2.9827057067926286</v>
      </c>
      <c r="V310">
        <v>-0.16604708794949699</v>
      </c>
      <c r="W310">
        <v>-0.150727876652859</v>
      </c>
      <c r="X310">
        <v>-0.19602043866096</v>
      </c>
      <c r="Y310">
        <v>1.4483117406157899</v>
      </c>
      <c r="Z310">
        <v>1.7680602694732599</v>
      </c>
      <c r="AA310">
        <v>0.26366440732357699</v>
      </c>
      <c r="AB310">
        <v>4236</v>
      </c>
      <c r="AC310">
        <v>0</v>
      </c>
      <c r="AD310">
        <v>4</v>
      </c>
      <c r="AE310">
        <v>1.6751267091712101</v>
      </c>
      <c r="AF310">
        <v>1.8152439416826001</v>
      </c>
      <c r="AG310">
        <v>-0.95252875177854301</v>
      </c>
      <c r="AH310">
        <v>0.94195051310459199</v>
      </c>
      <c r="AI310">
        <v>0.80074598986956103</v>
      </c>
      <c r="AJ310">
        <v>9.2951164937519107E-2</v>
      </c>
      <c r="AK310">
        <v>44.917983300000003</v>
      </c>
      <c r="AL310">
        <v>-0.22352169999999999</v>
      </c>
      <c r="AM310">
        <v>48.688499999999991</v>
      </c>
      <c r="AN310">
        <v>2.2837499999999995</v>
      </c>
    </row>
    <row r="311" spans="1:40" x14ac:dyDescent="0.35">
      <c r="A311">
        <v>407</v>
      </c>
      <c r="B311">
        <v>72</v>
      </c>
      <c r="C311" t="s">
        <v>40</v>
      </c>
      <c r="D311" t="s">
        <v>52</v>
      </c>
      <c r="E311" t="s">
        <v>42</v>
      </c>
      <c r="F311" t="s">
        <v>49</v>
      </c>
      <c r="G311">
        <v>7</v>
      </c>
      <c r="H311">
        <v>49</v>
      </c>
      <c r="I311">
        <v>5</v>
      </c>
      <c r="J311" t="s">
        <v>50</v>
      </c>
      <c r="K311" t="s">
        <v>46</v>
      </c>
      <c r="L311" t="s">
        <v>71</v>
      </c>
      <c r="M311">
        <v>463.31422912034981</v>
      </c>
      <c r="N311">
        <v>427</v>
      </c>
      <c r="O311">
        <v>220</v>
      </c>
      <c r="P311">
        <v>238</v>
      </c>
      <c r="Q311">
        <v>4.5747109785033828</v>
      </c>
      <c r="R311">
        <v>3.5263605246161616</v>
      </c>
      <c r="S311">
        <v>5.1416635565026603</v>
      </c>
      <c r="T311">
        <v>92.265120976563693</v>
      </c>
      <c r="U311">
        <v>2.9351954657362995</v>
      </c>
      <c r="V311">
        <v>-8.3509539921858403E-2</v>
      </c>
      <c r="W311">
        <v>-8.6188355584626702E-2</v>
      </c>
      <c r="X311">
        <v>-6.2117403422328299E-2</v>
      </c>
      <c r="Y311">
        <v>-0.51135009403950604</v>
      </c>
      <c r="Z311">
        <v>-0.669554030021006</v>
      </c>
      <c r="AA311">
        <v>-1.4915282051312999</v>
      </c>
      <c r="AB311">
        <v>1813.5248996931791</v>
      </c>
      <c r="AC311">
        <v>1.6535284399339156</v>
      </c>
      <c r="AD311">
        <v>0.49421760679726223</v>
      </c>
      <c r="AE311">
        <v>-0.18520258641298501</v>
      </c>
      <c r="AF311">
        <v>-1.27364436058787</v>
      </c>
      <c r="AG311">
        <v>1.1268392968833501</v>
      </c>
      <c r="AH311">
        <v>-0.17626461712129099</v>
      </c>
      <c r="AI311">
        <v>-0.71294557007153003</v>
      </c>
      <c r="AJ311">
        <v>-0.70216179369878495</v>
      </c>
      <c r="AK311">
        <v>45.071283999999999</v>
      </c>
      <c r="AL311">
        <v>4.8370730000000002</v>
      </c>
      <c r="AM311">
        <v>48.801202648999997</v>
      </c>
      <c r="AN311">
        <v>2.1303299060000001</v>
      </c>
    </row>
    <row r="312" spans="1:40" x14ac:dyDescent="0.35">
      <c r="A312">
        <v>408</v>
      </c>
      <c r="B312">
        <v>57</v>
      </c>
      <c r="C312" t="s">
        <v>40</v>
      </c>
      <c r="D312" t="s">
        <v>41</v>
      </c>
      <c r="E312" t="s">
        <v>42</v>
      </c>
      <c r="F312" t="s">
        <v>61</v>
      </c>
      <c r="G312">
        <v>3</v>
      </c>
      <c r="H312">
        <v>9</v>
      </c>
      <c r="I312">
        <v>3</v>
      </c>
      <c r="J312" t="s">
        <v>45</v>
      </c>
      <c r="K312" t="s">
        <v>46</v>
      </c>
      <c r="L312" t="s">
        <v>55</v>
      </c>
      <c r="M312">
        <v>318.23101791099839</v>
      </c>
      <c r="N312">
        <v>408</v>
      </c>
      <c r="O312">
        <v>263</v>
      </c>
      <c r="P312">
        <v>213</v>
      </c>
      <c r="Q312">
        <v>2.0794415416798357</v>
      </c>
      <c r="R312">
        <v>2.3025850929940459</v>
      </c>
      <c r="S312">
        <v>3.2580965380214821</v>
      </c>
      <c r="T312">
        <v>95.12</v>
      </c>
      <c r="U312">
        <v>0</v>
      </c>
      <c r="V312">
        <v>1.89305099905856</v>
      </c>
      <c r="W312">
        <v>0.59880690621441701</v>
      </c>
      <c r="X312">
        <v>1.1856460040685599</v>
      </c>
      <c r="Y312">
        <v>-0.15565097555555901</v>
      </c>
      <c r="Z312">
        <v>-0.22748295097212001</v>
      </c>
      <c r="AA312">
        <v>1.0415013010201299</v>
      </c>
      <c r="AB312">
        <v>2939.9504036908884</v>
      </c>
      <c r="AC312">
        <v>2</v>
      </c>
      <c r="AD312">
        <v>0.42868127643214149</v>
      </c>
      <c r="AE312">
        <v>-2.40641039566141E-2</v>
      </c>
      <c r="AF312">
        <v>-0.374506256758943</v>
      </c>
      <c r="AG312">
        <v>-0.52996351879147596</v>
      </c>
      <c r="AH312">
        <v>-0.97680876689694995</v>
      </c>
      <c r="AI312">
        <v>-0.84951159764417505</v>
      </c>
      <c r="AJ312">
        <v>-0.40725506281167601</v>
      </c>
      <c r="AK312">
        <v>48.0777517</v>
      </c>
      <c r="AL312">
        <v>7.3579641000000002</v>
      </c>
      <c r="AM312">
        <v>45.814999999999998</v>
      </c>
      <c r="AN312">
        <v>4.798</v>
      </c>
    </row>
    <row r="313" spans="1:40" x14ac:dyDescent="0.35">
      <c r="A313">
        <v>410</v>
      </c>
      <c r="B313">
        <v>42</v>
      </c>
      <c r="C313" t="s">
        <v>48</v>
      </c>
      <c r="D313" t="s">
        <v>41</v>
      </c>
      <c r="E313" t="s">
        <v>68</v>
      </c>
      <c r="F313" t="s">
        <v>53</v>
      </c>
      <c r="G313">
        <v>3</v>
      </c>
      <c r="H313">
        <v>9</v>
      </c>
      <c r="I313">
        <v>5</v>
      </c>
      <c r="J313" t="s">
        <v>45</v>
      </c>
      <c r="K313" t="s">
        <v>46</v>
      </c>
      <c r="L313" t="s">
        <v>60</v>
      </c>
      <c r="M313">
        <v>733.1172243891192</v>
      </c>
      <c r="N313">
        <v>927</v>
      </c>
      <c r="O313">
        <v>564</v>
      </c>
      <c r="P313">
        <v>468</v>
      </c>
      <c r="Q313">
        <v>3.8501476017100584</v>
      </c>
      <c r="R313">
        <v>2.9957322735539909</v>
      </c>
      <c r="S313">
        <v>5.4424177105217932</v>
      </c>
      <c r="T313">
        <v>88.975873222691746</v>
      </c>
      <c r="U313">
        <v>2.5514539469641888</v>
      </c>
      <c r="V313">
        <v>2.9336799326863701</v>
      </c>
      <c r="W313">
        <v>3.3730943146768602</v>
      </c>
      <c r="X313">
        <v>3.6072071704345601</v>
      </c>
      <c r="Y313">
        <v>-0.19189497559235799</v>
      </c>
      <c r="Z313">
        <v>0.17569111512999699</v>
      </c>
      <c r="AA313">
        <v>-0.304970615080496</v>
      </c>
      <c r="AB313">
        <v>1906.836709612184</v>
      </c>
      <c r="AC313">
        <v>0.7978420820676605</v>
      </c>
      <c r="AD313">
        <v>2.1056638128240834</v>
      </c>
      <c r="AE313">
        <v>-0.25037207080954499</v>
      </c>
      <c r="AF313">
        <v>-0.56861407260177099</v>
      </c>
      <c r="AG313">
        <v>0.51373709267540002</v>
      </c>
      <c r="AH313">
        <v>-3.9452122456157199</v>
      </c>
      <c r="AI313">
        <v>-1.28514662178503</v>
      </c>
      <c r="AJ313">
        <v>-1.7392627337280699</v>
      </c>
      <c r="AK313">
        <v>44.055988999999997</v>
      </c>
      <c r="AL313">
        <v>4.8317350000000001</v>
      </c>
      <c r="AM313">
        <v>50.640682937000001</v>
      </c>
      <c r="AN313">
        <v>4.6610704270000003</v>
      </c>
    </row>
    <row r="314" spans="1:40" x14ac:dyDescent="0.35">
      <c r="A314">
        <v>412</v>
      </c>
      <c r="B314">
        <v>72</v>
      </c>
      <c r="C314" t="s">
        <v>40</v>
      </c>
      <c r="D314" t="s">
        <v>52</v>
      </c>
      <c r="E314" t="s">
        <v>42</v>
      </c>
      <c r="F314" t="s">
        <v>49</v>
      </c>
      <c r="G314">
        <v>5</v>
      </c>
      <c r="H314">
        <v>25</v>
      </c>
      <c r="I314">
        <v>4</v>
      </c>
      <c r="J314" t="s">
        <v>50</v>
      </c>
      <c r="K314" t="s">
        <v>46</v>
      </c>
      <c r="L314" t="s">
        <v>71</v>
      </c>
      <c r="M314">
        <v>338.25224894951538</v>
      </c>
      <c r="N314">
        <v>257</v>
      </c>
      <c r="O314">
        <v>140</v>
      </c>
      <c r="P314">
        <v>184</v>
      </c>
      <c r="Q314">
        <v>4.5747109785033828</v>
      </c>
      <c r="R314">
        <v>3.5263605246161616</v>
      </c>
      <c r="S314">
        <v>5.1416635565026603</v>
      </c>
      <c r="T314">
        <v>92.265120976563693</v>
      </c>
      <c r="U314">
        <v>2.9351954657362995</v>
      </c>
      <c r="V314">
        <v>-8.3509539921858403E-2</v>
      </c>
      <c r="W314">
        <v>-8.6188355584626702E-2</v>
      </c>
      <c r="X314">
        <v>-6.2117403422328299E-2</v>
      </c>
      <c r="Y314">
        <v>-0.51135009403950604</v>
      </c>
      <c r="Z314">
        <v>-0.669554030021006</v>
      </c>
      <c r="AA314">
        <v>-1.4915282051312999</v>
      </c>
      <c r="AB314">
        <v>1813.5248996931791</v>
      </c>
      <c r="AC314">
        <v>1.6535284399339156</v>
      </c>
      <c r="AD314">
        <v>0.49421760679726223</v>
      </c>
      <c r="AE314">
        <v>-0.18520258641298501</v>
      </c>
      <c r="AF314">
        <v>-0.37369434902402299</v>
      </c>
      <c r="AG314">
        <v>-0.44966573525458398</v>
      </c>
      <c r="AH314">
        <v>1.1361817005365999</v>
      </c>
      <c r="AI314">
        <v>0.50843404221964295</v>
      </c>
      <c r="AJ314">
        <v>-0.48930451540889802</v>
      </c>
      <c r="AK314">
        <v>45.071283999999999</v>
      </c>
      <c r="AL314">
        <v>4.8370730000000002</v>
      </c>
      <c r="AM314">
        <v>48.102874999999997</v>
      </c>
      <c r="AN314">
        <v>5.1367500000000001</v>
      </c>
    </row>
    <row r="315" spans="1:40" x14ac:dyDescent="0.35">
      <c r="A315">
        <v>413</v>
      </c>
      <c r="B315">
        <v>57</v>
      </c>
      <c r="C315" t="s">
        <v>40</v>
      </c>
      <c r="D315" t="s">
        <v>52</v>
      </c>
      <c r="E315" t="s">
        <v>42</v>
      </c>
      <c r="F315" t="s">
        <v>43</v>
      </c>
      <c r="G315">
        <v>6</v>
      </c>
      <c r="H315">
        <v>36</v>
      </c>
      <c r="I315">
        <v>4</v>
      </c>
      <c r="J315" t="s">
        <v>50</v>
      </c>
      <c r="K315" t="s">
        <v>46</v>
      </c>
      <c r="L315" t="s">
        <v>69</v>
      </c>
      <c r="M315">
        <v>17.155182835858341</v>
      </c>
      <c r="N315">
        <v>24</v>
      </c>
      <c r="O315">
        <v>35</v>
      </c>
      <c r="P315">
        <v>13</v>
      </c>
      <c r="Q315">
        <v>2.3978952727983707</v>
      </c>
      <c r="R315">
        <v>4.5538768916005408</v>
      </c>
      <c r="S315">
        <v>5.4847969334906548</v>
      </c>
      <c r="T315">
        <v>93.296000000000006</v>
      </c>
      <c r="U315">
        <v>2.2325431437911538</v>
      </c>
      <c r="V315">
        <v>-0.44922684044461197</v>
      </c>
      <c r="W315">
        <v>-0.76855194782346203</v>
      </c>
      <c r="X315">
        <v>-0.44700324392789598</v>
      </c>
      <c r="Y315">
        <v>-0.846122564821426</v>
      </c>
      <c r="Z315">
        <v>-0.92679578564836795</v>
      </c>
      <c r="AA315">
        <v>0.86332342905974202</v>
      </c>
      <c r="AB315">
        <v>2050</v>
      </c>
      <c r="AC315">
        <v>1</v>
      </c>
      <c r="AD315">
        <v>2</v>
      </c>
      <c r="AE315">
        <v>-0.51011828243844404</v>
      </c>
      <c r="AF315">
        <v>0.114659447108308</v>
      </c>
      <c r="AG315">
        <v>0.180348318083531</v>
      </c>
      <c r="AH315">
        <v>1.16084287988543</v>
      </c>
      <c r="AI315">
        <v>0.59136622216773105</v>
      </c>
      <c r="AJ315">
        <v>-0.70523081131236898</v>
      </c>
      <c r="AK315">
        <v>47.177235000000003</v>
      </c>
      <c r="AL315">
        <v>4.964315</v>
      </c>
      <c r="AM315">
        <v>47.323</v>
      </c>
      <c r="AN315">
        <v>5.0380000000000003</v>
      </c>
    </row>
    <row r="316" spans="1:40" x14ac:dyDescent="0.35">
      <c r="A316">
        <v>415</v>
      </c>
      <c r="B316">
        <v>57</v>
      </c>
      <c r="C316" t="s">
        <v>40</v>
      </c>
      <c r="D316" t="s">
        <v>52</v>
      </c>
      <c r="E316" t="s">
        <v>42</v>
      </c>
      <c r="F316" t="s">
        <v>49</v>
      </c>
      <c r="G316">
        <v>4</v>
      </c>
      <c r="H316">
        <v>16</v>
      </c>
      <c r="I316">
        <v>2</v>
      </c>
      <c r="J316" t="s">
        <v>56</v>
      </c>
      <c r="K316" t="s">
        <v>46</v>
      </c>
      <c r="L316" t="s">
        <v>71</v>
      </c>
      <c r="M316">
        <v>620.21819589677784</v>
      </c>
      <c r="N316">
        <v>756</v>
      </c>
      <c r="O316">
        <v>390</v>
      </c>
      <c r="P316">
        <v>382</v>
      </c>
      <c r="Q316">
        <v>4.5747109785033828</v>
      </c>
      <c r="R316">
        <v>3.5263605246161616</v>
      </c>
      <c r="S316">
        <v>5.1416635565026603</v>
      </c>
      <c r="T316">
        <v>92.265120976563693</v>
      </c>
      <c r="U316">
        <v>2.9351954657362995</v>
      </c>
      <c r="V316">
        <v>-8.3509539921858403E-2</v>
      </c>
      <c r="W316">
        <v>-8.6188355584626702E-2</v>
      </c>
      <c r="X316">
        <v>-6.2117403422328299E-2</v>
      </c>
      <c r="Y316">
        <v>-0.51135009403950604</v>
      </c>
      <c r="Z316">
        <v>-0.669554030021006</v>
      </c>
      <c r="AA316">
        <v>-1.4915282051312999</v>
      </c>
      <c r="AB316">
        <v>1813.5248996931791</v>
      </c>
      <c r="AC316">
        <v>1.6535284399339156</v>
      </c>
      <c r="AD316">
        <v>0.49421760679726223</v>
      </c>
      <c r="AE316">
        <v>-0.18520258641298501</v>
      </c>
      <c r="AF316">
        <v>1.5111116384855701</v>
      </c>
      <c r="AG316">
        <v>1.1500609789993801</v>
      </c>
      <c r="AH316">
        <v>5.2344572583151498E-2</v>
      </c>
      <c r="AI316">
        <v>-0.34816378035557</v>
      </c>
      <c r="AJ316">
        <v>0.39474876853156898</v>
      </c>
      <c r="AK316">
        <v>45.071283999999999</v>
      </c>
      <c r="AL316">
        <v>4.8370730000000002</v>
      </c>
      <c r="AM316">
        <v>47.686374999999998</v>
      </c>
      <c r="AN316">
        <v>-2.299125000000001</v>
      </c>
    </row>
    <row r="317" spans="1:40" x14ac:dyDescent="0.35">
      <c r="A317">
        <v>416</v>
      </c>
      <c r="B317">
        <v>72</v>
      </c>
      <c r="C317" t="s">
        <v>40</v>
      </c>
      <c r="D317" t="s">
        <v>52</v>
      </c>
      <c r="E317" t="s">
        <v>42</v>
      </c>
      <c r="F317" t="s">
        <v>49</v>
      </c>
      <c r="G317">
        <v>5</v>
      </c>
      <c r="H317">
        <v>25</v>
      </c>
      <c r="I317">
        <v>5</v>
      </c>
      <c r="J317" t="s">
        <v>56</v>
      </c>
      <c r="K317" t="s">
        <v>46</v>
      </c>
      <c r="L317" t="s">
        <v>77</v>
      </c>
      <c r="M317">
        <v>253.57285753495381</v>
      </c>
      <c r="N317">
        <v>321</v>
      </c>
      <c r="O317">
        <v>204</v>
      </c>
      <c r="P317">
        <v>127</v>
      </c>
      <c r="Q317">
        <v>0</v>
      </c>
      <c r="R317">
        <v>2.3978952727983707</v>
      </c>
      <c r="S317">
        <v>5.1416635565026603</v>
      </c>
      <c r="T317">
        <v>90.472417453603512</v>
      </c>
      <c r="U317">
        <v>2.7735735584863375</v>
      </c>
      <c r="V317">
        <v>-0.15231437986527399</v>
      </c>
      <c r="W317">
        <v>3.49635939345109E-2</v>
      </c>
      <c r="X317">
        <v>-0.19627808847033801</v>
      </c>
      <c r="Y317">
        <v>-0.57382446736590997</v>
      </c>
      <c r="Z317">
        <v>-0.74335605457542497</v>
      </c>
      <c r="AA317">
        <v>-0.53588051656191904</v>
      </c>
      <c r="AB317">
        <v>3937</v>
      </c>
      <c r="AC317">
        <v>0</v>
      </c>
      <c r="AD317">
        <v>1</v>
      </c>
      <c r="AE317">
        <v>-0.72244456620022002</v>
      </c>
      <c r="AF317">
        <v>-6.5314081330459295E-2</v>
      </c>
      <c r="AG317">
        <v>-0.38712315667325498</v>
      </c>
      <c r="AH317">
        <v>1.4035626710474499E-2</v>
      </c>
      <c r="AI317">
        <v>-0.18085152510923899</v>
      </c>
      <c r="AJ317">
        <v>-1.1185692313281299</v>
      </c>
      <c r="AK317">
        <v>47.259622</v>
      </c>
      <c r="AL317">
        <v>-7.8518000000000004E-2</v>
      </c>
      <c r="AM317">
        <v>48.856372813999997</v>
      </c>
      <c r="AN317">
        <v>2.3525296170000001</v>
      </c>
    </row>
    <row r="318" spans="1:40" x14ac:dyDescent="0.35">
      <c r="A318">
        <v>417</v>
      </c>
      <c r="B318">
        <v>72</v>
      </c>
      <c r="C318" t="s">
        <v>40</v>
      </c>
      <c r="D318" t="s">
        <v>52</v>
      </c>
      <c r="E318" t="s">
        <v>42</v>
      </c>
      <c r="F318" t="s">
        <v>49</v>
      </c>
      <c r="G318">
        <v>4</v>
      </c>
      <c r="H318">
        <v>16</v>
      </c>
      <c r="I318">
        <v>5</v>
      </c>
      <c r="J318" t="s">
        <v>50</v>
      </c>
      <c r="K318" t="s">
        <v>46</v>
      </c>
      <c r="L318" t="s">
        <v>47</v>
      </c>
      <c r="M318">
        <v>709.97900076447365</v>
      </c>
      <c r="N318">
        <v>1002</v>
      </c>
      <c r="O318">
        <v>611</v>
      </c>
      <c r="P318">
        <v>519</v>
      </c>
      <c r="Q318">
        <v>5.9107966440405271</v>
      </c>
      <c r="R318">
        <v>6.4997870406558542</v>
      </c>
      <c r="S318">
        <v>8.6415324656718457</v>
      </c>
      <c r="T318">
        <v>89.265350482850479</v>
      </c>
      <c r="U318">
        <v>1.4417786561042019</v>
      </c>
      <c r="V318">
        <v>-0.22886708829074301</v>
      </c>
      <c r="W318">
        <v>0.28745285629339301</v>
      </c>
      <c r="X318">
        <v>-0.15627425222847</v>
      </c>
      <c r="Y318">
        <v>1.45226138127617</v>
      </c>
      <c r="Z318">
        <v>0.98247225355557</v>
      </c>
      <c r="AA318">
        <v>0.627775520474398</v>
      </c>
      <c r="AB318">
        <v>3362.2959371744532</v>
      </c>
      <c r="AC318">
        <v>2.8998317172850387</v>
      </c>
      <c r="AD318">
        <v>2.9499158586425196</v>
      </c>
      <c r="AE318">
        <v>1.06273170356322</v>
      </c>
      <c r="AF318">
        <v>-2.06871561847001</v>
      </c>
      <c r="AG318">
        <v>-1.73780103560776</v>
      </c>
      <c r="AH318">
        <v>1.0311747708566099</v>
      </c>
      <c r="AI318">
        <v>-0.71587432336900303</v>
      </c>
      <c r="AJ318">
        <v>-1.19939652698665</v>
      </c>
      <c r="AK318">
        <v>43.3535629403058</v>
      </c>
      <c r="AL318">
        <v>3.21615314793977</v>
      </c>
      <c r="AM318">
        <v>48.174142857142854</v>
      </c>
      <c r="AN318">
        <v>-2.7787142857142859</v>
      </c>
    </row>
    <row r="319" spans="1:40" x14ac:dyDescent="0.35">
      <c r="A319">
        <v>418</v>
      </c>
      <c r="B319">
        <v>72</v>
      </c>
      <c r="C319" t="s">
        <v>40</v>
      </c>
      <c r="D319" t="s">
        <v>52</v>
      </c>
      <c r="E319" t="s">
        <v>42</v>
      </c>
      <c r="F319" t="s">
        <v>49</v>
      </c>
      <c r="G319">
        <v>5</v>
      </c>
      <c r="H319">
        <v>25</v>
      </c>
      <c r="I319">
        <v>5</v>
      </c>
      <c r="J319" t="s">
        <v>56</v>
      </c>
      <c r="K319" t="s">
        <v>46</v>
      </c>
      <c r="L319" t="s">
        <v>60</v>
      </c>
      <c r="M319">
        <v>554.26464999507596</v>
      </c>
      <c r="N319">
        <v>702</v>
      </c>
      <c r="O319">
        <v>440</v>
      </c>
      <c r="P319">
        <v>478</v>
      </c>
      <c r="Q319">
        <v>3.8501476017100584</v>
      </c>
      <c r="R319">
        <v>2.9957322735539909</v>
      </c>
      <c r="S319">
        <v>5.4424177105217932</v>
      </c>
      <c r="T319">
        <v>88.975873222691746</v>
      </c>
      <c r="U319">
        <v>2.5514539469641888</v>
      </c>
      <c r="V319">
        <v>2.9336799326863701</v>
      </c>
      <c r="W319">
        <v>3.3730943146768602</v>
      </c>
      <c r="X319">
        <v>3.6072071704345601</v>
      </c>
      <c r="Y319">
        <v>-0.19189497559235799</v>
      </c>
      <c r="Z319">
        <v>0.17569111512999699</v>
      </c>
      <c r="AA319">
        <v>-0.304970615080496</v>
      </c>
      <c r="AB319">
        <v>1906.836709612184</v>
      </c>
      <c r="AC319">
        <v>0.7978420820676605</v>
      </c>
      <c r="AD319">
        <v>2.1056638128240834</v>
      </c>
      <c r="AE319">
        <v>-0.25037207080954499</v>
      </c>
      <c r="AF319">
        <v>-5.2907435812130477E-2</v>
      </c>
      <c r="AG319">
        <v>0.86320986165685321</v>
      </c>
      <c r="AH319">
        <v>0.79949334467377564</v>
      </c>
      <c r="AI319">
        <v>0.36467859041389117</v>
      </c>
      <c r="AJ319">
        <v>-9.3599114133357281E-2</v>
      </c>
      <c r="AK319">
        <v>44.055988999999997</v>
      </c>
      <c r="AL319">
        <v>4.8317350000000001</v>
      </c>
      <c r="AM319">
        <v>48.612000000000002</v>
      </c>
      <c r="AN319">
        <v>7.7439999999999998</v>
      </c>
    </row>
    <row r="320" spans="1:40" x14ac:dyDescent="0.35">
      <c r="A320">
        <v>420</v>
      </c>
      <c r="B320">
        <v>72</v>
      </c>
      <c r="C320" t="s">
        <v>40</v>
      </c>
      <c r="D320" t="s">
        <v>52</v>
      </c>
      <c r="E320" t="s">
        <v>42</v>
      </c>
      <c r="F320" t="s">
        <v>49</v>
      </c>
      <c r="G320">
        <v>5</v>
      </c>
      <c r="H320">
        <v>25</v>
      </c>
      <c r="I320">
        <v>6</v>
      </c>
      <c r="J320" t="s">
        <v>56</v>
      </c>
      <c r="K320" t="s">
        <v>46</v>
      </c>
      <c r="L320" t="s">
        <v>59</v>
      </c>
      <c r="M320">
        <v>178.45005122636479</v>
      </c>
      <c r="N320">
        <v>216</v>
      </c>
      <c r="O320">
        <v>161</v>
      </c>
      <c r="P320">
        <v>152</v>
      </c>
      <c r="Q320">
        <v>1.3862943611198906</v>
      </c>
      <c r="R320">
        <v>1.3862943611198906</v>
      </c>
      <c r="S320">
        <v>4.9972122737641147</v>
      </c>
      <c r="T320">
        <v>90.035146103896111</v>
      </c>
      <c r="U320">
        <v>1.418823059726001</v>
      </c>
      <c r="V320">
        <v>-0.52223564926899602</v>
      </c>
      <c r="W320">
        <v>-0.46072710968150399</v>
      </c>
      <c r="X320">
        <v>-0.361786268345754</v>
      </c>
      <c r="Y320">
        <v>-0.552694479448822</v>
      </c>
      <c r="Z320">
        <v>2.1676297177028899E-2</v>
      </c>
      <c r="AA320">
        <v>0.625223797005378</v>
      </c>
      <c r="AB320">
        <v>2234.6992515788952</v>
      </c>
      <c r="AC320">
        <v>0</v>
      </c>
      <c r="AD320">
        <v>0.12112735591028891</v>
      </c>
      <c r="AE320">
        <v>-0.60610368582010199</v>
      </c>
      <c r="AF320">
        <v>0.25972832760161002</v>
      </c>
      <c r="AG320">
        <v>-9.5810976591974101E-2</v>
      </c>
      <c r="AH320">
        <v>1.0849649481235699</v>
      </c>
      <c r="AI320">
        <v>1.02563503550237</v>
      </c>
      <c r="AJ320">
        <v>-0.62675345298823704</v>
      </c>
      <c r="AK320">
        <v>47.411035099999999</v>
      </c>
      <c r="AL320">
        <v>0.98369799999999996</v>
      </c>
      <c r="AM320">
        <v>48.837000000000003</v>
      </c>
      <c r="AN320">
        <v>2.081</v>
      </c>
    </row>
    <row r="321" spans="1:40" x14ac:dyDescent="0.35">
      <c r="A321">
        <v>421</v>
      </c>
      <c r="B321">
        <v>57</v>
      </c>
      <c r="C321" t="s">
        <v>40</v>
      </c>
      <c r="D321" t="s">
        <v>66</v>
      </c>
      <c r="E321" t="s">
        <v>68</v>
      </c>
      <c r="F321" t="s">
        <v>43</v>
      </c>
      <c r="G321">
        <v>5</v>
      </c>
      <c r="H321">
        <v>25</v>
      </c>
      <c r="I321">
        <v>6</v>
      </c>
      <c r="J321" t="s">
        <v>50</v>
      </c>
      <c r="K321" t="s">
        <v>46</v>
      </c>
      <c r="L321" t="s">
        <v>70</v>
      </c>
      <c r="M321">
        <v>505.64381411453508</v>
      </c>
      <c r="N321">
        <v>318</v>
      </c>
      <c r="O321">
        <v>230</v>
      </c>
      <c r="P321">
        <v>275</v>
      </c>
      <c r="Q321">
        <v>0</v>
      </c>
      <c r="R321">
        <v>0</v>
      </c>
      <c r="S321">
        <v>5.3230099791384085</v>
      </c>
      <c r="T321">
        <v>90.615999999999985</v>
      </c>
      <c r="U321">
        <v>1.11573792223403</v>
      </c>
      <c r="V321">
        <v>0.80288722813325297</v>
      </c>
      <c r="W321">
        <v>0.52082154240315903</v>
      </c>
      <c r="X321">
        <v>0.61908815691345198</v>
      </c>
      <c r="Y321">
        <v>1.5007680231051199</v>
      </c>
      <c r="Z321">
        <v>0.24292628533916899</v>
      </c>
      <c r="AA321">
        <v>8.5217386942517098E-2</v>
      </c>
      <c r="AB321">
        <v>3943</v>
      </c>
      <c r="AC321">
        <v>0</v>
      </c>
      <c r="AD321">
        <v>1</v>
      </c>
      <c r="AE321">
        <v>1.1088815174583</v>
      </c>
      <c r="AF321">
        <v>-0.79459985334637995</v>
      </c>
      <c r="AG321">
        <v>0.76125642533252202</v>
      </c>
      <c r="AH321">
        <v>0.424512871913236</v>
      </c>
      <c r="AI321">
        <v>9.2274843588274494E-2</v>
      </c>
      <c r="AJ321">
        <v>0.71921327904894805</v>
      </c>
      <c r="AK321">
        <v>46.098678999999997</v>
      </c>
      <c r="AL321">
        <v>4.7359530000000003</v>
      </c>
      <c r="AM321">
        <v>50.640682937000001</v>
      </c>
      <c r="AN321">
        <v>4.6610704270000003</v>
      </c>
    </row>
    <row r="322" spans="1:40" x14ac:dyDescent="0.35">
      <c r="A322">
        <v>422</v>
      </c>
      <c r="B322">
        <v>72</v>
      </c>
      <c r="C322" t="s">
        <v>48</v>
      </c>
      <c r="D322" t="s">
        <v>52</v>
      </c>
      <c r="E322" t="s">
        <v>42</v>
      </c>
      <c r="F322" t="s">
        <v>43</v>
      </c>
      <c r="G322">
        <v>4</v>
      </c>
      <c r="H322">
        <v>16</v>
      </c>
      <c r="I322">
        <v>6</v>
      </c>
      <c r="J322" t="s">
        <v>56</v>
      </c>
      <c r="K322" t="s">
        <v>46</v>
      </c>
      <c r="L322" t="s">
        <v>60</v>
      </c>
      <c r="M322">
        <v>588.71215855156004</v>
      </c>
      <c r="N322">
        <v>783</v>
      </c>
      <c r="O322">
        <v>535</v>
      </c>
      <c r="P322">
        <v>762</v>
      </c>
      <c r="Q322">
        <v>3.8501476017100584</v>
      </c>
      <c r="R322">
        <v>2.9957322735539909</v>
      </c>
      <c r="S322">
        <v>5.4424177105217932</v>
      </c>
      <c r="T322">
        <v>88.975873222691746</v>
      </c>
      <c r="U322">
        <v>2.5514539469641888</v>
      </c>
      <c r="V322">
        <v>2.9336799326863701</v>
      </c>
      <c r="W322">
        <v>3.3730943146768602</v>
      </c>
      <c r="X322">
        <v>3.6072071704345601</v>
      </c>
      <c r="Y322">
        <v>-0.19189497559235799</v>
      </c>
      <c r="Z322">
        <v>0.17569111512999699</v>
      </c>
      <c r="AA322">
        <v>-0.304970615080496</v>
      </c>
      <c r="AB322">
        <v>1906.836709612184</v>
      </c>
      <c r="AC322">
        <v>0.7978420820676605</v>
      </c>
      <c r="AD322">
        <v>2.1056638128240834</v>
      </c>
      <c r="AE322">
        <v>-0.25037207080954499</v>
      </c>
      <c r="AF322">
        <v>-0.28547827468227499</v>
      </c>
      <c r="AG322">
        <v>-0.54954153620074897</v>
      </c>
      <c r="AH322">
        <v>-0.75067110575552398</v>
      </c>
      <c r="AI322">
        <v>-0.64443912582788898</v>
      </c>
      <c r="AJ322">
        <v>-0.76982872906073996</v>
      </c>
      <c r="AK322">
        <v>44.055988999999997</v>
      </c>
      <c r="AL322">
        <v>4.8317350000000001</v>
      </c>
      <c r="AM322">
        <v>49.116500000000002</v>
      </c>
      <c r="AN322">
        <v>2.5934999999999997</v>
      </c>
    </row>
    <row r="323" spans="1:40" x14ac:dyDescent="0.35">
      <c r="A323">
        <v>423</v>
      </c>
      <c r="B323">
        <v>72</v>
      </c>
      <c r="C323" t="s">
        <v>40</v>
      </c>
      <c r="D323" t="s">
        <v>52</v>
      </c>
      <c r="E323" t="s">
        <v>42</v>
      </c>
      <c r="F323" t="s">
        <v>53</v>
      </c>
      <c r="G323">
        <v>3</v>
      </c>
      <c r="H323">
        <v>9</v>
      </c>
      <c r="I323">
        <v>3</v>
      </c>
      <c r="J323" t="s">
        <v>45</v>
      </c>
      <c r="K323" t="s">
        <v>46</v>
      </c>
      <c r="L323" t="s">
        <v>79</v>
      </c>
      <c r="M323">
        <v>683.2902587695387</v>
      </c>
      <c r="N323">
        <v>854</v>
      </c>
      <c r="O323">
        <v>498</v>
      </c>
      <c r="P323">
        <v>326</v>
      </c>
      <c r="Q323">
        <v>0</v>
      </c>
      <c r="R323">
        <v>1.0986122886681098</v>
      </c>
      <c r="S323">
        <v>4.4659081186545837</v>
      </c>
      <c r="T323">
        <v>90.88000000000001</v>
      </c>
      <c r="U323">
        <v>0.63076672920079646</v>
      </c>
      <c r="V323">
        <v>-0.66459185691613598</v>
      </c>
      <c r="W323">
        <v>-0.11297510960708999</v>
      </c>
      <c r="X323">
        <v>-0.19037106594949799</v>
      </c>
      <c r="Y323">
        <v>-0.374020329094302</v>
      </c>
      <c r="Z323">
        <v>-0.78642831806525804</v>
      </c>
      <c r="AA323">
        <v>-1.3830773108541501</v>
      </c>
      <c r="AB323">
        <v>1910</v>
      </c>
      <c r="AC323">
        <v>4</v>
      </c>
      <c r="AD323">
        <v>0</v>
      </c>
      <c r="AE323">
        <v>3.4620335695619099E-2</v>
      </c>
      <c r="AF323">
        <v>0.13353720928402199</v>
      </c>
      <c r="AG323">
        <v>0.38401394619900903</v>
      </c>
      <c r="AH323">
        <v>-1.13880562298092</v>
      </c>
      <c r="AI323">
        <v>-0.30917166630766202</v>
      </c>
      <c r="AJ323">
        <v>-1.87787476016241</v>
      </c>
      <c r="AK323">
        <v>42.698529999999998</v>
      </c>
      <c r="AL323">
        <v>2.8953120000000001</v>
      </c>
      <c r="AM323">
        <v>48.822000000000003</v>
      </c>
      <c r="AN323">
        <v>2.2869999999999995</v>
      </c>
    </row>
    <row r="324" spans="1:40" x14ac:dyDescent="0.35">
      <c r="A324">
        <v>424</v>
      </c>
      <c r="B324">
        <v>57</v>
      </c>
      <c r="C324" t="s">
        <v>40</v>
      </c>
      <c r="D324" t="s">
        <v>41</v>
      </c>
      <c r="E324" t="s">
        <v>42</v>
      </c>
      <c r="F324" t="s">
        <v>49</v>
      </c>
      <c r="G324">
        <v>5</v>
      </c>
      <c r="H324">
        <v>25</v>
      </c>
      <c r="I324">
        <v>3</v>
      </c>
      <c r="J324" t="s">
        <v>56</v>
      </c>
      <c r="K324" t="s">
        <v>46</v>
      </c>
      <c r="L324" t="s">
        <v>62</v>
      </c>
      <c r="M324">
        <v>125.8774463273285</v>
      </c>
      <c r="N324">
        <v>167</v>
      </c>
      <c r="O324">
        <v>120</v>
      </c>
      <c r="P324">
        <v>109</v>
      </c>
      <c r="Q324">
        <v>0.69314718055994529</v>
      </c>
      <c r="R324">
        <v>3.2580965380214821</v>
      </c>
      <c r="S324">
        <v>3.2580965380214821</v>
      </c>
      <c r="T324">
        <v>95.68</v>
      </c>
      <c r="U324">
        <v>0</v>
      </c>
      <c r="V324">
        <v>1.82802042479695</v>
      </c>
      <c r="W324">
        <v>0.99424279543483596</v>
      </c>
      <c r="X324">
        <v>0.99177342203587404</v>
      </c>
      <c r="Y324">
        <v>-0.96278755162326501</v>
      </c>
      <c r="Z324">
        <v>-0.75605764486205096</v>
      </c>
      <c r="AA324">
        <v>-0.80037586101695801</v>
      </c>
      <c r="AB324">
        <v>2092.91</v>
      </c>
      <c r="AC324">
        <v>0</v>
      </c>
      <c r="AD324">
        <v>2.1</v>
      </c>
      <c r="AE324">
        <v>-1.0768626388726401</v>
      </c>
      <c r="AF324">
        <v>-0.85740632949698803</v>
      </c>
      <c r="AG324">
        <v>-1.3900953853135101</v>
      </c>
      <c r="AH324">
        <v>-7.1222090579530398E-2</v>
      </c>
      <c r="AI324">
        <v>-2.0008273643470198</v>
      </c>
      <c r="AJ324">
        <v>0.110363770914369</v>
      </c>
      <c r="AK324">
        <v>49.042560999999999</v>
      </c>
      <c r="AL324">
        <v>3.9528660000000002</v>
      </c>
      <c r="AM324">
        <v>48.824000000000005</v>
      </c>
      <c r="AN324">
        <v>2.2639999999999998</v>
      </c>
    </row>
    <row r="325" spans="1:40" x14ac:dyDescent="0.35">
      <c r="A325">
        <v>425</v>
      </c>
      <c r="B325">
        <v>57</v>
      </c>
      <c r="C325" t="s">
        <v>40</v>
      </c>
      <c r="D325" t="s">
        <v>52</v>
      </c>
      <c r="E325" t="s">
        <v>68</v>
      </c>
      <c r="F325" t="s">
        <v>53</v>
      </c>
      <c r="G325">
        <v>6</v>
      </c>
      <c r="H325">
        <v>36</v>
      </c>
      <c r="I325">
        <v>6</v>
      </c>
      <c r="J325" t="s">
        <v>50</v>
      </c>
      <c r="K325" t="s">
        <v>46</v>
      </c>
      <c r="L325" t="s">
        <v>57</v>
      </c>
      <c r="M325">
        <v>402.82622077649421</v>
      </c>
      <c r="N325">
        <v>571</v>
      </c>
      <c r="O325">
        <v>359</v>
      </c>
      <c r="P325">
        <v>264</v>
      </c>
      <c r="Q325">
        <v>0.69314718055994529</v>
      </c>
      <c r="R325">
        <v>3.6109179126442243</v>
      </c>
      <c r="S325">
        <v>5.8833223884882786</v>
      </c>
      <c r="T325">
        <v>90.922105263157903</v>
      </c>
      <c r="U325">
        <v>2.3923758041545438</v>
      </c>
      <c r="V325">
        <v>-0.399596989308249</v>
      </c>
      <c r="W325">
        <v>-0.58810405700346202</v>
      </c>
      <c r="X325">
        <v>-0.29041857108635599</v>
      </c>
      <c r="Y325">
        <v>-0.846122564821426</v>
      </c>
      <c r="Z325">
        <v>-0.92679578564836795</v>
      </c>
      <c r="AA325">
        <v>0.86332342905974202</v>
      </c>
      <c r="AB325">
        <v>2050</v>
      </c>
      <c r="AC325">
        <v>1</v>
      </c>
      <c r="AD325">
        <v>2</v>
      </c>
      <c r="AE325">
        <v>-0.51011828243844404</v>
      </c>
      <c r="AF325">
        <v>-2.3267616639661899</v>
      </c>
      <c r="AG325">
        <v>-0.222059517438291</v>
      </c>
      <c r="AH325">
        <v>0.201811547833736</v>
      </c>
      <c r="AI325">
        <v>-2.1042675774986801</v>
      </c>
      <c r="AJ325">
        <v>0.42801089334636799</v>
      </c>
      <c r="AK325">
        <v>47.023905999999997</v>
      </c>
      <c r="AL325">
        <v>4.8380429999999999</v>
      </c>
      <c r="AM325">
        <v>50.640682937000001</v>
      </c>
      <c r="AN325">
        <v>4.6610704270000003</v>
      </c>
    </row>
    <row r="326" spans="1:40" x14ac:dyDescent="0.35">
      <c r="A326">
        <v>426</v>
      </c>
      <c r="B326">
        <v>72</v>
      </c>
      <c r="C326" t="s">
        <v>40</v>
      </c>
      <c r="D326" t="s">
        <v>52</v>
      </c>
      <c r="E326" t="s">
        <v>42</v>
      </c>
      <c r="F326" t="s">
        <v>49</v>
      </c>
      <c r="G326">
        <v>5</v>
      </c>
      <c r="H326">
        <v>25</v>
      </c>
      <c r="I326">
        <v>7</v>
      </c>
      <c r="J326" t="s">
        <v>50</v>
      </c>
      <c r="K326" t="s">
        <v>46</v>
      </c>
      <c r="L326" t="s">
        <v>58</v>
      </c>
      <c r="M326">
        <v>51.01102475990546</v>
      </c>
      <c r="N326">
        <v>52</v>
      </c>
      <c r="O326">
        <v>68</v>
      </c>
      <c r="P326">
        <v>67</v>
      </c>
      <c r="Q326">
        <v>3.2580965380214821</v>
      </c>
      <c r="R326">
        <v>2.8903717578961645</v>
      </c>
      <c r="S326">
        <v>4.7535901911063645</v>
      </c>
      <c r="T326">
        <v>90.794285714285706</v>
      </c>
      <c r="U326">
        <v>0</v>
      </c>
      <c r="V326">
        <v>0.63905639120027702</v>
      </c>
      <c r="W326">
        <v>0.692565001186083</v>
      </c>
      <c r="X326">
        <v>0.56469097254324596</v>
      </c>
      <c r="Y326">
        <v>1.4483117406157899</v>
      </c>
      <c r="Z326">
        <v>1.7680602694732599</v>
      </c>
      <c r="AA326">
        <v>0.26366440732357699</v>
      </c>
      <c r="AB326">
        <v>4236</v>
      </c>
      <c r="AC326">
        <v>0</v>
      </c>
      <c r="AD326">
        <v>4</v>
      </c>
      <c r="AE326">
        <v>1.6751267091712101</v>
      </c>
      <c r="AF326">
        <v>-0.462523994814805</v>
      </c>
      <c r="AG326">
        <v>0.42622449363474202</v>
      </c>
      <c r="AH326">
        <v>0.67338993571457195</v>
      </c>
      <c r="AI326">
        <v>1.0556352435523999</v>
      </c>
      <c r="AJ326">
        <v>-1.45852693541822</v>
      </c>
      <c r="AK326">
        <v>45.198478000000001</v>
      </c>
      <c r="AL326">
        <v>-0.74874399999999997</v>
      </c>
      <c r="AM326">
        <v>44.741999999999997</v>
      </c>
      <c r="AN326">
        <v>-0.69200000000000006</v>
      </c>
    </row>
    <row r="327" spans="1:40" x14ac:dyDescent="0.35">
      <c r="A327">
        <v>430</v>
      </c>
      <c r="B327">
        <v>72</v>
      </c>
      <c r="C327" t="s">
        <v>48</v>
      </c>
      <c r="D327" t="s">
        <v>52</v>
      </c>
      <c r="E327" t="s">
        <v>42</v>
      </c>
      <c r="F327" t="s">
        <v>61</v>
      </c>
      <c r="G327">
        <v>4</v>
      </c>
      <c r="H327">
        <v>16</v>
      </c>
      <c r="I327">
        <v>4</v>
      </c>
      <c r="J327" t="s">
        <v>56</v>
      </c>
      <c r="K327" t="s">
        <v>46</v>
      </c>
      <c r="L327" t="s">
        <v>57</v>
      </c>
      <c r="M327">
        <v>248.21099381339161</v>
      </c>
      <c r="N327">
        <v>344</v>
      </c>
      <c r="O327">
        <v>228</v>
      </c>
      <c r="P327">
        <v>189</v>
      </c>
      <c r="Q327">
        <v>0.69314718055994529</v>
      </c>
      <c r="R327">
        <v>3.6109179126442243</v>
      </c>
      <c r="S327">
        <v>5.8833223884882786</v>
      </c>
      <c r="T327">
        <v>90.922105263157903</v>
      </c>
      <c r="U327">
        <v>2.3923758041545438</v>
      </c>
      <c r="V327">
        <v>-0.399596989308249</v>
      </c>
      <c r="W327">
        <v>-0.58810405700346202</v>
      </c>
      <c r="X327">
        <v>-0.29041857108635599</v>
      </c>
      <c r="Y327">
        <v>-0.846122564821426</v>
      </c>
      <c r="Z327">
        <v>-0.92679578564836795</v>
      </c>
      <c r="AA327">
        <v>0.86332342905974202</v>
      </c>
      <c r="AB327">
        <v>2050</v>
      </c>
      <c r="AC327">
        <v>1</v>
      </c>
      <c r="AD327">
        <v>2</v>
      </c>
      <c r="AE327">
        <v>-0.51011828243844404</v>
      </c>
      <c r="AF327">
        <v>1.00311090924351</v>
      </c>
      <c r="AG327">
        <v>0.435829348690986</v>
      </c>
      <c r="AH327">
        <v>0.96897373275215104</v>
      </c>
      <c r="AI327">
        <v>0.475311453502828</v>
      </c>
      <c r="AJ327">
        <v>-2.4267118769131999</v>
      </c>
      <c r="AK327">
        <v>47.023905999999997</v>
      </c>
      <c r="AL327">
        <v>4.8380429999999999</v>
      </c>
      <c r="AM327">
        <v>48.450333333333333</v>
      </c>
      <c r="AN327">
        <v>7.3866666666666667</v>
      </c>
    </row>
    <row r="328" spans="1:40" x14ac:dyDescent="0.35">
      <c r="A328">
        <v>431</v>
      </c>
      <c r="B328">
        <v>72</v>
      </c>
      <c r="C328" t="s">
        <v>40</v>
      </c>
      <c r="D328" t="s">
        <v>52</v>
      </c>
      <c r="E328" t="s">
        <v>42</v>
      </c>
      <c r="F328" t="s">
        <v>49</v>
      </c>
      <c r="G328">
        <v>4</v>
      </c>
      <c r="H328">
        <v>16</v>
      </c>
      <c r="I328">
        <v>6</v>
      </c>
      <c r="J328" t="s">
        <v>50</v>
      </c>
      <c r="K328" t="s">
        <v>46</v>
      </c>
      <c r="L328" t="s">
        <v>47</v>
      </c>
      <c r="M328">
        <v>234.16738371713129</v>
      </c>
      <c r="N328">
        <v>297</v>
      </c>
      <c r="O328">
        <v>196</v>
      </c>
      <c r="P328">
        <v>235</v>
      </c>
      <c r="Q328">
        <v>5.9107966440405271</v>
      </c>
      <c r="R328">
        <v>6.4997870406558542</v>
      </c>
      <c r="S328">
        <v>8.6415324656718457</v>
      </c>
      <c r="T328">
        <v>89.265350482850479</v>
      </c>
      <c r="U328">
        <v>1.4417786561042019</v>
      </c>
      <c r="V328">
        <v>-0.22886708829074301</v>
      </c>
      <c r="W328">
        <v>0.28745285629339301</v>
      </c>
      <c r="X328">
        <v>-0.15627425222847</v>
      </c>
      <c r="Y328">
        <v>1.45226138127617</v>
      </c>
      <c r="Z328">
        <v>0.98247225355557</v>
      </c>
      <c r="AA328">
        <v>0.627775520474398</v>
      </c>
      <c r="AB328">
        <v>3362.2959371744532</v>
      </c>
      <c r="AC328">
        <v>2.8998317172850387</v>
      </c>
      <c r="AD328">
        <v>2.9499158586425196</v>
      </c>
      <c r="AE328">
        <v>1.06273170356322</v>
      </c>
      <c r="AF328">
        <v>0.15206209220988701</v>
      </c>
      <c r="AG328">
        <v>-0.14160662892651599</v>
      </c>
      <c r="AH328">
        <v>-2.5457533752018202E-2</v>
      </c>
      <c r="AI328">
        <v>-0.44599905070424101</v>
      </c>
      <c r="AJ328">
        <v>0.229667817498419</v>
      </c>
      <c r="AK328">
        <v>43.3535629403058</v>
      </c>
      <c r="AL328">
        <v>3.21615314793977</v>
      </c>
      <c r="AM328">
        <v>43.164000000000001</v>
      </c>
      <c r="AN328">
        <v>6.093</v>
      </c>
    </row>
    <row r="329" spans="1:40" x14ac:dyDescent="0.35">
      <c r="A329">
        <v>433</v>
      </c>
      <c r="B329">
        <v>57</v>
      </c>
      <c r="C329" t="s">
        <v>48</v>
      </c>
      <c r="D329" t="s">
        <v>41</v>
      </c>
      <c r="E329" t="s">
        <v>42</v>
      </c>
      <c r="F329" t="s">
        <v>43</v>
      </c>
      <c r="G329">
        <v>5</v>
      </c>
      <c r="H329">
        <v>25</v>
      </c>
      <c r="I329">
        <v>5</v>
      </c>
      <c r="J329" t="s">
        <v>50</v>
      </c>
      <c r="K329" t="s">
        <v>46</v>
      </c>
      <c r="L329" t="s">
        <v>71</v>
      </c>
      <c r="M329">
        <v>390.35270918312108</v>
      </c>
      <c r="N329">
        <v>370</v>
      </c>
      <c r="O329">
        <v>200</v>
      </c>
      <c r="P329">
        <v>211</v>
      </c>
      <c r="Q329">
        <v>4.5747109785033828</v>
      </c>
      <c r="R329">
        <v>3.5263605246161616</v>
      </c>
      <c r="S329">
        <v>5.1416635565026603</v>
      </c>
      <c r="T329">
        <v>92.265120976563693</v>
      </c>
      <c r="U329">
        <v>2.9351954657362995</v>
      </c>
      <c r="V329">
        <v>-8.3509539921858403E-2</v>
      </c>
      <c r="W329">
        <v>-8.6188355584626702E-2</v>
      </c>
      <c r="X329">
        <v>-6.2117403422328299E-2</v>
      </c>
      <c r="Y329">
        <v>-0.51135009403950604</v>
      </c>
      <c r="Z329">
        <v>-0.669554030021006</v>
      </c>
      <c r="AA329">
        <v>-1.4915282051312999</v>
      </c>
      <c r="AB329">
        <v>1813.5248996931791</v>
      </c>
      <c r="AC329">
        <v>1.6535284399339156</v>
      </c>
      <c r="AD329">
        <v>0.49421760679726223</v>
      </c>
      <c r="AE329">
        <v>-0.18520258641298501</v>
      </c>
      <c r="AF329">
        <v>0.72531148674487</v>
      </c>
      <c r="AG329">
        <v>1.26946816326556</v>
      </c>
      <c r="AH329">
        <v>0.88035739970516702</v>
      </c>
      <c r="AI329">
        <v>1.2833455957005699</v>
      </c>
      <c r="AJ329">
        <v>0.77693159401898104</v>
      </c>
      <c r="AK329">
        <v>45.071283999999999</v>
      </c>
      <c r="AL329">
        <v>4.8370730000000002</v>
      </c>
      <c r="AM329">
        <v>48.110000000000007</v>
      </c>
      <c r="AN329">
        <v>7.3849999999999989</v>
      </c>
    </row>
    <row r="330" spans="1:40" x14ac:dyDescent="0.35">
      <c r="A330">
        <v>434</v>
      </c>
      <c r="B330">
        <v>72</v>
      </c>
      <c r="C330" t="s">
        <v>40</v>
      </c>
      <c r="D330" t="s">
        <v>52</v>
      </c>
      <c r="E330" t="s">
        <v>42</v>
      </c>
      <c r="F330" t="s">
        <v>49</v>
      </c>
      <c r="G330">
        <v>3</v>
      </c>
      <c r="H330">
        <v>9</v>
      </c>
      <c r="I330">
        <v>7</v>
      </c>
      <c r="J330" t="s">
        <v>56</v>
      </c>
      <c r="K330" t="s">
        <v>46</v>
      </c>
      <c r="L330" t="s">
        <v>62</v>
      </c>
      <c r="M330">
        <v>259.15694896251591</v>
      </c>
      <c r="N330">
        <v>200</v>
      </c>
      <c r="O330">
        <v>110</v>
      </c>
      <c r="P330">
        <v>160</v>
      </c>
      <c r="Q330">
        <v>0.69314718055994529</v>
      </c>
      <c r="R330">
        <v>3.2580965380214821</v>
      </c>
      <c r="S330">
        <v>3.2580965380214821</v>
      </c>
      <c r="T330">
        <v>95.68</v>
      </c>
      <c r="U330">
        <v>0</v>
      </c>
      <c r="V330">
        <v>1.82802042479695</v>
      </c>
      <c r="W330">
        <v>0.99424279543483596</v>
      </c>
      <c r="X330">
        <v>0.99177342203587404</v>
      </c>
      <c r="Y330">
        <v>-0.96278755162326501</v>
      </c>
      <c r="Z330">
        <v>-0.75605764486205096</v>
      </c>
      <c r="AA330">
        <v>-0.80037586101695801</v>
      </c>
      <c r="AB330">
        <v>2092.91</v>
      </c>
      <c r="AC330">
        <v>0</v>
      </c>
      <c r="AD330">
        <v>2.1</v>
      </c>
      <c r="AE330">
        <v>-1.0768626388726401</v>
      </c>
      <c r="AF330">
        <v>0.78174661702049097</v>
      </c>
      <c r="AG330">
        <v>-0.49352107060259998</v>
      </c>
      <c r="AH330">
        <v>-1.05862152423871</v>
      </c>
      <c r="AI330">
        <v>-1.3720321608344901</v>
      </c>
      <c r="AJ330">
        <v>-1.4456925080838601</v>
      </c>
      <c r="AK330">
        <v>49.042560999999999</v>
      </c>
      <c r="AL330">
        <v>3.9528660000000002</v>
      </c>
      <c r="AM330">
        <v>50.95</v>
      </c>
      <c r="AN330">
        <v>1.8759999999999999</v>
      </c>
    </row>
    <row r="331" spans="1:40" x14ac:dyDescent="0.35">
      <c r="A331">
        <v>435</v>
      </c>
      <c r="B331">
        <v>57</v>
      </c>
      <c r="C331" t="s">
        <v>40</v>
      </c>
      <c r="D331" t="s">
        <v>66</v>
      </c>
      <c r="E331" t="s">
        <v>42</v>
      </c>
      <c r="F331" t="s">
        <v>43</v>
      </c>
      <c r="G331">
        <v>7</v>
      </c>
      <c r="H331">
        <v>49</v>
      </c>
      <c r="I331">
        <v>2</v>
      </c>
      <c r="J331" t="s">
        <v>56</v>
      </c>
      <c r="K331" t="s">
        <v>46</v>
      </c>
      <c r="L331" t="s">
        <v>72</v>
      </c>
      <c r="M331">
        <v>207.6975229581148</v>
      </c>
      <c r="N331">
        <v>409</v>
      </c>
      <c r="O331">
        <v>275</v>
      </c>
      <c r="P331">
        <v>370</v>
      </c>
      <c r="Q331">
        <v>0.69314718055994529</v>
      </c>
      <c r="R331">
        <v>1.3862943611198906</v>
      </c>
      <c r="S331">
        <v>4.5538768916005408</v>
      </c>
      <c r="T331">
        <v>89.340161030595823</v>
      </c>
      <c r="U331">
        <v>1.4712304197281412</v>
      </c>
      <c r="V331">
        <v>0.59716251398508702</v>
      </c>
      <c r="W331">
        <v>0.91068296986709796</v>
      </c>
      <c r="X331">
        <v>1.2273243988355</v>
      </c>
      <c r="Y331">
        <v>-0.4121809470949</v>
      </c>
      <c r="Z331">
        <v>-0.86472582726521097</v>
      </c>
      <c r="AA331">
        <v>-1.0172779374790899</v>
      </c>
      <c r="AB331">
        <v>1828.1689246701658</v>
      </c>
      <c r="AC331">
        <v>1.1127464888636687</v>
      </c>
      <c r="AD331">
        <v>1.8630656830756136</v>
      </c>
      <c r="AE331">
        <v>-0.53926882203722504</v>
      </c>
      <c r="AF331">
        <v>1.5460613518814501</v>
      </c>
      <c r="AG331">
        <v>1.0797383975188599</v>
      </c>
      <c r="AH331">
        <v>0.82580291285532803</v>
      </c>
      <c r="AI331">
        <v>1.4836044289928401</v>
      </c>
      <c r="AJ331">
        <v>0.76193534118230599</v>
      </c>
      <c r="AK331">
        <v>44.503641999999999</v>
      </c>
      <c r="AL331">
        <v>1.1863669999999999</v>
      </c>
      <c r="AM331">
        <v>45.949210526315788</v>
      </c>
      <c r="AN331">
        <v>-0.48868421052631578</v>
      </c>
    </row>
    <row r="332" spans="1:40" x14ac:dyDescent="0.35">
      <c r="A332">
        <v>436</v>
      </c>
      <c r="B332">
        <v>57</v>
      </c>
      <c r="C332" t="s">
        <v>40</v>
      </c>
      <c r="D332" t="s">
        <v>41</v>
      </c>
      <c r="E332" t="s">
        <v>42</v>
      </c>
      <c r="F332" t="s">
        <v>49</v>
      </c>
      <c r="G332">
        <v>6</v>
      </c>
      <c r="H332">
        <v>36</v>
      </c>
      <c r="I332">
        <v>7</v>
      </c>
      <c r="J332" t="s">
        <v>50</v>
      </c>
      <c r="K332" t="s">
        <v>46</v>
      </c>
      <c r="L332" t="s">
        <v>65</v>
      </c>
      <c r="M332">
        <v>684.86081937154711</v>
      </c>
      <c r="N332">
        <v>873</v>
      </c>
      <c r="O332">
        <v>450</v>
      </c>
      <c r="P332">
        <v>396</v>
      </c>
      <c r="Q332">
        <v>0</v>
      </c>
      <c r="R332">
        <v>0</v>
      </c>
      <c r="S332">
        <v>4.4543472962535073</v>
      </c>
      <c r="T332">
        <v>89.333044733044744</v>
      </c>
      <c r="U332">
        <v>1.2554235437523662</v>
      </c>
      <c r="V332">
        <v>1.64975517953679</v>
      </c>
      <c r="W332">
        <v>2.4220969657957299</v>
      </c>
      <c r="X332">
        <v>1.68128863126442</v>
      </c>
      <c r="Y332">
        <v>2.0553398017137301</v>
      </c>
      <c r="Z332">
        <v>2.0921400018840099</v>
      </c>
      <c r="AA332">
        <v>2.0596698968962701</v>
      </c>
      <c r="AB332">
        <v>3262.71</v>
      </c>
      <c r="AC332">
        <v>0.33</v>
      </c>
      <c r="AD332">
        <v>0.66</v>
      </c>
      <c r="AE332">
        <v>1.9221838973381</v>
      </c>
      <c r="AF332">
        <v>-0.58595938140194503</v>
      </c>
      <c r="AG332">
        <v>0.57809312705658</v>
      </c>
      <c r="AH332">
        <v>-0.12724961398703799</v>
      </c>
      <c r="AI332">
        <v>0.55243019645671898</v>
      </c>
      <c r="AJ332">
        <v>1.0771076230905501</v>
      </c>
      <c r="AK332">
        <v>43.537466000000002</v>
      </c>
      <c r="AL332">
        <v>6.4627330000000001</v>
      </c>
      <c r="AM332">
        <v>48.898623800000003</v>
      </c>
      <c r="AN332">
        <v>2.0937264</v>
      </c>
    </row>
    <row r="333" spans="1:40" x14ac:dyDescent="0.35">
      <c r="A333">
        <v>437</v>
      </c>
      <c r="B333">
        <v>57</v>
      </c>
      <c r="C333" t="s">
        <v>40</v>
      </c>
      <c r="D333" t="s">
        <v>41</v>
      </c>
      <c r="E333" t="s">
        <v>42</v>
      </c>
      <c r="F333" t="s">
        <v>61</v>
      </c>
      <c r="G333">
        <v>6</v>
      </c>
      <c r="H333">
        <v>36</v>
      </c>
      <c r="I333">
        <v>4</v>
      </c>
      <c r="J333" t="s">
        <v>56</v>
      </c>
      <c r="K333" t="s">
        <v>46</v>
      </c>
      <c r="L333" t="s">
        <v>73</v>
      </c>
      <c r="M333">
        <v>505.99779280443852</v>
      </c>
      <c r="N333">
        <v>577</v>
      </c>
      <c r="O333">
        <v>365</v>
      </c>
      <c r="P333">
        <v>184</v>
      </c>
      <c r="Q333">
        <v>1.9459101490553132</v>
      </c>
      <c r="R333">
        <v>2.9444389791664403</v>
      </c>
      <c r="S333">
        <v>4.2626798770413155</v>
      </c>
      <c r="T333">
        <v>91.872500000000002</v>
      </c>
      <c r="U333">
        <v>2.0033201607997366</v>
      </c>
      <c r="V333">
        <v>7.5580716531248995E-2</v>
      </c>
      <c r="W333">
        <v>0.203376316306385</v>
      </c>
      <c r="X333">
        <v>0.143329752535333</v>
      </c>
      <c r="Y333">
        <v>1.4483117406157899</v>
      </c>
      <c r="Z333">
        <v>1.7680602694732599</v>
      </c>
      <c r="AA333">
        <v>0.26366440732357699</v>
      </c>
      <c r="AB333">
        <v>4236</v>
      </c>
      <c r="AC333">
        <v>0</v>
      </c>
      <c r="AD333">
        <v>4</v>
      </c>
      <c r="AE333">
        <v>1.6751267091712101</v>
      </c>
      <c r="AF333">
        <v>-0.12073654494005299</v>
      </c>
      <c r="AG333">
        <v>0.68812277997399096</v>
      </c>
      <c r="AH333">
        <v>1.0763367781709301</v>
      </c>
      <c r="AI333">
        <v>1.0173891491281499</v>
      </c>
      <c r="AJ333">
        <v>0.42745880673315201</v>
      </c>
      <c r="AK333">
        <v>44.686388999999998</v>
      </c>
      <c r="AL333">
        <v>-0.52383800000000003</v>
      </c>
      <c r="AM333">
        <v>48.865000000000002</v>
      </c>
      <c r="AN333">
        <v>2.0910000000000002</v>
      </c>
    </row>
    <row r="334" spans="1:40" x14ac:dyDescent="0.35">
      <c r="A334">
        <v>438</v>
      </c>
      <c r="B334">
        <v>72</v>
      </c>
      <c r="C334" t="s">
        <v>48</v>
      </c>
      <c r="D334" t="s">
        <v>52</v>
      </c>
      <c r="E334" t="s">
        <v>42</v>
      </c>
      <c r="F334" t="s">
        <v>43</v>
      </c>
      <c r="G334">
        <v>4</v>
      </c>
      <c r="H334">
        <v>16</v>
      </c>
      <c r="I334">
        <v>5</v>
      </c>
      <c r="J334" t="s">
        <v>56</v>
      </c>
      <c r="K334" t="s">
        <v>46</v>
      </c>
      <c r="L334" t="s">
        <v>62</v>
      </c>
      <c r="M334">
        <v>118.81389814254101</v>
      </c>
      <c r="N334">
        <v>143</v>
      </c>
      <c r="O334">
        <v>100</v>
      </c>
      <c r="P334">
        <v>80</v>
      </c>
      <c r="Q334">
        <v>0.69314718055994529</v>
      </c>
      <c r="R334">
        <v>3.2580965380214821</v>
      </c>
      <c r="S334">
        <v>3.2580965380214821</v>
      </c>
      <c r="T334">
        <v>95.68</v>
      </c>
      <c r="U334">
        <v>0</v>
      </c>
      <c r="V334">
        <v>1.82802042479695</v>
      </c>
      <c r="W334">
        <v>0.99424279543483596</v>
      </c>
      <c r="X334">
        <v>0.99177342203587404</v>
      </c>
      <c r="Y334">
        <v>-0.96278755162326501</v>
      </c>
      <c r="Z334">
        <v>-0.75605764486205096</v>
      </c>
      <c r="AA334">
        <v>-0.80037586101695801</v>
      </c>
      <c r="AB334">
        <v>2092.91</v>
      </c>
      <c r="AC334">
        <v>0</v>
      </c>
      <c r="AD334">
        <v>2.1</v>
      </c>
      <c r="AE334">
        <v>-1.0768626388726401</v>
      </c>
      <c r="AF334">
        <v>-0.43526524003020101</v>
      </c>
      <c r="AG334">
        <v>-1.0763531267431199</v>
      </c>
      <c r="AH334">
        <v>0.96070726964630104</v>
      </c>
      <c r="AI334">
        <v>-1.2060331099916299</v>
      </c>
      <c r="AJ334">
        <v>1.1891495813611299</v>
      </c>
      <c r="AK334">
        <v>49.042560999999999</v>
      </c>
      <c r="AL334">
        <v>3.9528660000000002</v>
      </c>
      <c r="AM334">
        <v>48.856372813999997</v>
      </c>
      <c r="AN334">
        <v>2.3525296170000001</v>
      </c>
    </row>
    <row r="335" spans="1:40" x14ac:dyDescent="0.35">
      <c r="A335">
        <v>439</v>
      </c>
      <c r="B335">
        <v>57</v>
      </c>
      <c r="C335" t="s">
        <v>40</v>
      </c>
      <c r="D335" t="s">
        <v>52</v>
      </c>
      <c r="E335" t="s">
        <v>42</v>
      </c>
      <c r="F335" t="s">
        <v>49</v>
      </c>
      <c r="G335">
        <v>4</v>
      </c>
      <c r="H335">
        <v>16</v>
      </c>
      <c r="I335">
        <v>6</v>
      </c>
      <c r="J335" t="s">
        <v>50</v>
      </c>
      <c r="K335" t="s">
        <v>46</v>
      </c>
      <c r="L335" t="s">
        <v>77</v>
      </c>
      <c r="M335">
        <v>280.83644315099889</v>
      </c>
      <c r="N335">
        <v>398</v>
      </c>
      <c r="O335">
        <v>229</v>
      </c>
      <c r="P335">
        <v>274</v>
      </c>
      <c r="Q335">
        <v>0</v>
      </c>
      <c r="R335">
        <v>2.3978952727983707</v>
      </c>
      <c r="S335">
        <v>5.1416635565026603</v>
      </c>
      <c r="T335">
        <v>90.472417453603512</v>
      </c>
      <c r="U335">
        <v>2.7735735584863375</v>
      </c>
      <c r="V335">
        <v>-0.15231437986527399</v>
      </c>
      <c r="W335">
        <v>3.49635939345109E-2</v>
      </c>
      <c r="X335">
        <v>-0.19627808847033801</v>
      </c>
      <c r="Y335">
        <v>-0.57382446736590997</v>
      </c>
      <c r="Z335">
        <v>-0.74335605457542497</v>
      </c>
      <c r="AA335">
        <v>-0.53588051656191904</v>
      </c>
      <c r="AB335">
        <v>3937</v>
      </c>
      <c r="AC335">
        <v>0</v>
      </c>
      <c r="AD335">
        <v>1</v>
      </c>
      <c r="AE335">
        <v>-0.72244456620022002</v>
      </c>
      <c r="AF335">
        <v>1.0000026789593599</v>
      </c>
      <c r="AG335">
        <v>1.00363938429727</v>
      </c>
      <c r="AH335">
        <v>0.492866569823667</v>
      </c>
      <c r="AI335">
        <v>0.28972998706362901</v>
      </c>
      <c r="AJ335">
        <v>-0.41808562498554702</v>
      </c>
      <c r="AK335">
        <v>47.259622</v>
      </c>
      <c r="AL335">
        <v>-7.8518000000000004E-2</v>
      </c>
      <c r="AM335">
        <v>45.992428571428569</v>
      </c>
      <c r="AN335">
        <v>3.0984285714285713</v>
      </c>
    </row>
    <row r="336" spans="1:40" x14ac:dyDescent="0.35">
      <c r="A336">
        <v>440</v>
      </c>
      <c r="B336">
        <v>72</v>
      </c>
      <c r="C336" t="s">
        <v>40</v>
      </c>
      <c r="D336" t="s">
        <v>52</v>
      </c>
      <c r="E336" t="s">
        <v>42</v>
      </c>
      <c r="F336" t="s">
        <v>49</v>
      </c>
      <c r="G336">
        <v>5</v>
      </c>
      <c r="H336">
        <v>25</v>
      </c>
      <c r="I336">
        <v>7</v>
      </c>
      <c r="J336" t="s">
        <v>56</v>
      </c>
      <c r="K336" t="s">
        <v>44</v>
      </c>
      <c r="L336" t="s">
        <v>59</v>
      </c>
      <c r="M336">
        <v>85.706295384571348</v>
      </c>
      <c r="N336">
        <v>102</v>
      </c>
      <c r="O336">
        <v>92</v>
      </c>
      <c r="P336">
        <v>155</v>
      </c>
      <c r="Q336">
        <v>1.3862943611198906</v>
      </c>
      <c r="R336">
        <v>1.3862943611198906</v>
      </c>
      <c r="S336">
        <v>4.9972122737641147</v>
      </c>
      <c r="T336">
        <v>90.035146103896111</v>
      </c>
      <c r="U336">
        <v>1.418823059726001</v>
      </c>
      <c r="V336">
        <v>-0.52223564926899602</v>
      </c>
      <c r="W336">
        <v>-0.46072710968150399</v>
      </c>
      <c r="X336">
        <v>-0.361786268345754</v>
      </c>
      <c r="Y336">
        <v>-0.552694479448822</v>
      </c>
      <c r="Z336">
        <v>2.1676297177028899E-2</v>
      </c>
      <c r="AA336">
        <v>0.625223797005378</v>
      </c>
      <c r="AB336">
        <v>2234.6992515788952</v>
      </c>
      <c r="AC336">
        <v>0</v>
      </c>
      <c r="AD336">
        <v>0.12112735591028891</v>
      </c>
      <c r="AE336">
        <v>-0.60610368582010199</v>
      </c>
      <c r="AF336">
        <v>0.28957935704127802</v>
      </c>
      <c r="AG336">
        <v>0.80611781356216305</v>
      </c>
      <c r="AH336">
        <v>-1.18050910784236</v>
      </c>
      <c r="AI336">
        <v>1.4327261623569101</v>
      </c>
      <c r="AJ336">
        <v>-1.2240676008642799</v>
      </c>
      <c r="AK336">
        <v>47.411035099999999</v>
      </c>
      <c r="AL336">
        <v>0.98369799999999996</v>
      </c>
      <c r="AM336">
        <v>46.645222222222216</v>
      </c>
      <c r="AN336">
        <v>1.100111111111111</v>
      </c>
    </row>
    <row r="337" spans="1:40" x14ac:dyDescent="0.35">
      <c r="A337">
        <v>444</v>
      </c>
      <c r="B337">
        <v>42</v>
      </c>
      <c r="C337" t="s">
        <v>40</v>
      </c>
      <c r="D337" t="s">
        <v>66</v>
      </c>
      <c r="E337" t="s">
        <v>82</v>
      </c>
      <c r="F337" t="s">
        <v>61</v>
      </c>
      <c r="G337">
        <v>6</v>
      </c>
      <c r="H337">
        <v>36</v>
      </c>
      <c r="I337">
        <v>5</v>
      </c>
      <c r="J337" t="s">
        <v>56</v>
      </c>
      <c r="K337" t="s">
        <v>46</v>
      </c>
      <c r="L337" t="s">
        <v>55</v>
      </c>
      <c r="M337">
        <v>157.1549336517937</v>
      </c>
      <c r="N337">
        <v>265</v>
      </c>
      <c r="O337">
        <v>184</v>
      </c>
      <c r="P337">
        <v>199</v>
      </c>
      <c r="Q337">
        <v>2.0794415416798357</v>
      </c>
      <c r="R337">
        <v>2.3025850929940459</v>
      </c>
      <c r="S337">
        <v>3.2580965380214821</v>
      </c>
      <c r="T337">
        <v>95.12</v>
      </c>
      <c r="U337">
        <v>0</v>
      </c>
      <c r="V337">
        <v>1.89305099905856</v>
      </c>
      <c r="W337">
        <v>0.59880690621441701</v>
      </c>
      <c r="X337">
        <v>1.1856460040685599</v>
      </c>
      <c r="Y337">
        <v>-0.15565097555555901</v>
      </c>
      <c r="Z337">
        <v>-0.22748295097212001</v>
      </c>
      <c r="AA337">
        <v>1.0415013010201299</v>
      </c>
      <c r="AB337">
        <v>2939.9504036908884</v>
      </c>
      <c r="AC337">
        <v>2</v>
      </c>
      <c r="AD337">
        <v>0.42868127643214149</v>
      </c>
      <c r="AE337">
        <v>-2.40641039566141E-2</v>
      </c>
      <c r="AF337">
        <v>0.93807285563947296</v>
      </c>
      <c r="AG337">
        <v>-0.16924846783757799</v>
      </c>
      <c r="AH337">
        <v>-7.1975695750045102E-2</v>
      </c>
      <c r="AI337">
        <v>0.61531408119892705</v>
      </c>
      <c r="AJ337">
        <v>-0.340691734971386</v>
      </c>
      <c r="AK337">
        <v>48.0777517</v>
      </c>
      <c r="AL337">
        <v>7.3579641000000002</v>
      </c>
      <c r="AM337">
        <v>46.799817441999998</v>
      </c>
      <c r="AN337">
        <v>8.2450240959999999</v>
      </c>
    </row>
    <row r="338" spans="1:40" x14ac:dyDescent="0.35">
      <c r="A338">
        <v>445</v>
      </c>
      <c r="B338">
        <v>57</v>
      </c>
      <c r="C338" t="s">
        <v>40</v>
      </c>
      <c r="D338" t="s">
        <v>41</v>
      </c>
      <c r="E338" t="s">
        <v>82</v>
      </c>
      <c r="F338" t="s">
        <v>61</v>
      </c>
      <c r="G338">
        <v>5</v>
      </c>
      <c r="H338">
        <v>25</v>
      </c>
      <c r="I338">
        <v>7</v>
      </c>
      <c r="J338" t="s">
        <v>56</v>
      </c>
      <c r="K338" t="s">
        <v>46</v>
      </c>
      <c r="L338" t="s">
        <v>55</v>
      </c>
      <c r="M338">
        <v>157.1549336517937</v>
      </c>
      <c r="N338">
        <v>265</v>
      </c>
      <c r="O338">
        <v>184</v>
      </c>
      <c r="P338">
        <v>199</v>
      </c>
      <c r="Q338">
        <v>2.0794415416798357</v>
      </c>
      <c r="R338">
        <v>2.3025850929940459</v>
      </c>
      <c r="S338">
        <v>3.2580965380214821</v>
      </c>
      <c r="T338">
        <v>95.12</v>
      </c>
      <c r="U338">
        <v>0</v>
      </c>
      <c r="V338">
        <v>1.89305099905856</v>
      </c>
      <c r="W338">
        <v>0.59880690621441701</v>
      </c>
      <c r="X338">
        <v>1.1856460040685599</v>
      </c>
      <c r="Y338">
        <v>-0.15565097555555901</v>
      </c>
      <c r="Z338">
        <v>-0.22748295097212001</v>
      </c>
      <c r="AA338">
        <v>1.0415013010201299</v>
      </c>
      <c r="AB338">
        <v>2939.9504036908884</v>
      </c>
      <c r="AC338">
        <v>2</v>
      </c>
      <c r="AD338">
        <v>0.42868127643214149</v>
      </c>
      <c r="AE338">
        <v>-2.40641039566141E-2</v>
      </c>
      <c r="AF338">
        <v>0.27766722655931803</v>
      </c>
      <c r="AG338">
        <v>0.93960279095708898</v>
      </c>
      <c r="AH338">
        <v>0.65102165504534604</v>
      </c>
      <c r="AI338">
        <v>-5.6602716523266299E-3</v>
      </c>
      <c r="AJ338">
        <v>0.944693113216723</v>
      </c>
      <c r="AK338">
        <v>48.0777517</v>
      </c>
      <c r="AL338">
        <v>7.3579641000000002</v>
      </c>
      <c r="AM338">
        <v>46.799817441999998</v>
      </c>
      <c r="AN338">
        <v>8.2450240959999999</v>
      </c>
    </row>
    <row r="339" spans="1:40" x14ac:dyDescent="0.35">
      <c r="A339">
        <v>446</v>
      </c>
      <c r="B339">
        <v>72</v>
      </c>
      <c r="C339" t="s">
        <v>40</v>
      </c>
      <c r="D339" t="s">
        <v>52</v>
      </c>
      <c r="E339" t="s">
        <v>42</v>
      </c>
      <c r="F339" t="s">
        <v>49</v>
      </c>
      <c r="G339">
        <v>1</v>
      </c>
      <c r="H339">
        <v>1</v>
      </c>
      <c r="I339">
        <v>4</v>
      </c>
      <c r="J339" t="s">
        <v>56</v>
      </c>
      <c r="K339" t="s">
        <v>46</v>
      </c>
      <c r="L339" t="s">
        <v>76</v>
      </c>
      <c r="M339">
        <v>470.35766430835213</v>
      </c>
      <c r="N339">
        <v>562</v>
      </c>
      <c r="O339">
        <v>346</v>
      </c>
      <c r="P339">
        <v>379</v>
      </c>
      <c r="Q339">
        <v>0</v>
      </c>
      <c r="R339">
        <v>1.0986122886681098</v>
      </c>
      <c r="S339">
        <v>4.1588830833596715</v>
      </c>
      <c r="T339">
        <v>91.226666666666674</v>
      </c>
      <c r="U339">
        <v>1.418823059726001</v>
      </c>
      <c r="V339">
        <v>-0.39095273818515502</v>
      </c>
      <c r="W339">
        <v>-0.53446083104759001</v>
      </c>
      <c r="X339">
        <v>-0.40804429067029002</v>
      </c>
      <c r="Y339">
        <v>-0.56789545922357498</v>
      </c>
      <c r="Z339">
        <v>-0.94760790482486201</v>
      </c>
      <c r="AA339">
        <v>-1.0848673571571601</v>
      </c>
      <c r="AB339">
        <v>1770.5103102717287</v>
      </c>
      <c r="AC339">
        <v>0.28213528618230871</v>
      </c>
      <c r="AD339">
        <v>1.7130468298323378</v>
      </c>
      <c r="AE339">
        <v>-1.13486126839574</v>
      </c>
      <c r="AF339">
        <v>-1.73857001071936</v>
      </c>
      <c r="AG339">
        <v>1.82015930770221</v>
      </c>
      <c r="AH339">
        <v>1.33653619524932</v>
      </c>
      <c r="AI339">
        <v>0.52091787171732296</v>
      </c>
      <c r="AJ339">
        <v>1.3622251846325</v>
      </c>
      <c r="AK339">
        <v>47.330690599999997</v>
      </c>
      <c r="AL339">
        <v>2.8390453999999998</v>
      </c>
      <c r="AM339">
        <v>48.484500000000004</v>
      </c>
      <c r="AN339">
        <v>-3.22675</v>
      </c>
    </row>
    <row r="340" spans="1:40" x14ac:dyDescent="0.35">
      <c r="A340">
        <v>447</v>
      </c>
      <c r="B340">
        <v>57</v>
      </c>
      <c r="C340" t="s">
        <v>40</v>
      </c>
      <c r="D340" t="s">
        <v>41</v>
      </c>
      <c r="E340" t="s">
        <v>42</v>
      </c>
      <c r="F340" t="s">
        <v>49</v>
      </c>
      <c r="G340">
        <v>5</v>
      </c>
      <c r="H340">
        <v>25</v>
      </c>
      <c r="I340">
        <v>4</v>
      </c>
      <c r="J340" t="s">
        <v>56</v>
      </c>
      <c r="K340" t="s">
        <v>46</v>
      </c>
      <c r="L340" t="s">
        <v>59</v>
      </c>
      <c r="M340">
        <v>185.70331615590251</v>
      </c>
      <c r="N340">
        <v>225</v>
      </c>
      <c r="O340">
        <v>165</v>
      </c>
      <c r="P340">
        <v>139</v>
      </c>
      <c r="Q340">
        <v>1.3862943611198906</v>
      </c>
      <c r="R340">
        <v>1.3862943611198906</v>
      </c>
      <c r="S340">
        <v>4.9972122737641147</v>
      </c>
      <c r="T340">
        <v>90.035146103896111</v>
      </c>
      <c r="U340">
        <v>1.418823059726001</v>
      </c>
      <c r="V340">
        <v>-0.52223564926899602</v>
      </c>
      <c r="W340">
        <v>-0.46072710968150399</v>
      </c>
      <c r="X340">
        <v>-0.361786268345754</v>
      </c>
      <c r="Y340">
        <v>-0.552694479448822</v>
      </c>
      <c r="Z340">
        <v>2.1676297177028899E-2</v>
      </c>
      <c r="AA340">
        <v>0.625223797005378</v>
      </c>
      <c r="AB340">
        <v>2234.6992515788952</v>
      </c>
      <c r="AC340">
        <v>0</v>
      </c>
      <c r="AD340">
        <v>0.12112735591028891</v>
      </c>
      <c r="AE340">
        <v>-0.60610368582010199</v>
      </c>
      <c r="AF340">
        <v>-0.91669442662685696</v>
      </c>
      <c r="AG340">
        <v>-0.52631193079318495</v>
      </c>
      <c r="AH340">
        <v>-1.3420929399474</v>
      </c>
      <c r="AI340">
        <v>-1.83642624569972</v>
      </c>
      <c r="AJ340">
        <v>-6.7328466068064696E-2</v>
      </c>
      <c r="AK340">
        <v>47.411035099999999</v>
      </c>
      <c r="AL340">
        <v>0.98369799999999996</v>
      </c>
      <c r="AM340">
        <v>48.78799999999999</v>
      </c>
      <c r="AN340">
        <v>2.3940000000000001</v>
      </c>
    </row>
    <row r="341" spans="1:40" x14ac:dyDescent="0.35">
      <c r="A341">
        <v>449</v>
      </c>
      <c r="B341">
        <v>57</v>
      </c>
      <c r="C341" t="s">
        <v>40</v>
      </c>
      <c r="D341" t="s">
        <v>66</v>
      </c>
      <c r="E341" t="s">
        <v>42</v>
      </c>
      <c r="F341" t="s">
        <v>43</v>
      </c>
      <c r="G341">
        <v>5</v>
      </c>
      <c r="H341">
        <v>25</v>
      </c>
      <c r="I341">
        <v>5</v>
      </c>
      <c r="J341" t="s">
        <v>56</v>
      </c>
      <c r="K341" t="s">
        <v>46</v>
      </c>
      <c r="L341" t="s">
        <v>47</v>
      </c>
      <c r="M341">
        <v>618.8644665018021</v>
      </c>
      <c r="N341">
        <v>762</v>
      </c>
      <c r="O341">
        <v>464</v>
      </c>
      <c r="P341">
        <v>305</v>
      </c>
      <c r="Q341">
        <v>5.9107966440405271</v>
      </c>
      <c r="R341">
        <v>6.4997870406558542</v>
      </c>
      <c r="S341">
        <v>8.6415324656718457</v>
      </c>
      <c r="T341">
        <v>89.265350482850479</v>
      </c>
      <c r="U341">
        <v>1.4417786561042019</v>
      </c>
      <c r="V341">
        <v>-0.22886708829074301</v>
      </c>
      <c r="W341">
        <v>0.28745285629339301</v>
      </c>
      <c r="X341">
        <v>-0.15627425222847</v>
      </c>
      <c r="Y341">
        <v>1.45226138127617</v>
      </c>
      <c r="Z341">
        <v>0.98247225355557</v>
      </c>
      <c r="AA341">
        <v>0.627775520474398</v>
      </c>
      <c r="AB341">
        <v>3362.2959371744532</v>
      </c>
      <c r="AC341">
        <v>2.8998317172850387</v>
      </c>
      <c r="AD341">
        <v>2.9499158586425196</v>
      </c>
      <c r="AE341">
        <v>1.06273170356322</v>
      </c>
      <c r="AF341">
        <v>-1.36194938152177</v>
      </c>
      <c r="AG341">
        <v>-5.8406632565010101E-2</v>
      </c>
      <c r="AH341">
        <v>-6.8791817020151204E-3</v>
      </c>
      <c r="AI341">
        <v>-0.79937612492774501</v>
      </c>
      <c r="AJ341">
        <v>5.0718695818112502E-2</v>
      </c>
      <c r="AK341">
        <v>43.3535629403058</v>
      </c>
      <c r="AL341">
        <v>3.21615314793977</v>
      </c>
      <c r="AM341">
        <v>48.87</v>
      </c>
      <c r="AN341">
        <v>2.2200000000000002</v>
      </c>
    </row>
    <row r="342" spans="1:40" x14ac:dyDescent="0.35">
      <c r="A342">
        <v>451</v>
      </c>
      <c r="B342">
        <v>72</v>
      </c>
      <c r="C342" t="s">
        <v>40</v>
      </c>
      <c r="D342" t="s">
        <v>52</v>
      </c>
      <c r="E342" t="s">
        <v>42</v>
      </c>
      <c r="F342" t="s">
        <v>49</v>
      </c>
      <c r="G342">
        <v>5</v>
      </c>
      <c r="H342">
        <v>25</v>
      </c>
      <c r="I342">
        <v>7</v>
      </c>
      <c r="J342" t="s">
        <v>56</v>
      </c>
      <c r="K342" t="s">
        <v>46</v>
      </c>
      <c r="L342" t="s">
        <v>57</v>
      </c>
      <c r="M342">
        <v>275.59205740706722</v>
      </c>
      <c r="N342">
        <v>311</v>
      </c>
      <c r="O342">
        <v>230</v>
      </c>
      <c r="P342">
        <v>136</v>
      </c>
      <c r="Q342">
        <v>0.69314718055994529</v>
      </c>
      <c r="R342">
        <v>3.6109179126442243</v>
      </c>
      <c r="S342">
        <v>5.8833223884882786</v>
      </c>
      <c r="T342">
        <v>90.922105263157903</v>
      </c>
      <c r="U342">
        <v>2.3923758041545438</v>
      </c>
      <c r="V342">
        <v>-0.399596989308249</v>
      </c>
      <c r="W342">
        <v>-0.58810405700346202</v>
      </c>
      <c r="X342">
        <v>-0.29041857108635599</v>
      </c>
      <c r="Y342">
        <v>-0.846122564821426</v>
      </c>
      <c r="Z342">
        <v>-0.92679578564836795</v>
      </c>
      <c r="AA342">
        <v>0.86332342905974202</v>
      </c>
      <c r="AB342">
        <v>2050</v>
      </c>
      <c r="AC342">
        <v>1</v>
      </c>
      <c r="AD342">
        <v>2</v>
      </c>
      <c r="AE342">
        <v>-0.51011828243844404</v>
      </c>
      <c r="AF342">
        <v>-0.78119234807674098</v>
      </c>
      <c r="AG342">
        <v>-0.65512604784375805</v>
      </c>
      <c r="AH342">
        <v>-1.7362616449277299</v>
      </c>
      <c r="AI342">
        <v>-1.03852966420682</v>
      </c>
      <c r="AJ342">
        <v>-0.77955568371294603</v>
      </c>
      <c r="AK342">
        <v>47.023905999999997</v>
      </c>
      <c r="AL342">
        <v>4.8380429999999999</v>
      </c>
      <c r="AM342">
        <v>48.856372813999997</v>
      </c>
      <c r="AN342">
        <v>2.3525296170000001</v>
      </c>
    </row>
    <row r="343" spans="1:40" x14ac:dyDescent="0.35">
      <c r="A343">
        <v>452</v>
      </c>
      <c r="B343">
        <v>57</v>
      </c>
      <c r="C343" t="s">
        <v>40</v>
      </c>
      <c r="D343" t="s">
        <v>41</v>
      </c>
      <c r="E343" t="s">
        <v>42</v>
      </c>
      <c r="F343" t="s">
        <v>61</v>
      </c>
      <c r="G343">
        <v>6</v>
      </c>
      <c r="H343">
        <v>36</v>
      </c>
      <c r="I343">
        <v>5</v>
      </c>
      <c r="J343" t="s">
        <v>56</v>
      </c>
      <c r="K343" t="s">
        <v>46</v>
      </c>
      <c r="L343" t="s">
        <v>73</v>
      </c>
      <c r="M343">
        <v>588.08445897169725</v>
      </c>
      <c r="N343">
        <v>778</v>
      </c>
      <c r="O343">
        <v>448</v>
      </c>
      <c r="P343">
        <v>305</v>
      </c>
      <c r="Q343">
        <v>1.9459101490553132</v>
      </c>
      <c r="R343">
        <v>2.9444389791664403</v>
      </c>
      <c r="S343">
        <v>4.2626798770413155</v>
      </c>
      <c r="T343">
        <v>91.872500000000002</v>
      </c>
      <c r="U343">
        <v>2.0033201607997366</v>
      </c>
      <c r="V343">
        <v>7.5580716531248995E-2</v>
      </c>
      <c r="W343">
        <v>0.203376316306385</v>
      </c>
      <c r="X343">
        <v>0.143329752535333</v>
      </c>
      <c r="Y343">
        <v>1.4483117406157899</v>
      </c>
      <c r="Z343">
        <v>1.7680602694732599</v>
      </c>
      <c r="AA343">
        <v>0.26366440732357699</v>
      </c>
      <c r="AB343">
        <v>4236</v>
      </c>
      <c r="AC343">
        <v>0</v>
      </c>
      <c r="AD343">
        <v>4</v>
      </c>
      <c r="AE343">
        <v>1.6751267091712101</v>
      </c>
      <c r="AF343">
        <v>0.72149873707627399</v>
      </c>
      <c r="AG343">
        <v>-1.19427363816035</v>
      </c>
      <c r="AH343">
        <v>-1.69065497289496</v>
      </c>
      <c r="AI343">
        <v>1.1243353151653599</v>
      </c>
      <c r="AJ343">
        <v>0.74575223986623795</v>
      </c>
      <c r="AK343">
        <v>44.686388999999998</v>
      </c>
      <c r="AL343">
        <v>-0.52383800000000003</v>
      </c>
      <c r="AM343">
        <v>48.601652173913045</v>
      </c>
      <c r="AN343">
        <v>4.6476521739130439</v>
      </c>
    </row>
    <row r="344" spans="1:40" x14ac:dyDescent="0.35">
      <c r="A344">
        <v>453</v>
      </c>
      <c r="B344">
        <v>57</v>
      </c>
      <c r="C344" t="s">
        <v>48</v>
      </c>
      <c r="D344" t="s">
        <v>41</v>
      </c>
      <c r="E344" t="s">
        <v>42</v>
      </c>
      <c r="F344" t="s">
        <v>49</v>
      </c>
      <c r="G344">
        <v>5</v>
      </c>
      <c r="H344">
        <v>25</v>
      </c>
      <c r="I344">
        <v>5</v>
      </c>
      <c r="J344" t="s">
        <v>56</v>
      </c>
      <c r="K344" t="s">
        <v>46</v>
      </c>
      <c r="L344" t="s">
        <v>58</v>
      </c>
      <c r="M344">
        <v>658.95493979738592</v>
      </c>
      <c r="N344">
        <v>782</v>
      </c>
      <c r="O344">
        <v>562</v>
      </c>
      <c r="P344">
        <v>417</v>
      </c>
      <c r="Q344">
        <v>3.2580965380214821</v>
      </c>
      <c r="R344">
        <v>2.8903717578961645</v>
      </c>
      <c r="S344">
        <v>4.7535901911063645</v>
      </c>
      <c r="T344">
        <v>90.794285714285706</v>
      </c>
      <c r="U344">
        <v>0</v>
      </c>
      <c r="V344">
        <v>0.63905639120027702</v>
      </c>
      <c r="W344">
        <v>0.692565001186083</v>
      </c>
      <c r="X344">
        <v>0.56469097254324596</v>
      </c>
      <c r="Y344">
        <v>1.4483117406157899</v>
      </c>
      <c r="Z344">
        <v>1.7680602694732599</v>
      </c>
      <c r="AA344">
        <v>0.26366440732357699</v>
      </c>
      <c r="AB344">
        <v>4236</v>
      </c>
      <c r="AC344">
        <v>0</v>
      </c>
      <c r="AD344">
        <v>4</v>
      </c>
      <c r="AE344">
        <v>1.6751267091712101</v>
      </c>
      <c r="AF344">
        <v>-0.16415559665013699</v>
      </c>
      <c r="AG344">
        <v>7.4915315794737605E-2</v>
      </c>
      <c r="AH344">
        <v>4.4554570576717897E-2</v>
      </c>
      <c r="AI344">
        <v>-0.50219445041691502</v>
      </c>
      <c r="AJ344">
        <v>-0.204888131538912</v>
      </c>
      <c r="AK344">
        <v>45.198478000000001</v>
      </c>
      <c r="AL344">
        <v>-0.74874399999999997</v>
      </c>
      <c r="AM344">
        <v>50.47679999999999</v>
      </c>
      <c r="AN344">
        <v>3.2501999999999995</v>
      </c>
    </row>
    <row r="345" spans="1:40" x14ac:dyDescent="0.35">
      <c r="A345">
        <v>454</v>
      </c>
      <c r="B345">
        <v>57</v>
      </c>
      <c r="C345" t="s">
        <v>48</v>
      </c>
      <c r="D345" t="s">
        <v>66</v>
      </c>
      <c r="E345" t="s">
        <v>42</v>
      </c>
      <c r="F345" t="s">
        <v>53</v>
      </c>
      <c r="G345">
        <v>4</v>
      </c>
      <c r="H345">
        <v>16</v>
      </c>
      <c r="I345">
        <v>5</v>
      </c>
      <c r="J345" t="s">
        <v>56</v>
      </c>
      <c r="K345" t="s">
        <v>46</v>
      </c>
      <c r="L345" t="s">
        <v>77</v>
      </c>
      <c r="M345">
        <v>262.62098332316629</v>
      </c>
      <c r="N345">
        <v>332</v>
      </c>
      <c r="O345">
        <v>220</v>
      </c>
      <c r="P345">
        <v>214</v>
      </c>
      <c r="Q345">
        <v>0</v>
      </c>
      <c r="R345">
        <v>2.3978952727983707</v>
      </c>
      <c r="S345">
        <v>5.1416635565026603</v>
      </c>
      <c r="T345">
        <v>90.472417453603512</v>
      </c>
      <c r="U345">
        <v>2.7735735584863375</v>
      </c>
      <c r="V345">
        <v>-0.15231437986527399</v>
      </c>
      <c r="W345">
        <v>3.49635939345109E-2</v>
      </c>
      <c r="X345">
        <v>-0.19627808847033801</v>
      </c>
      <c r="Y345">
        <v>-0.57382446736590997</v>
      </c>
      <c r="Z345">
        <v>-0.74335605457542497</v>
      </c>
      <c r="AA345">
        <v>-0.53588051656191904</v>
      </c>
      <c r="AB345">
        <v>3937</v>
      </c>
      <c r="AC345">
        <v>0</v>
      </c>
      <c r="AD345">
        <v>1</v>
      </c>
      <c r="AE345">
        <v>-0.72244456620022002</v>
      </c>
      <c r="AF345">
        <v>-0.38456518735511003</v>
      </c>
      <c r="AG345">
        <v>0.28112274268262399</v>
      </c>
      <c r="AH345">
        <v>1.26537896377651</v>
      </c>
      <c r="AI345">
        <v>-0.17242527579089101</v>
      </c>
      <c r="AJ345">
        <v>1.3538658425696799</v>
      </c>
      <c r="AK345">
        <v>47.259622</v>
      </c>
      <c r="AL345">
        <v>-7.8518000000000004E-2</v>
      </c>
      <c r="AM345">
        <v>48.863999999999997</v>
      </c>
      <c r="AN345">
        <v>2.5099999999999998</v>
      </c>
    </row>
    <row r="346" spans="1:40" x14ac:dyDescent="0.35">
      <c r="A346">
        <v>455</v>
      </c>
      <c r="B346">
        <v>72</v>
      </c>
      <c r="C346" t="s">
        <v>48</v>
      </c>
      <c r="D346" t="s">
        <v>52</v>
      </c>
      <c r="E346" t="s">
        <v>42</v>
      </c>
      <c r="F346" t="s">
        <v>43</v>
      </c>
      <c r="G346">
        <v>4</v>
      </c>
      <c r="H346">
        <v>16</v>
      </c>
      <c r="I346">
        <v>6</v>
      </c>
      <c r="J346" t="s">
        <v>56</v>
      </c>
      <c r="K346" t="s">
        <v>46</v>
      </c>
      <c r="L346" t="s">
        <v>62</v>
      </c>
      <c r="M346">
        <v>122.83867486374299</v>
      </c>
      <c r="N346">
        <v>167</v>
      </c>
      <c r="O346">
        <v>120</v>
      </c>
      <c r="P346">
        <v>109</v>
      </c>
      <c r="Q346">
        <v>0.69314718055994529</v>
      </c>
      <c r="R346">
        <v>3.2580965380214821</v>
      </c>
      <c r="S346">
        <v>3.2580965380214821</v>
      </c>
      <c r="T346">
        <v>95.68</v>
      </c>
      <c r="U346">
        <v>0</v>
      </c>
      <c r="V346">
        <v>1.82802042479695</v>
      </c>
      <c r="W346">
        <v>0.99424279543483596</v>
      </c>
      <c r="X346">
        <v>0.99177342203587404</v>
      </c>
      <c r="Y346">
        <v>-0.96278755162326501</v>
      </c>
      <c r="Z346">
        <v>-0.75605764486205096</v>
      </c>
      <c r="AA346">
        <v>-0.80037586101695801</v>
      </c>
      <c r="AB346">
        <v>2092.91</v>
      </c>
      <c r="AC346">
        <v>0</v>
      </c>
      <c r="AD346">
        <v>2.1</v>
      </c>
      <c r="AE346">
        <v>-1.0768626388726401</v>
      </c>
      <c r="AF346">
        <v>-0.15483940341941799</v>
      </c>
      <c r="AG346">
        <v>-1.42288741551888</v>
      </c>
      <c r="AH346">
        <v>0.559090598896688</v>
      </c>
      <c r="AI346">
        <v>-1.2525080398453899E-2</v>
      </c>
      <c r="AJ346">
        <v>-2.2565281475581198</v>
      </c>
      <c r="AK346">
        <v>49.042560999999999</v>
      </c>
      <c r="AL346">
        <v>3.9528660000000002</v>
      </c>
      <c r="AM346">
        <v>48.895000000000003</v>
      </c>
      <c r="AN346">
        <v>2.2869999999999999</v>
      </c>
    </row>
    <row r="347" spans="1:40" x14ac:dyDescent="0.35">
      <c r="A347">
        <v>456</v>
      </c>
      <c r="B347">
        <v>72</v>
      </c>
      <c r="C347" t="s">
        <v>40</v>
      </c>
      <c r="D347" t="s">
        <v>52</v>
      </c>
      <c r="E347" t="s">
        <v>42</v>
      </c>
      <c r="F347" t="s">
        <v>49</v>
      </c>
      <c r="G347">
        <v>4</v>
      </c>
      <c r="H347">
        <v>16</v>
      </c>
      <c r="I347">
        <v>5</v>
      </c>
      <c r="J347" t="s">
        <v>45</v>
      </c>
      <c r="K347" t="s">
        <v>46</v>
      </c>
      <c r="L347" t="s">
        <v>78</v>
      </c>
      <c r="M347">
        <v>823.91299135704435</v>
      </c>
      <c r="N347">
        <v>1190</v>
      </c>
      <c r="O347">
        <v>930</v>
      </c>
      <c r="P347">
        <v>1620</v>
      </c>
      <c r="Q347">
        <v>0</v>
      </c>
      <c r="R347">
        <v>0</v>
      </c>
      <c r="S347">
        <v>3.784189633918261</v>
      </c>
      <c r="T347">
        <v>88.642856449106446</v>
      </c>
      <c r="U347">
        <v>1.0940428522509147</v>
      </c>
      <c r="V347">
        <v>8.5508000285955607E-3</v>
      </c>
      <c r="W347">
        <v>-0.51120442009665101</v>
      </c>
      <c r="X347">
        <v>-0.50395056569549701</v>
      </c>
      <c r="Y347">
        <v>-1.08176131679965</v>
      </c>
      <c r="Z347">
        <v>-1.2254354371323599</v>
      </c>
      <c r="AA347">
        <v>-2.1159072764009799</v>
      </c>
      <c r="AB347">
        <v>465.17385257301805</v>
      </c>
      <c r="AC347">
        <v>0.43254520166898469</v>
      </c>
      <c r="AD347">
        <v>0.43254520166898469</v>
      </c>
      <c r="AE347">
        <v>7.7424783941295205E-2</v>
      </c>
      <c r="AF347">
        <v>-0.39504395401544201</v>
      </c>
      <c r="AG347">
        <v>-0.50734409119183199</v>
      </c>
      <c r="AH347">
        <v>-1.54669915554758</v>
      </c>
      <c r="AI347">
        <v>-1.08289301965326</v>
      </c>
      <c r="AJ347">
        <v>-2.3296661714793001</v>
      </c>
      <c r="AK347">
        <v>42.680641999999999</v>
      </c>
      <c r="AL347">
        <v>9.3018979999999996</v>
      </c>
      <c r="AM347">
        <v>44.825000000000003</v>
      </c>
      <c r="AN347">
        <v>-0.51300000000000001</v>
      </c>
    </row>
    <row r="348" spans="1:40" x14ac:dyDescent="0.35">
      <c r="A348">
        <v>457</v>
      </c>
      <c r="B348">
        <v>42</v>
      </c>
      <c r="C348" t="s">
        <v>48</v>
      </c>
      <c r="D348" t="s">
        <v>41</v>
      </c>
      <c r="E348" t="s">
        <v>42</v>
      </c>
      <c r="F348" t="s">
        <v>49</v>
      </c>
      <c r="G348">
        <v>5</v>
      </c>
      <c r="H348">
        <v>25</v>
      </c>
      <c r="I348">
        <v>5</v>
      </c>
      <c r="J348" t="s">
        <v>56</v>
      </c>
      <c r="K348" t="s">
        <v>46</v>
      </c>
      <c r="L348" t="s">
        <v>62</v>
      </c>
      <c r="M348">
        <v>128.61896923938161</v>
      </c>
      <c r="N348">
        <v>167</v>
      </c>
      <c r="O348">
        <v>120</v>
      </c>
      <c r="P348">
        <v>109</v>
      </c>
      <c r="Q348">
        <v>0.69314718055994529</v>
      </c>
      <c r="R348">
        <v>3.2580965380214821</v>
      </c>
      <c r="S348">
        <v>3.2580965380214821</v>
      </c>
      <c r="T348">
        <v>95.68</v>
      </c>
      <c r="U348">
        <v>0</v>
      </c>
      <c r="V348">
        <v>1.82802042479695</v>
      </c>
      <c r="W348">
        <v>0.99424279543483596</v>
      </c>
      <c r="X348">
        <v>0.99177342203587404</v>
      </c>
      <c r="Y348">
        <v>-0.96278755162326501</v>
      </c>
      <c r="Z348">
        <v>-0.75605764486205096</v>
      </c>
      <c r="AA348">
        <v>-0.80037586101695801</v>
      </c>
      <c r="AB348">
        <v>2092.91</v>
      </c>
      <c r="AC348">
        <v>0</v>
      </c>
      <c r="AD348">
        <v>2.1</v>
      </c>
      <c r="AE348">
        <v>-1.0768626388726401</v>
      </c>
      <c r="AF348">
        <v>0.15931941790068799</v>
      </c>
      <c r="AG348">
        <v>0.63344542565844597</v>
      </c>
      <c r="AH348">
        <v>0.67778725137297802</v>
      </c>
      <c r="AI348">
        <v>0.17328160745894799</v>
      </c>
      <c r="AJ348">
        <v>-0.66629214920380198</v>
      </c>
      <c r="AK348">
        <v>49.042560999999999</v>
      </c>
      <c r="AL348">
        <v>3.9528660000000002</v>
      </c>
      <c r="AM348">
        <v>48.895999999999994</v>
      </c>
      <c r="AN348">
        <v>2.2069999999999999</v>
      </c>
    </row>
    <row r="349" spans="1:40" x14ac:dyDescent="0.35">
      <c r="A349">
        <v>458</v>
      </c>
      <c r="B349">
        <v>72</v>
      </c>
      <c r="C349" t="s">
        <v>40</v>
      </c>
      <c r="D349" t="s">
        <v>52</v>
      </c>
      <c r="E349" t="s">
        <v>68</v>
      </c>
      <c r="F349" t="s">
        <v>49</v>
      </c>
      <c r="G349">
        <v>5</v>
      </c>
      <c r="H349">
        <v>25</v>
      </c>
      <c r="I349">
        <v>7</v>
      </c>
      <c r="J349" t="s">
        <v>50</v>
      </c>
      <c r="K349" t="s">
        <v>46</v>
      </c>
      <c r="L349" t="s">
        <v>75</v>
      </c>
      <c r="M349">
        <v>587.73567485739397</v>
      </c>
      <c r="N349">
        <v>815</v>
      </c>
      <c r="O349">
        <v>498</v>
      </c>
      <c r="P349">
        <v>345</v>
      </c>
      <c r="Q349">
        <v>0</v>
      </c>
      <c r="R349">
        <v>0</v>
      </c>
      <c r="S349">
        <v>3.5553480614894135</v>
      </c>
      <c r="T349">
        <v>87.721111111111114</v>
      </c>
      <c r="U349">
        <v>1.8185946276597997</v>
      </c>
      <c r="V349">
        <v>-1.01058566247205</v>
      </c>
      <c r="W349">
        <v>-0.72487722485772399</v>
      </c>
      <c r="X349">
        <v>-0.83814251792544203</v>
      </c>
      <c r="Y349">
        <v>0.643019057251217</v>
      </c>
      <c r="Z349">
        <v>0.97010361819212798</v>
      </c>
      <c r="AA349">
        <v>-1.0557286875948499</v>
      </c>
      <c r="AB349">
        <v>4179</v>
      </c>
      <c r="AC349">
        <v>0</v>
      </c>
      <c r="AD349">
        <v>0</v>
      </c>
      <c r="AE349">
        <v>0.59808311135132897</v>
      </c>
      <c r="AF349">
        <v>-1.4090961571539824</v>
      </c>
      <c r="AG349">
        <v>-0.69739707154393171</v>
      </c>
      <c r="AH349">
        <v>-2.1361291363692385</v>
      </c>
      <c r="AI349">
        <v>-2.1489376169780146</v>
      </c>
      <c r="AJ349">
        <v>1.3560277539948202</v>
      </c>
      <c r="AK349">
        <v>47.087721999999999</v>
      </c>
      <c r="AL349">
        <v>-1.2817419999999999</v>
      </c>
      <c r="AM349">
        <v>50.640682937000001</v>
      </c>
      <c r="AN349">
        <v>4.6610704270000003</v>
      </c>
    </row>
    <row r="350" spans="1:40" x14ac:dyDescent="0.35">
      <c r="A350">
        <v>459</v>
      </c>
      <c r="B350">
        <v>42</v>
      </c>
      <c r="C350" t="s">
        <v>40</v>
      </c>
      <c r="D350" t="s">
        <v>66</v>
      </c>
      <c r="E350" t="s">
        <v>68</v>
      </c>
      <c r="F350" t="s">
        <v>49</v>
      </c>
      <c r="G350">
        <v>5</v>
      </c>
      <c r="H350">
        <v>25</v>
      </c>
      <c r="I350">
        <v>6</v>
      </c>
      <c r="J350" t="s">
        <v>50</v>
      </c>
      <c r="K350" t="s">
        <v>46</v>
      </c>
      <c r="L350" t="s">
        <v>62</v>
      </c>
      <c r="M350">
        <v>185.02215271766741</v>
      </c>
      <c r="N350">
        <v>263</v>
      </c>
      <c r="O350">
        <v>231</v>
      </c>
      <c r="P350">
        <v>208</v>
      </c>
      <c r="Q350">
        <v>0.69314718055994529</v>
      </c>
      <c r="R350">
        <v>3.2580965380214821</v>
      </c>
      <c r="S350">
        <v>3.2580965380214821</v>
      </c>
      <c r="T350">
        <v>95.68</v>
      </c>
      <c r="U350">
        <v>0</v>
      </c>
      <c r="V350">
        <v>1.82802042479695</v>
      </c>
      <c r="W350">
        <v>0.99424279543483596</v>
      </c>
      <c r="X350">
        <v>0.99177342203587404</v>
      </c>
      <c r="Y350">
        <v>-0.96278755162326501</v>
      </c>
      <c r="Z350">
        <v>-0.75605764486205096</v>
      </c>
      <c r="AA350">
        <v>-0.80037586101695801</v>
      </c>
      <c r="AB350">
        <v>2092.91</v>
      </c>
      <c r="AC350">
        <v>0</v>
      </c>
      <c r="AD350">
        <v>2.1</v>
      </c>
      <c r="AE350">
        <v>-1.0768626388726401</v>
      </c>
      <c r="AF350">
        <v>-0.40088229961207156</v>
      </c>
      <c r="AG350">
        <v>0.10800204525498981</v>
      </c>
      <c r="AH350">
        <v>0.45633464976511268</v>
      </c>
      <c r="AI350">
        <v>0.44129572422462399</v>
      </c>
      <c r="AJ350">
        <v>1.1921210758224501</v>
      </c>
      <c r="AK350">
        <v>49.042560999999999</v>
      </c>
      <c r="AL350">
        <v>3.9528660000000002</v>
      </c>
      <c r="AM350">
        <v>50.640682937000001</v>
      </c>
      <c r="AN350">
        <v>4.6610704270000003</v>
      </c>
    </row>
    <row r="351" spans="1:40" x14ac:dyDescent="0.35">
      <c r="A351">
        <v>460</v>
      </c>
      <c r="B351">
        <v>57</v>
      </c>
      <c r="C351" t="s">
        <v>40</v>
      </c>
      <c r="D351" t="s">
        <v>41</v>
      </c>
      <c r="E351" t="s">
        <v>42</v>
      </c>
      <c r="F351" t="s">
        <v>61</v>
      </c>
      <c r="G351">
        <v>5</v>
      </c>
      <c r="H351">
        <v>25</v>
      </c>
      <c r="I351">
        <v>5</v>
      </c>
      <c r="J351" t="s">
        <v>50</v>
      </c>
      <c r="K351" t="s">
        <v>46</v>
      </c>
      <c r="L351" t="s">
        <v>51</v>
      </c>
      <c r="M351">
        <v>159.81171045062609</v>
      </c>
      <c r="N351">
        <v>200</v>
      </c>
      <c r="O351">
        <v>156</v>
      </c>
      <c r="P351">
        <v>190</v>
      </c>
      <c r="Q351">
        <v>0</v>
      </c>
      <c r="R351">
        <v>1.3862943611198906</v>
      </c>
      <c r="S351">
        <v>4.3438054218536841</v>
      </c>
      <c r="T351">
        <v>91.16</v>
      </c>
      <c r="U351">
        <v>2.3174698847378039</v>
      </c>
      <c r="V351">
        <v>-0.58471966768986094</v>
      </c>
      <c r="W351">
        <v>-0.55557078097057</v>
      </c>
      <c r="X351">
        <v>-0.47566183223429498</v>
      </c>
      <c r="Y351">
        <v>-0.95884680312505799</v>
      </c>
      <c r="Z351">
        <v>-0.76521334103430205</v>
      </c>
      <c r="AA351">
        <v>-0.77245900699560299</v>
      </c>
      <c r="AB351">
        <v>1376</v>
      </c>
      <c r="AC351">
        <v>0</v>
      </c>
      <c r="AD351">
        <v>2</v>
      </c>
      <c r="AE351">
        <v>-1.2769936012368599</v>
      </c>
      <c r="AF351">
        <v>0.18207695324520401</v>
      </c>
      <c r="AG351">
        <v>0.72339037903581904</v>
      </c>
      <c r="AH351">
        <v>-4.8210937481191997E-3</v>
      </c>
      <c r="AI351">
        <v>0.88769765597694605</v>
      </c>
      <c r="AJ351">
        <v>-3.0938408011112702E-2</v>
      </c>
      <c r="AK351">
        <v>47.815207299999997</v>
      </c>
      <c r="AL351">
        <v>3.8001657</v>
      </c>
      <c r="AM351">
        <v>48.824000000000005</v>
      </c>
      <c r="AN351">
        <v>2.2639999999999998</v>
      </c>
    </row>
    <row r="352" spans="1:40" x14ac:dyDescent="0.35">
      <c r="A352">
        <v>461</v>
      </c>
      <c r="B352">
        <v>72</v>
      </c>
      <c r="C352" t="s">
        <v>40</v>
      </c>
      <c r="D352" t="s">
        <v>52</v>
      </c>
      <c r="E352" t="s">
        <v>42</v>
      </c>
      <c r="F352" t="s">
        <v>49</v>
      </c>
      <c r="G352">
        <v>0</v>
      </c>
      <c r="H352">
        <v>0</v>
      </c>
      <c r="I352">
        <v>7</v>
      </c>
      <c r="J352" t="s">
        <v>56</v>
      </c>
      <c r="K352" t="s">
        <v>46</v>
      </c>
      <c r="L352" t="s">
        <v>65</v>
      </c>
      <c r="M352">
        <v>642.00365972654697</v>
      </c>
      <c r="N352">
        <v>835</v>
      </c>
      <c r="O352">
        <v>420</v>
      </c>
      <c r="P352">
        <v>374</v>
      </c>
      <c r="Q352">
        <v>0</v>
      </c>
      <c r="R352">
        <v>0</v>
      </c>
      <c r="S352">
        <v>4.4543472962535073</v>
      </c>
      <c r="T352">
        <v>89.333044733044744</v>
      </c>
      <c r="U352">
        <v>1.2554235437523662</v>
      </c>
      <c r="V352">
        <v>1.64975517953679</v>
      </c>
      <c r="W352">
        <v>2.4220969657957299</v>
      </c>
      <c r="X352">
        <v>1.68128863126442</v>
      </c>
      <c r="Y352">
        <v>2.0553398017137301</v>
      </c>
      <c r="Z352">
        <v>2.0921400018840099</v>
      </c>
      <c r="AA352">
        <v>2.0596698968962701</v>
      </c>
      <c r="AB352">
        <v>3262.71</v>
      </c>
      <c r="AC352">
        <v>0.33</v>
      </c>
      <c r="AD352">
        <v>0.66</v>
      </c>
      <c r="AE352">
        <v>1.9221838973381</v>
      </c>
      <c r="AF352">
        <v>-1.1812022118283001</v>
      </c>
      <c r="AG352">
        <v>-0.99480054134382501</v>
      </c>
      <c r="AH352">
        <v>-1.2143258590252299</v>
      </c>
      <c r="AI352">
        <v>-1.4971012060001601</v>
      </c>
      <c r="AJ352">
        <v>-1.7962798710261401</v>
      </c>
      <c r="AK352">
        <v>43.537466000000002</v>
      </c>
      <c r="AL352">
        <v>6.4627330000000001</v>
      </c>
      <c r="AM352">
        <v>48.61</v>
      </c>
      <c r="AN352">
        <v>2.5012500000000002</v>
      </c>
    </row>
    <row r="353" spans="1:40" x14ac:dyDescent="0.35">
      <c r="A353">
        <v>462</v>
      </c>
      <c r="B353">
        <v>57</v>
      </c>
      <c r="C353" t="s">
        <v>40</v>
      </c>
      <c r="D353" t="s">
        <v>41</v>
      </c>
      <c r="E353" t="s">
        <v>68</v>
      </c>
      <c r="F353" t="s">
        <v>43</v>
      </c>
      <c r="G353">
        <v>7</v>
      </c>
      <c r="H353">
        <v>49</v>
      </c>
      <c r="I353">
        <v>7</v>
      </c>
      <c r="J353" t="s">
        <v>50</v>
      </c>
      <c r="K353" t="s">
        <v>46</v>
      </c>
      <c r="L353" t="s">
        <v>74</v>
      </c>
      <c r="M353">
        <v>446.66565982479938</v>
      </c>
      <c r="N353">
        <v>610</v>
      </c>
      <c r="O353">
        <v>403</v>
      </c>
      <c r="P353">
        <v>300</v>
      </c>
      <c r="Q353">
        <v>1.6094379124341003</v>
      </c>
      <c r="R353">
        <v>2.5649493574615367</v>
      </c>
      <c r="S353">
        <v>4.8202815656050371</v>
      </c>
      <c r="T353">
        <v>91.984920634920627</v>
      </c>
      <c r="U353">
        <v>1.0351430572167302</v>
      </c>
      <c r="V353">
        <v>-0.45376679124596098</v>
      </c>
      <c r="W353">
        <v>-0.56138574648679695</v>
      </c>
      <c r="X353">
        <v>-0.92192590083580195</v>
      </c>
      <c r="Y353">
        <v>-1.17232967929859</v>
      </c>
      <c r="Z353">
        <v>-0.98267194414701198</v>
      </c>
      <c r="AA353">
        <v>-0.89586780259421905</v>
      </c>
      <c r="AB353">
        <v>1270</v>
      </c>
      <c r="AC353">
        <v>3</v>
      </c>
      <c r="AD353">
        <v>1</v>
      </c>
      <c r="AE353">
        <v>-1.1438350904766701</v>
      </c>
      <c r="AF353">
        <v>0.64624805501223204</v>
      </c>
      <c r="AG353">
        <v>-1.44516213035244</v>
      </c>
      <c r="AH353">
        <v>0.75137454720809205</v>
      </c>
      <c r="AI353">
        <v>0.62293140953985904</v>
      </c>
      <c r="AJ353">
        <v>0.43403350281404501</v>
      </c>
      <c r="AK353">
        <v>46.672161000000003</v>
      </c>
      <c r="AL353">
        <v>5.558465</v>
      </c>
      <c r="AM353">
        <v>50.640682937000001</v>
      </c>
      <c r="AN353">
        <v>4.6610704270000003</v>
      </c>
    </row>
    <row r="354" spans="1:40" x14ac:dyDescent="0.35">
      <c r="A354">
        <v>463</v>
      </c>
      <c r="B354">
        <v>57</v>
      </c>
      <c r="C354" t="s">
        <v>40</v>
      </c>
      <c r="D354" t="s">
        <v>41</v>
      </c>
      <c r="E354" t="s">
        <v>42</v>
      </c>
      <c r="F354" t="s">
        <v>49</v>
      </c>
      <c r="G354">
        <v>4</v>
      </c>
      <c r="H354">
        <v>16</v>
      </c>
      <c r="I354">
        <v>5</v>
      </c>
      <c r="J354" t="s">
        <v>56</v>
      </c>
      <c r="K354" t="s">
        <v>46</v>
      </c>
      <c r="L354" t="s">
        <v>78</v>
      </c>
      <c r="M354">
        <v>877.17118750557847</v>
      </c>
      <c r="N354">
        <v>1161</v>
      </c>
      <c r="O354">
        <v>932</v>
      </c>
      <c r="P354">
        <v>1620</v>
      </c>
      <c r="Q354">
        <v>0</v>
      </c>
      <c r="R354">
        <v>0</v>
      </c>
      <c r="S354">
        <v>3.784189633918261</v>
      </c>
      <c r="T354">
        <v>88.642856449106446</v>
      </c>
      <c r="U354">
        <v>1.0940428522509147</v>
      </c>
      <c r="V354">
        <v>8.5508000285955607E-3</v>
      </c>
      <c r="W354">
        <v>-0.51120442009665101</v>
      </c>
      <c r="X354">
        <v>-0.50395056569549701</v>
      </c>
      <c r="Y354">
        <v>-1.08176131679965</v>
      </c>
      <c r="Z354">
        <v>-1.2254354371323599</v>
      </c>
      <c r="AA354">
        <v>-2.1159072764009799</v>
      </c>
      <c r="AB354">
        <v>465.17385257301805</v>
      </c>
      <c r="AC354">
        <v>0.43254520166898469</v>
      </c>
      <c r="AD354">
        <v>0.43254520166898469</v>
      </c>
      <c r="AE354">
        <v>7.7424783941295205E-2</v>
      </c>
      <c r="AF354">
        <v>0.42171433178927198</v>
      </c>
      <c r="AG354">
        <v>-0.256581339279291</v>
      </c>
      <c r="AH354">
        <v>0.712680992357002</v>
      </c>
      <c r="AI354">
        <v>-0.69557117131033597</v>
      </c>
      <c r="AJ354">
        <v>0.22969892484489901</v>
      </c>
      <c r="AK354">
        <v>42.680641999999999</v>
      </c>
      <c r="AL354">
        <v>9.3018979999999996</v>
      </c>
      <c r="AM354">
        <v>48.822000000000003</v>
      </c>
      <c r="AN354">
        <v>2.21</v>
      </c>
    </row>
    <row r="355" spans="1:40" x14ac:dyDescent="0.35">
      <c r="A355">
        <v>464</v>
      </c>
      <c r="B355">
        <v>57</v>
      </c>
      <c r="C355" t="s">
        <v>40</v>
      </c>
      <c r="D355" t="s">
        <v>41</v>
      </c>
      <c r="E355" t="s">
        <v>42</v>
      </c>
      <c r="F355" t="s">
        <v>49</v>
      </c>
      <c r="G355">
        <v>5</v>
      </c>
      <c r="H355">
        <v>25</v>
      </c>
      <c r="I355">
        <v>5</v>
      </c>
      <c r="J355" t="s">
        <v>56</v>
      </c>
      <c r="K355" t="s">
        <v>46</v>
      </c>
      <c r="L355" t="s">
        <v>62</v>
      </c>
      <c r="M355">
        <v>137.02111583446239</v>
      </c>
      <c r="N355">
        <v>162</v>
      </c>
      <c r="O355">
        <v>110</v>
      </c>
      <c r="P355">
        <v>145</v>
      </c>
      <c r="Q355">
        <v>0.69314718055994529</v>
      </c>
      <c r="R355">
        <v>3.2580965380214821</v>
      </c>
      <c r="S355">
        <v>3.2580965380214821</v>
      </c>
      <c r="T355">
        <v>95.68</v>
      </c>
      <c r="U355">
        <v>0</v>
      </c>
      <c r="V355">
        <v>1.82802042479695</v>
      </c>
      <c r="W355">
        <v>0.99424279543483596</v>
      </c>
      <c r="X355">
        <v>0.99177342203587404</v>
      </c>
      <c r="Y355">
        <v>-0.96278755162326501</v>
      </c>
      <c r="Z355">
        <v>-0.75605764486205096</v>
      </c>
      <c r="AA355">
        <v>-0.80037586101695801</v>
      </c>
      <c r="AB355">
        <v>2092.91</v>
      </c>
      <c r="AC355">
        <v>0</v>
      </c>
      <c r="AD355">
        <v>2.1</v>
      </c>
      <c r="AE355">
        <v>-1.0768626388726401</v>
      </c>
      <c r="AF355">
        <v>-1.03905957541511</v>
      </c>
      <c r="AG355">
        <v>-1.89643125282113</v>
      </c>
      <c r="AH355">
        <v>-0.159160561427207</v>
      </c>
      <c r="AI355">
        <v>-2.48416218612011</v>
      </c>
      <c r="AJ355">
        <v>-0.928751092405386</v>
      </c>
      <c r="AK355">
        <v>49.042560999999999</v>
      </c>
      <c r="AL355">
        <v>3.9528660000000002</v>
      </c>
      <c r="AM355">
        <v>48.702333333333335</v>
      </c>
      <c r="AN355">
        <v>2.1543333333333332</v>
      </c>
    </row>
    <row r="356" spans="1:40" x14ac:dyDescent="0.35">
      <c r="A356">
        <v>465</v>
      </c>
      <c r="B356">
        <v>57</v>
      </c>
      <c r="C356" t="s">
        <v>40</v>
      </c>
      <c r="D356" t="s">
        <v>52</v>
      </c>
      <c r="E356" t="s">
        <v>42</v>
      </c>
      <c r="F356" t="s">
        <v>49</v>
      </c>
      <c r="G356">
        <v>5</v>
      </c>
      <c r="H356">
        <v>25</v>
      </c>
      <c r="I356">
        <v>5</v>
      </c>
      <c r="J356" t="s">
        <v>56</v>
      </c>
      <c r="K356" t="s">
        <v>46</v>
      </c>
      <c r="L356" t="s">
        <v>60</v>
      </c>
      <c r="M356">
        <v>13.488855509381249</v>
      </c>
      <c r="N356">
        <v>17</v>
      </c>
      <c r="O356">
        <v>27</v>
      </c>
      <c r="P356">
        <v>33</v>
      </c>
      <c r="Q356">
        <v>3.8501476017100584</v>
      </c>
      <c r="R356">
        <v>2.9957322735539909</v>
      </c>
      <c r="S356">
        <v>5.4424177105217932</v>
      </c>
      <c r="T356">
        <v>88.975873222691746</v>
      </c>
      <c r="U356">
        <v>2.5514539469641888</v>
      </c>
      <c r="V356">
        <v>2.9336799326863701</v>
      </c>
      <c r="W356">
        <v>3.3730943146768602</v>
      </c>
      <c r="X356">
        <v>3.6072071704345601</v>
      </c>
      <c r="Y356">
        <v>-0.19189497559235799</v>
      </c>
      <c r="Z356">
        <v>0.17569111512999699</v>
      </c>
      <c r="AA356">
        <v>-0.304970615080496</v>
      </c>
      <c r="AB356">
        <v>1906.836709612184</v>
      </c>
      <c r="AC356">
        <v>0.7978420820676605</v>
      </c>
      <c r="AD356">
        <v>2.1056638128240834</v>
      </c>
      <c r="AE356">
        <v>-0.25037207080954499</v>
      </c>
      <c r="AF356">
        <v>0.88696946250807396</v>
      </c>
      <c r="AG356">
        <v>-1.6280845134431801</v>
      </c>
      <c r="AH356">
        <v>0.52117543775043595</v>
      </c>
      <c r="AI356">
        <v>0.316053894092239</v>
      </c>
      <c r="AJ356">
        <v>-1.51221887156051</v>
      </c>
      <c r="AK356">
        <v>44.055988999999997</v>
      </c>
      <c r="AL356">
        <v>4.8317350000000001</v>
      </c>
      <c r="AM356">
        <v>43.935000000000002</v>
      </c>
      <c r="AN356">
        <v>4.8410000000000002</v>
      </c>
    </row>
    <row r="357" spans="1:40" x14ac:dyDescent="0.35">
      <c r="A357">
        <v>466</v>
      </c>
      <c r="B357">
        <v>57</v>
      </c>
      <c r="C357" t="s">
        <v>40</v>
      </c>
      <c r="D357" t="s">
        <v>52</v>
      </c>
      <c r="E357" t="s">
        <v>42</v>
      </c>
      <c r="F357" t="s">
        <v>49</v>
      </c>
      <c r="G357">
        <v>2</v>
      </c>
      <c r="H357">
        <v>4</v>
      </c>
      <c r="I357">
        <v>5</v>
      </c>
      <c r="J357" t="s">
        <v>50</v>
      </c>
      <c r="K357" t="s">
        <v>46</v>
      </c>
      <c r="L357" t="s">
        <v>55</v>
      </c>
      <c r="M357">
        <v>374.32247547413601</v>
      </c>
      <c r="N357">
        <v>535</v>
      </c>
      <c r="O357">
        <v>325</v>
      </c>
      <c r="P357">
        <v>213</v>
      </c>
      <c r="Q357">
        <v>2.0794415416798357</v>
      </c>
      <c r="R357">
        <v>2.3025850929940459</v>
      </c>
      <c r="S357">
        <v>3.2580965380214821</v>
      </c>
      <c r="T357">
        <v>95.12</v>
      </c>
      <c r="U357">
        <v>0</v>
      </c>
      <c r="V357">
        <v>1.89305099905856</v>
      </c>
      <c r="W357">
        <v>0.59880690621441701</v>
      </c>
      <c r="X357">
        <v>1.1856460040685599</v>
      </c>
      <c r="Y357">
        <v>-0.15565097555555901</v>
      </c>
      <c r="Z357">
        <v>-0.22748295097212001</v>
      </c>
      <c r="AA357">
        <v>1.0415013010201299</v>
      </c>
      <c r="AB357">
        <v>2939.9504036908884</v>
      </c>
      <c r="AC357">
        <v>2</v>
      </c>
      <c r="AD357">
        <v>0.42868127643214149</v>
      </c>
      <c r="AE357">
        <v>-2.40641039566141E-2</v>
      </c>
      <c r="AF357">
        <v>0.607463677199098</v>
      </c>
      <c r="AG357">
        <v>-0.48783562743836101</v>
      </c>
      <c r="AH357">
        <v>-1.1019168152560599</v>
      </c>
      <c r="AI357">
        <v>1.3231566694469199</v>
      </c>
      <c r="AJ357">
        <v>0.86198364842400599</v>
      </c>
      <c r="AK357">
        <v>48.0777517</v>
      </c>
      <c r="AL357">
        <v>7.3579641000000002</v>
      </c>
      <c r="AM357">
        <v>48.67</v>
      </c>
      <c r="AN357">
        <v>2.3740000000000001</v>
      </c>
    </row>
    <row r="358" spans="1:40" x14ac:dyDescent="0.35">
      <c r="A358">
        <v>470</v>
      </c>
      <c r="B358">
        <v>72</v>
      </c>
      <c r="C358" t="s">
        <v>40</v>
      </c>
      <c r="D358" t="s">
        <v>52</v>
      </c>
      <c r="E358" t="s">
        <v>42</v>
      </c>
      <c r="F358" t="s">
        <v>61</v>
      </c>
      <c r="G358">
        <v>5</v>
      </c>
      <c r="H358">
        <v>25</v>
      </c>
      <c r="I358">
        <v>3</v>
      </c>
      <c r="J358" t="s">
        <v>56</v>
      </c>
      <c r="K358" t="s">
        <v>46</v>
      </c>
      <c r="L358" t="s">
        <v>77</v>
      </c>
      <c r="M358">
        <v>246.39835769668139</v>
      </c>
      <c r="N358">
        <v>327</v>
      </c>
      <c r="O358">
        <v>202</v>
      </c>
      <c r="P358">
        <v>166</v>
      </c>
      <c r="Q358">
        <v>0</v>
      </c>
      <c r="R358">
        <v>2.3978952727983707</v>
      </c>
      <c r="S358">
        <v>5.1416635565026603</v>
      </c>
      <c r="T358">
        <v>90.472417453603512</v>
      </c>
      <c r="U358">
        <v>2.7735735584863375</v>
      </c>
      <c r="V358">
        <v>-0.15231437986527399</v>
      </c>
      <c r="W358">
        <v>3.49635939345109E-2</v>
      </c>
      <c r="X358">
        <v>-0.19627808847033801</v>
      </c>
      <c r="Y358">
        <v>-0.57382446736590997</v>
      </c>
      <c r="Z358">
        <v>-0.74335605457542497</v>
      </c>
      <c r="AA358">
        <v>-0.53588051656191904</v>
      </c>
      <c r="AB358">
        <v>3937</v>
      </c>
      <c r="AC358">
        <v>0</v>
      </c>
      <c r="AD358">
        <v>1</v>
      </c>
      <c r="AE358">
        <v>-0.72244456620022002</v>
      </c>
      <c r="AF358">
        <v>-0.60688463645700996</v>
      </c>
      <c r="AG358">
        <v>-1.2305347037532901</v>
      </c>
      <c r="AH358">
        <v>-0.26085211015669602</v>
      </c>
      <c r="AI358">
        <v>-2.0594965331639101</v>
      </c>
      <c r="AJ358">
        <v>-0.36211664753814299</v>
      </c>
      <c r="AK358">
        <v>47.259622</v>
      </c>
      <c r="AL358">
        <v>-7.8518000000000004E-2</v>
      </c>
      <c r="AM358">
        <v>48.824000000000005</v>
      </c>
      <c r="AN358">
        <v>2.2639999999999998</v>
      </c>
    </row>
    <row r="359" spans="1:40" x14ac:dyDescent="0.35">
      <c r="A359">
        <v>471</v>
      </c>
      <c r="B359">
        <v>72</v>
      </c>
      <c r="C359" t="s">
        <v>40</v>
      </c>
      <c r="D359" t="s">
        <v>52</v>
      </c>
      <c r="E359" t="s">
        <v>42</v>
      </c>
      <c r="F359" t="s">
        <v>49</v>
      </c>
      <c r="G359">
        <v>5</v>
      </c>
      <c r="H359">
        <v>25</v>
      </c>
      <c r="I359">
        <v>4</v>
      </c>
      <c r="J359" t="s">
        <v>56</v>
      </c>
      <c r="K359" t="s">
        <v>46</v>
      </c>
      <c r="L359" t="s">
        <v>76</v>
      </c>
      <c r="M359">
        <v>375.38245501762731</v>
      </c>
      <c r="N359">
        <v>523</v>
      </c>
      <c r="O359">
        <v>337</v>
      </c>
      <c r="P359">
        <v>297</v>
      </c>
      <c r="Q359">
        <v>0</v>
      </c>
      <c r="R359">
        <v>1.0986122886681098</v>
      </c>
      <c r="S359">
        <v>4.1588830833596715</v>
      </c>
      <c r="T359">
        <v>91.226666666666674</v>
      </c>
      <c r="U359">
        <v>1.418823059726001</v>
      </c>
      <c r="V359">
        <v>-0.39095273818515502</v>
      </c>
      <c r="W359">
        <v>-0.53446083104759001</v>
      </c>
      <c r="X359">
        <v>-0.40804429067029002</v>
      </c>
      <c r="Y359">
        <v>-0.56789545922357498</v>
      </c>
      <c r="Z359">
        <v>-0.94760790482486201</v>
      </c>
      <c r="AA359">
        <v>-1.0848673571571601</v>
      </c>
      <c r="AB359">
        <v>1770.5103102717287</v>
      </c>
      <c r="AC359">
        <v>0.28213528618230871</v>
      </c>
      <c r="AD359">
        <v>1.7130468298323378</v>
      </c>
      <c r="AE359">
        <v>-1.13486126839574</v>
      </c>
      <c r="AF359">
        <v>0.22299677660569101</v>
      </c>
      <c r="AG359">
        <v>0.78170295325465999</v>
      </c>
      <c r="AH359">
        <v>-0.170173783013708</v>
      </c>
      <c r="AI359">
        <v>-4.09265633499245E-4</v>
      </c>
      <c r="AJ359">
        <v>-0.77643453248811301</v>
      </c>
      <c r="AK359">
        <v>47.330690599999997</v>
      </c>
      <c r="AL359">
        <v>2.8390453999999998</v>
      </c>
      <c r="AM359">
        <v>44.953250000000004</v>
      </c>
      <c r="AN359">
        <v>-0.61375000000000002</v>
      </c>
    </row>
    <row r="360" spans="1:40" x14ac:dyDescent="0.35">
      <c r="A360">
        <v>472</v>
      </c>
      <c r="B360">
        <v>72</v>
      </c>
      <c r="C360" t="s">
        <v>40</v>
      </c>
      <c r="D360" t="s">
        <v>52</v>
      </c>
      <c r="E360" t="s">
        <v>42</v>
      </c>
      <c r="F360" t="s">
        <v>61</v>
      </c>
      <c r="G360">
        <v>4</v>
      </c>
      <c r="H360">
        <v>16</v>
      </c>
      <c r="I360">
        <v>7</v>
      </c>
      <c r="J360" t="s">
        <v>56</v>
      </c>
      <c r="K360" t="s">
        <v>46</v>
      </c>
      <c r="L360" t="s">
        <v>67</v>
      </c>
      <c r="M360">
        <v>339.69553627211502</v>
      </c>
      <c r="N360">
        <v>396</v>
      </c>
      <c r="O360">
        <v>210</v>
      </c>
      <c r="P360">
        <v>90</v>
      </c>
      <c r="Q360">
        <v>0</v>
      </c>
      <c r="R360">
        <v>1.0986122886681098</v>
      </c>
      <c r="S360">
        <v>4.499809670330265</v>
      </c>
      <c r="T360">
        <v>90.053710317460329</v>
      </c>
      <c r="U360">
        <v>1.5728028449904734</v>
      </c>
      <c r="V360">
        <v>-0.577850340007529</v>
      </c>
      <c r="W360">
        <v>-0.32460727773589898</v>
      </c>
      <c r="X360">
        <v>-0.54369568891204501</v>
      </c>
      <c r="Y360">
        <v>-0.77598924050104101</v>
      </c>
      <c r="Z360">
        <v>0.47668876811384397</v>
      </c>
      <c r="AA360">
        <v>0.85617757356637403</v>
      </c>
      <c r="AB360">
        <v>2565</v>
      </c>
      <c r="AC360">
        <v>1</v>
      </c>
      <c r="AD360">
        <v>0</v>
      </c>
      <c r="AE360">
        <v>-0.72514205471140702</v>
      </c>
      <c r="AF360">
        <v>0.16005394024352612</v>
      </c>
      <c r="AG360">
        <v>-0.53632454117947015</v>
      </c>
      <c r="AH360">
        <v>1.2086805940566057</v>
      </c>
      <c r="AI360">
        <v>0.69948156549923213</v>
      </c>
      <c r="AJ360">
        <v>0.28898495818329456</v>
      </c>
      <c r="AK360">
        <v>46.303668000000002</v>
      </c>
      <c r="AL360">
        <v>4.8322269999999996</v>
      </c>
      <c r="AM360">
        <v>48.856372813999997</v>
      </c>
      <c r="AN360">
        <v>2.3525296170000001</v>
      </c>
    </row>
    <row r="361" spans="1:40" x14ac:dyDescent="0.35">
      <c r="A361">
        <v>475</v>
      </c>
      <c r="B361">
        <v>57</v>
      </c>
      <c r="C361" t="s">
        <v>40</v>
      </c>
      <c r="D361" t="s">
        <v>41</v>
      </c>
      <c r="E361" t="s">
        <v>42</v>
      </c>
      <c r="F361" t="s">
        <v>49</v>
      </c>
      <c r="G361">
        <v>1</v>
      </c>
      <c r="H361">
        <v>1</v>
      </c>
      <c r="I361">
        <v>4</v>
      </c>
      <c r="J361" t="s">
        <v>56</v>
      </c>
      <c r="K361" t="s">
        <v>46</v>
      </c>
      <c r="L361" t="s">
        <v>60</v>
      </c>
      <c r="M361">
        <v>222.96032457542131</v>
      </c>
      <c r="N361">
        <v>374</v>
      </c>
      <c r="O361">
        <v>234</v>
      </c>
      <c r="P361">
        <v>386</v>
      </c>
      <c r="Q361">
        <v>3.8501476017100584</v>
      </c>
      <c r="R361">
        <v>2.9957322735539909</v>
      </c>
      <c r="S361">
        <v>5.4424177105217932</v>
      </c>
      <c r="T361">
        <v>88.975873222691746</v>
      </c>
      <c r="U361">
        <v>2.5514539469641888</v>
      </c>
      <c r="V361">
        <v>2.9336799326863701</v>
      </c>
      <c r="W361">
        <v>3.3730943146768602</v>
      </c>
      <c r="X361">
        <v>3.6072071704345601</v>
      </c>
      <c r="Y361">
        <v>-0.19189497559235799</v>
      </c>
      <c r="Z361">
        <v>0.17569111512999699</v>
      </c>
      <c r="AA361">
        <v>-0.304970615080496</v>
      </c>
      <c r="AB361">
        <v>1906.836709612184</v>
      </c>
      <c r="AC361">
        <v>0.7978420820676605</v>
      </c>
      <c r="AD361">
        <v>2.1056638128240834</v>
      </c>
      <c r="AE361">
        <v>-0.25037207080954499</v>
      </c>
      <c r="AF361">
        <v>0.16993074756256599</v>
      </c>
      <c r="AG361">
        <v>1.35658371721773</v>
      </c>
      <c r="AH361">
        <v>0.95383308254945398</v>
      </c>
      <c r="AI361">
        <v>0.56067608283094095</v>
      </c>
      <c r="AJ361">
        <v>2.2895363369168999E-2</v>
      </c>
      <c r="AK361">
        <v>44.055988999999997</v>
      </c>
      <c r="AL361">
        <v>4.8317350000000001</v>
      </c>
      <c r="AM361">
        <v>45.673000000000002</v>
      </c>
      <c r="AN361">
        <v>3.1640000000000001</v>
      </c>
    </row>
    <row r="362" spans="1:40" x14ac:dyDescent="0.35">
      <c r="A362">
        <v>476</v>
      </c>
      <c r="B362">
        <v>57</v>
      </c>
      <c r="C362" t="s">
        <v>40</v>
      </c>
      <c r="D362" t="s">
        <v>41</v>
      </c>
      <c r="E362" t="s">
        <v>42</v>
      </c>
      <c r="F362" t="s">
        <v>43</v>
      </c>
      <c r="G362">
        <v>6</v>
      </c>
      <c r="H362">
        <v>36</v>
      </c>
      <c r="I362">
        <v>5</v>
      </c>
      <c r="J362" t="s">
        <v>56</v>
      </c>
      <c r="K362" t="s">
        <v>46</v>
      </c>
      <c r="L362" t="s">
        <v>72</v>
      </c>
      <c r="M362">
        <v>487.02940290280662</v>
      </c>
      <c r="N362">
        <v>574</v>
      </c>
      <c r="O362">
        <v>350</v>
      </c>
      <c r="P362">
        <v>374</v>
      </c>
      <c r="Q362">
        <v>0.69314718055994529</v>
      </c>
      <c r="R362">
        <v>1.3862943611198906</v>
      </c>
      <c r="S362">
        <v>4.5538768916005408</v>
      </c>
      <c r="T362">
        <v>89.340161030595823</v>
      </c>
      <c r="U362">
        <v>1.4712304197281412</v>
      </c>
      <c r="V362">
        <v>0.59716251398508702</v>
      </c>
      <c r="W362">
        <v>0.91068296986709796</v>
      </c>
      <c r="X362">
        <v>1.2273243988355</v>
      </c>
      <c r="Y362">
        <v>-0.4121809470949</v>
      </c>
      <c r="Z362">
        <v>-0.86472582726521097</v>
      </c>
      <c r="AA362">
        <v>-1.0172779374790899</v>
      </c>
      <c r="AB362">
        <v>1828.1689246701658</v>
      </c>
      <c r="AC362">
        <v>1.1127464888636687</v>
      </c>
      <c r="AD362">
        <v>1.8630656830756136</v>
      </c>
      <c r="AE362">
        <v>-0.53926882203722504</v>
      </c>
      <c r="AF362">
        <v>-1.0108826021877</v>
      </c>
      <c r="AG362">
        <v>-0.15946874808161199</v>
      </c>
      <c r="AH362">
        <v>-0.76497666920662599</v>
      </c>
      <c r="AI362">
        <v>-0.76514193868538105</v>
      </c>
      <c r="AJ362">
        <v>-0.75440902010958999</v>
      </c>
      <c r="AK362">
        <v>44.503641999999999</v>
      </c>
      <c r="AL362">
        <v>1.1863669999999999</v>
      </c>
      <c r="AM362">
        <v>48.795999999999999</v>
      </c>
      <c r="AN362">
        <v>2.4209999999999998</v>
      </c>
    </row>
    <row r="363" spans="1:40" x14ac:dyDescent="0.35">
      <c r="A363">
        <v>477</v>
      </c>
      <c r="B363">
        <v>57</v>
      </c>
      <c r="C363" t="s">
        <v>40</v>
      </c>
      <c r="D363" t="s">
        <v>52</v>
      </c>
      <c r="E363" t="s">
        <v>42</v>
      </c>
      <c r="F363" t="s">
        <v>49</v>
      </c>
      <c r="G363">
        <v>5</v>
      </c>
      <c r="H363">
        <v>25</v>
      </c>
      <c r="I363">
        <v>7</v>
      </c>
      <c r="J363" t="s">
        <v>50</v>
      </c>
      <c r="K363" t="s">
        <v>46</v>
      </c>
      <c r="L363" t="s">
        <v>62</v>
      </c>
      <c r="M363">
        <v>125.33879560019589</v>
      </c>
      <c r="N363">
        <v>167</v>
      </c>
      <c r="O363">
        <v>120</v>
      </c>
      <c r="P363">
        <v>109</v>
      </c>
      <c r="Q363">
        <v>0.69314718055994529</v>
      </c>
      <c r="R363">
        <v>3.2580965380214821</v>
      </c>
      <c r="S363">
        <v>3.2580965380214821</v>
      </c>
      <c r="T363">
        <v>95.68</v>
      </c>
      <c r="U363">
        <v>0</v>
      </c>
      <c r="V363">
        <v>1.82802042479695</v>
      </c>
      <c r="W363">
        <v>0.99424279543483596</v>
      </c>
      <c r="X363">
        <v>0.99177342203587404</v>
      </c>
      <c r="Y363">
        <v>-0.96278755162326501</v>
      </c>
      <c r="Z363">
        <v>-0.75605764486205096</v>
      </c>
      <c r="AA363">
        <v>-0.80037586101695801</v>
      </c>
      <c r="AB363">
        <v>2092.91</v>
      </c>
      <c r="AC363">
        <v>0</v>
      </c>
      <c r="AD363">
        <v>2.1</v>
      </c>
      <c r="AE363">
        <v>-1.0768626388726401</v>
      </c>
      <c r="AF363">
        <v>-0.74908936504131496</v>
      </c>
      <c r="AG363">
        <v>-2.00716790067926</v>
      </c>
      <c r="AH363">
        <v>0.404394003088694</v>
      </c>
      <c r="AI363">
        <v>0.486357803989801</v>
      </c>
      <c r="AJ363">
        <v>-0.44395451547735698</v>
      </c>
      <c r="AK363">
        <v>49.042560999999999</v>
      </c>
      <c r="AL363">
        <v>3.9528660000000002</v>
      </c>
      <c r="AM363">
        <v>48.75</v>
      </c>
      <c r="AN363">
        <v>2.2989999999999999</v>
      </c>
    </row>
    <row r="364" spans="1:40" x14ac:dyDescent="0.35">
      <c r="A364">
        <v>478</v>
      </c>
      <c r="B364">
        <v>57</v>
      </c>
      <c r="C364" t="s">
        <v>40</v>
      </c>
      <c r="D364" t="s">
        <v>41</v>
      </c>
      <c r="E364" t="s">
        <v>42</v>
      </c>
      <c r="F364" t="s">
        <v>61</v>
      </c>
      <c r="G364">
        <v>5</v>
      </c>
      <c r="H364">
        <v>25</v>
      </c>
      <c r="I364">
        <v>5</v>
      </c>
      <c r="J364" t="s">
        <v>50</v>
      </c>
      <c r="K364" t="s">
        <v>46</v>
      </c>
      <c r="L364" t="s">
        <v>57</v>
      </c>
      <c r="M364">
        <v>265.67476532155541</v>
      </c>
      <c r="N364">
        <v>317</v>
      </c>
      <c r="O364">
        <v>216</v>
      </c>
      <c r="P364">
        <v>158</v>
      </c>
      <c r="Q364">
        <v>0.69314718055994529</v>
      </c>
      <c r="R364">
        <v>3.6109179126442243</v>
      </c>
      <c r="S364">
        <v>5.8833223884882786</v>
      </c>
      <c r="T364">
        <v>90.922105263157903</v>
      </c>
      <c r="U364">
        <v>2.3923758041545438</v>
      </c>
      <c r="V364">
        <v>-0.399596989308249</v>
      </c>
      <c r="W364">
        <v>-0.58810405700346202</v>
      </c>
      <c r="X364">
        <v>-0.29041857108635599</v>
      </c>
      <c r="Y364">
        <v>-0.846122564821426</v>
      </c>
      <c r="Z364">
        <v>-0.92679578564836795</v>
      </c>
      <c r="AA364">
        <v>0.86332342905974202</v>
      </c>
      <c r="AB364">
        <v>2050</v>
      </c>
      <c r="AC364">
        <v>1</v>
      </c>
      <c r="AD364">
        <v>2</v>
      </c>
      <c r="AE364">
        <v>-0.51011828243844404</v>
      </c>
      <c r="AF364">
        <v>-0.40210074585651001</v>
      </c>
      <c r="AG364">
        <v>-0.65293084868657802</v>
      </c>
      <c r="AH364">
        <v>0.80149942922404804</v>
      </c>
      <c r="AI364">
        <v>-0.17522896560780599</v>
      </c>
      <c r="AJ364">
        <v>0.23156319137185899</v>
      </c>
      <c r="AK364">
        <v>47.023905999999997</v>
      </c>
      <c r="AL364">
        <v>4.8380429999999999</v>
      </c>
      <c r="AM364">
        <v>48.838000000000001</v>
      </c>
      <c r="AN364">
        <v>2.5230000000000001</v>
      </c>
    </row>
    <row r="365" spans="1:40" x14ac:dyDescent="0.35">
      <c r="A365">
        <v>479</v>
      </c>
      <c r="B365">
        <v>57</v>
      </c>
      <c r="C365" t="s">
        <v>48</v>
      </c>
      <c r="D365" t="s">
        <v>66</v>
      </c>
      <c r="E365" t="s">
        <v>42</v>
      </c>
      <c r="F365" t="s">
        <v>49</v>
      </c>
      <c r="G365">
        <v>5</v>
      </c>
      <c r="H365">
        <v>25</v>
      </c>
      <c r="I365">
        <v>3</v>
      </c>
      <c r="J365" t="s">
        <v>50</v>
      </c>
      <c r="K365" t="s">
        <v>46</v>
      </c>
      <c r="L365" t="s">
        <v>55</v>
      </c>
      <c r="M365">
        <v>404.25124408663447</v>
      </c>
      <c r="N365">
        <v>573</v>
      </c>
      <c r="O365">
        <v>376</v>
      </c>
      <c r="P365">
        <v>220</v>
      </c>
      <c r="Q365">
        <v>2.0794415416798357</v>
      </c>
      <c r="R365">
        <v>2.3025850929940459</v>
      </c>
      <c r="S365">
        <v>3.2580965380214821</v>
      </c>
      <c r="T365">
        <v>95.12</v>
      </c>
      <c r="U365">
        <v>0</v>
      </c>
      <c r="V365">
        <v>1.89305099905856</v>
      </c>
      <c r="W365">
        <v>0.59880690621441701</v>
      </c>
      <c r="X365">
        <v>1.1856460040685599</v>
      </c>
      <c r="Y365">
        <v>-0.15565097555555901</v>
      </c>
      <c r="Z365">
        <v>-0.22748295097212001</v>
      </c>
      <c r="AA365">
        <v>1.0415013010201299</v>
      </c>
      <c r="AB365">
        <v>2939.9504036908884</v>
      </c>
      <c r="AC365">
        <v>2</v>
      </c>
      <c r="AD365">
        <v>0.42868127643214149</v>
      </c>
      <c r="AE365">
        <v>-2.40641039566141E-2</v>
      </c>
      <c r="AF365">
        <v>2.45801272766934</v>
      </c>
      <c r="AG365">
        <v>-2.4251559952930202</v>
      </c>
      <c r="AH365">
        <v>1.00376382906888</v>
      </c>
      <c r="AI365">
        <v>1.4836044289928401</v>
      </c>
      <c r="AJ365">
        <v>0.76193534118230599</v>
      </c>
      <c r="AK365">
        <v>48.0777517</v>
      </c>
      <c r="AL365">
        <v>7.3579641000000002</v>
      </c>
      <c r="AM365">
        <v>48.923999999999999</v>
      </c>
      <c r="AN365">
        <v>2.0270000000000001</v>
      </c>
    </row>
    <row r="366" spans="1:40" x14ac:dyDescent="0.35">
      <c r="A366">
        <v>480</v>
      </c>
      <c r="B366">
        <v>57</v>
      </c>
      <c r="C366" t="s">
        <v>40</v>
      </c>
      <c r="D366" t="s">
        <v>41</v>
      </c>
      <c r="E366" t="s">
        <v>42</v>
      </c>
      <c r="F366" t="s">
        <v>61</v>
      </c>
      <c r="G366">
        <v>5</v>
      </c>
      <c r="H366">
        <v>25</v>
      </c>
      <c r="I366">
        <v>5</v>
      </c>
      <c r="J366" t="s">
        <v>56</v>
      </c>
      <c r="K366" t="s">
        <v>46</v>
      </c>
      <c r="L366" t="s">
        <v>79</v>
      </c>
      <c r="M366">
        <v>677.66791134297989</v>
      </c>
      <c r="N366">
        <v>842</v>
      </c>
      <c r="O366">
        <v>486</v>
      </c>
      <c r="P366">
        <v>367</v>
      </c>
      <c r="Q366">
        <v>0</v>
      </c>
      <c r="R366">
        <v>1.0986122886681098</v>
      </c>
      <c r="S366">
        <v>4.4659081186545837</v>
      </c>
      <c r="T366">
        <v>90.88000000000001</v>
      </c>
      <c r="U366">
        <v>0.63076672920079646</v>
      </c>
      <c r="V366">
        <v>-0.66459185691613598</v>
      </c>
      <c r="W366">
        <v>-0.11297510960708999</v>
      </c>
      <c r="X366">
        <v>-0.19037106594949799</v>
      </c>
      <c r="Y366">
        <v>-0.374020329094302</v>
      </c>
      <c r="Z366">
        <v>-0.78642831806525804</v>
      </c>
      <c r="AA366">
        <v>-1.3830773108541501</v>
      </c>
      <c r="AB366">
        <v>1910</v>
      </c>
      <c r="AC366">
        <v>4</v>
      </c>
      <c r="AD366">
        <v>0</v>
      </c>
      <c r="AE366">
        <v>3.4620335695619099E-2</v>
      </c>
      <c r="AF366">
        <v>-1.6206103888346399</v>
      </c>
      <c r="AG366">
        <v>1.5243002872538001</v>
      </c>
      <c r="AH366">
        <v>-1.3883252005792599</v>
      </c>
      <c r="AI366">
        <v>-1.62473978276256</v>
      </c>
      <c r="AJ366">
        <v>1.0171675045297099</v>
      </c>
      <c r="AK366">
        <v>42.698529999999998</v>
      </c>
      <c r="AL366">
        <v>2.8953120000000001</v>
      </c>
      <c r="AM366">
        <v>48.764000000000003</v>
      </c>
      <c r="AN366">
        <v>2.1509999999999994</v>
      </c>
    </row>
    <row r="367" spans="1:40" x14ac:dyDescent="0.35">
      <c r="A367">
        <v>481</v>
      </c>
      <c r="B367">
        <v>57</v>
      </c>
      <c r="C367" t="s">
        <v>48</v>
      </c>
      <c r="D367" t="s">
        <v>41</v>
      </c>
      <c r="E367" t="s">
        <v>42</v>
      </c>
      <c r="F367" t="s">
        <v>61</v>
      </c>
      <c r="G367">
        <v>3</v>
      </c>
      <c r="H367">
        <v>9</v>
      </c>
      <c r="I367">
        <v>2</v>
      </c>
      <c r="J367" t="s">
        <v>56</v>
      </c>
      <c r="K367" t="s">
        <v>46</v>
      </c>
      <c r="L367" t="s">
        <v>79</v>
      </c>
      <c r="M367">
        <v>430.01700056612879</v>
      </c>
      <c r="N367">
        <v>520</v>
      </c>
      <c r="O367">
        <v>322</v>
      </c>
      <c r="P367">
        <v>296</v>
      </c>
      <c r="Q367">
        <v>0</v>
      </c>
      <c r="R367">
        <v>1.0986122886681098</v>
      </c>
      <c r="S367">
        <v>4.4659081186545837</v>
      </c>
      <c r="T367">
        <v>90.88000000000001</v>
      </c>
      <c r="U367">
        <v>0.63076672920079646</v>
      </c>
      <c r="V367">
        <v>-0.66459185691613598</v>
      </c>
      <c r="W367">
        <v>-0.11297510960708999</v>
      </c>
      <c r="X367">
        <v>-0.19037106594949799</v>
      </c>
      <c r="Y367">
        <v>-0.374020329094302</v>
      </c>
      <c r="Z367">
        <v>-0.78642831806525804</v>
      </c>
      <c r="AA367">
        <v>-1.3830773108541501</v>
      </c>
      <c r="AB367">
        <v>1910</v>
      </c>
      <c r="AC367">
        <v>4</v>
      </c>
      <c r="AD367">
        <v>0</v>
      </c>
      <c r="AE367">
        <v>3.4620335695619099E-2</v>
      </c>
      <c r="AF367">
        <v>0.99305602193967402</v>
      </c>
      <c r="AG367">
        <v>1.17586690302992</v>
      </c>
      <c r="AH367">
        <v>0.95191332849473698</v>
      </c>
      <c r="AI367">
        <v>1.91938657407142</v>
      </c>
      <c r="AJ367">
        <v>-3.0756595155986499</v>
      </c>
      <c r="AK367">
        <v>42.698529999999998</v>
      </c>
      <c r="AL367">
        <v>2.8953120000000001</v>
      </c>
      <c r="AM367">
        <v>46.309666666666665</v>
      </c>
      <c r="AN367">
        <v>4.82</v>
      </c>
    </row>
    <row r="368" spans="1:40" x14ac:dyDescent="0.35">
      <c r="A368">
        <v>482</v>
      </c>
      <c r="B368">
        <v>57</v>
      </c>
      <c r="C368" t="s">
        <v>40</v>
      </c>
      <c r="D368" t="s">
        <v>41</v>
      </c>
      <c r="E368" t="s">
        <v>42</v>
      </c>
      <c r="F368" t="s">
        <v>43</v>
      </c>
      <c r="G368">
        <v>5</v>
      </c>
      <c r="H368">
        <v>25</v>
      </c>
      <c r="I368">
        <v>6</v>
      </c>
      <c r="J368" t="s">
        <v>50</v>
      </c>
      <c r="K368" t="s">
        <v>46</v>
      </c>
      <c r="L368" t="s">
        <v>60</v>
      </c>
      <c r="M368">
        <v>567.10864805143422</v>
      </c>
      <c r="N368">
        <v>688</v>
      </c>
      <c r="O368">
        <v>466</v>
      </c>
      <c r="P368">
        <v>270</v>
      </c>
      <c r="Q368">
        <v>3.8501476017100584</v>
      </c>
      <c r="R368">
        <v>2.9957322735539909</v>
      </c>
      <c r="S368">
        <v>5.4424177105217932</v>
      </c>
      <c r="T368">
        <v>88.975873222691746</v>
      </c>
      <c r="U368">
        <v>2.5514539469641888</v>
      </c>
      <c r="V368">
        <v>2.9336799326863701</v>
      </c>
      <c r="W368">
        <v>3.3730943146768602</v>
      </c>
      <c r="X368">
        <v>3.6072071704345601</v>
      </c>
      <c r="Y368">
        <v>-0.19189497559235799</v>
      </c>
      <c r="Z368">
        <v>0.17569111512999699</v>
      </c>
      <c r="AA368">
        <v>-0.304970615080496</v>
      </c>
      <c r="AB368">
        <v>1906.836709612184</v>
      </c>
      <c r="AC368">
        <v>0.7978420820676605</v>
      </c>
      <c r="AD368">
        <v>2.1056638128240834</v>
      </c>
      <c r="AE368">
        <v>-0.25037207080954499</v>
      </c>
      <c r="AF368">
        <v>-0.51935092812830497</v>
      </c>
      <c r="AG368">
        <v>0.344877423635775</v>
      </c>
      <c r="AH368">
        <v>0.72015723617253302</v>
      </c>
      <c r="AI368">
        <v>0.42365507106504702</v>
      </c>
      <c r="AJ368">
        <v>-0.14150816961641399</v>
      </c>
      <c r="AK368">
        <v>44.055988999999997</v>
      </c>
      <c r="AL368">
        <v>4.8317350000000001</v>
      </c>
      <c r="AM368">
        <v>48.856372813999997</v>
      </c>
      <c r="AN368">
        <v>2.3525296170000001</v>
      </c>
    </row>
    <row r="369" spans="1:40" x14ac:dyDescent="0.35">
      <c r="A369">
        <v>483</v>
      </c>
      <c r="B369">
        <v>57</v>
      </c>
      <c r="C369" t="s">
        <v>48</v>
      </c>
      <c r="D369" t="s">
        <v>66</v>
      </c>
      <c r="E369" t="s">
        <v>42</v>
      </c>
      <c r="F369" t="s">
        <v>49</v>
      </c>
      <c r="G369">
        <v>4</v>
      </c>
      <c r="H369">
        <v>16</v>
      </c>
      <c r="I369">
        <v>4</v>
      </c>
      <c r="J369" t="s">
        <v>56</v>
      </c>
      <c r="K369" t="s">
        <v>46</v>
      </c>
      <c r="L369" t="s">
        <v>78</v>
      </c>
      <c r="M369">
        <v>811.34026139302284</v>
      </c>
      <c r="N369">
        <v>1190</v>
      </c>
      <c r="O369">
        <v>930</v>
      </c>
      <c r="P369">
        <v>1620</v>
      </c>
      <c r="Q369">
        <v>0</v>
      </c>
      <c r="R369">
        <v>0</v>
      </c>
      <c r="S369">
        <v>3.784189633918261</v>
      </c>
      <c r="T369">
        <v>88.642856449106446</v>
      </c>
      <c r="U369">
        <v>1.0940428522509147</v>
      </c>
      <c r="V369">
        <v>8.5508000285955607E-3</v>
      </c>
      <c r="W369">
        <v>-0.51120442009665101</v>
      </c>
      <c r="X369">
        <v>-0.50395056569549701</v>
      </c>
      <c r="Y369">
        <v>-1.08176131679965</v>
      </c>
      <c r="Z369">
        <v>-1.2254354371323599</v>
      </c>
      <c r="AA369">
        <v>-2.1159072764009799</v>
      </c>
      <c r="AB369">
        <v>465.17385257301805</v>
      </c>
      <c r="AC369">
        <v>0.43254520166898469</v>
      </c>
      <c r="AD369">
        <v>0.43254520166898469</v>
      </c>
      <c r="AE369">
        <v>7.7424783941295205E-2</v>
      </c>
      <c r="AF369">
        <v>0.99754413973520495</v>
      </c>
      <c r="AG369">
        <v>0.40855436917148502</v>
      </c>
      <c r="AH369">
        <v>1.0099619346592199</v>
      </c>
      <c r="AI369">
        <v>0.69940578473718129</v>
      </c>
      <c r="AJ369">
        <v>-7.9270971293807196E-2</v>
      </c>
      <c r="AK369">
        <v>42.680641999999999</v>
      </c>
      <c r="AL369">
        <v>9.3018979999999996</v>
      </c>
      <c r="AM369">
        <v>44.890999999999998</v>
      </c>
      <c r="AN369">
        <v>-0.32600000000000001</v>
      </c>
    </row>
    <row r="370" spans="1:40" x14ac:dyDescent="0.35">
      <c r="A370">
        <v>484</v>
      </c>
      <c r="B370">
        <v>72</v>
      </c>
      <c r="C370" t="s">
        <v>48</v>
      </c>
      <c r="D370" t="s">
        <v>52</v>
      </c>
      <c r="E370" t="s">
        <v>42</v>
      </c>
      <c r="F370" t="s">
        <v>61</v>
      </c>
      <c r="G370">
        <v>4</v>
      </c>
      <c r="H370">
        <v>16</v>
      </c>
      <c r="I370">
        <v>5</v>
      </c>
      <c r="J370" t="s">
        <v>56</v>
      </c>
      <c r="K370" t="s">
        <v>46</v>
      </c>
      <c r="L370" t="s">
        <v>77</v>
      </c>
      <c r="M370">
        <v>291.88191750781192</v>
      </c>
      <c r="N370">
        <v>400</v>
      </c>
      <c r="O370">
        <v>312</v>
      </c>
      <c r="P370">
        <v>441</v>
      </c>
      <c r="Q370">
        <v>0</v>
      </c>
      <c r="R370">
        <v>2.3978952727983707</v>
      </c>
      <c r="S370">
        <v>5.1416635565026603</v>
      </c>
      <c r="T370">
        <v>90.472417453603512</v>
      </c>
      <c r="U370">
        <v>2.7735735584863375</v>
      </c>
      <c r="V370">
        <v>-0.15231437986527399</v>
      </c>
      <c r="W370">
        <v>3.49635939345109E-2</v>
      </c>
      <c r="X370">
        <v>-0.19627808847033801</v>
      </c>
      <c r="Y370">
        <v>-0.57382446736590997</v>
      </c>
      <c r="Z370">
        <v>-0.74335605457542497</v>
      </c>
      <c r="AA370">
        <v>-0.53588051656191904</v>
      </c>
      <c r="AB370">
        <v>3937</v>
      </c>
      <c r="AC370">
        <v>0</v>
      </c>
      <c r="AD370">
        <v>1</v>
      </c>
      <c r="AE370">
        <v>-0.72244456620022002</v>
      </c>
      <c r="AF370">
        <v>0.62662047727271197</v>
      </c>
      <c r="AG370">
        <v>-5.0861633601529503E-2</v>
      </c>
      <c r="AH370">
        <v>-0.78237882820251703</v>
      </c>
      <c r="AI370">
        <v>0.214796414614388</v>
      </c>
      <c r="AJ370">
        <v>-0.31069922929803701</v>
      </c>
      <c r="AK370">
        <v>47.259622</v>
      </c>
      <c r="AL370">
        <v>-7.8518000000000004E-2</v>
      </c>
      <c r="AM370">
        <v>44.881222222222213</v>
      </c>
      <c r="AN370">
        <v>1.5128888888888889</v>
      </c>
    </row>
    <row r="371" spans="1:40" x14ac:dyDescent="0.35">
      <c r="A371">
        <v>485</v>
      </c>
      <c r="B371">
        <v>72</v>
      </c>
      <c r="C371" t="s">
        <v>40</v>
      </c>
      <c r="D371" t="s">
        <v>52</v>
      </c>
      <c r="E371" t="s">
        <v>42</v>
      </c>
      <c r="F371" t="s">
        <v>49</v>
      </c>
      <c r="G371">
        <v>5</v>
      </c>
      <c r="H371">
        <v>25</v>
      </c>
      <c r="I371">
        <v>6</v>
      </c>
      <c r="J371" t="s">
        <v>56</v>
      </c>
      <c r="K371" t="s">
        <v>46</v>
      </c>
      <c r="L371" t="s">
        <v>84</v>
      </c>
      <c r="M371">
        <v>565.2273878838555</v>
      </c>
      <c r="N371">
        <v>750</v>
      </c>
      <c r="O371">
        <v>461</v>
      </c>
      <c r="P371">
        <v>449</v>
      </c>
      <c r="Q371">
        <v>0</v>
      </c>
      <c r="R371">
        <v>0</v>
      </c>
      <c r="S371">
        <v>1.0986122886681098</v>
      </c>
      <c r="T371">
        <v>87.86666666666666</v>
      </c>
      <c r="U371">
        <v>0</v>
      </c>
      <c r="V371">
        <v>-1.08802880625812</v>
      </c>
      <c r="W371">
        <v>-0.92588439495074504</v>
      </c>
      <c r="X371">
        <v>-0.937742229627752</v>
      </c>
      <c r="Y371">
        <v>-5.88196171665821E-2</v>
      </c>
      <c r="Z371">
        <v>-0.53491435214143601</v>
      </c>
      <c r="AA371">
        <v>-0.88205577408398805</v>
      </c>
      <c r="AB371">
        <v>2688</v>
      </c>
      <c r="AC371">
        <v>1</v>
      </c>
      <c r="AD371">
        <v>0</v>
      </c>
      <c r="AE371">
        <v>-0.90912497987410801</v>
      </c>
      <c r="AF371">
        <v>0.26317495129928198</v>
      </c>
      <c r="AG371">
        <v>-1.54456476358547</v>
      </c>
      <c r="AH371">
        <v>-1.7424005969618901</v>
      </c>
      <c r="AI371">
        <v>-0.62462255201135897</v>
      </c>
      <c r="AJ371">
        <v>-1.12695968073743</v>
      </c>
      <c r="AK371">
        <v>45.760758000000003</v>
      </c>
      <c r="AL371">
        <v>5.6861470000000001</v>
      </c>
      <c r="AM371">
        <v>46.427499999999995</v>
      </c>
      <c r="AN371">
        <v>-1.5750000000000002</v>
      </c>
    </row>
    <row r="372" spans="1:40" x14ac:dyDescent="0.35">
      <c r="A372">
        <v>487</v>
      </c>
      <c r="B372">
        <v>72</v>
      </c>
      <c r="C372" t="s">
        <v>40</v>
      </c>
      <c r="D372" t="s">
        <v>52</v>
      </c>
      <c r="E372" t="s">
        <v>42</v>
      </c>
      <c r="F372" t="s">
        <v>49</v>
      </c>
      <c r="G372">
        <v>2</v>
      </c>
      <c r="H372">
        <v>4</v>
      </c>
      <c r="I372">
        <v>7</v>
      </c>
      <c r="J372" t="s">
        <v>56</v>
      </c>
      <c r="K372" t="s">
        <v>46</v>
      </c>
      <c r="L372" t="s">
        <v>55</v>
      </c>
      <c r="M372">
        <v>680.87158736463311</v>
      </c>
      <c r="N372">
        <v>907</v>
      </c>
      <c r="O372">
        <v>544</v>
      </c>
      <c r="P372">
        <v>466</v>
      </c>
      <c r="Q372">
        <v>2.0794415416798357</v>
      </c>
      <c r="R372">
        <v>2.3025850929940459</v>
      </c>
      <c r="S372">
        <v>3.2580965380214821</v>
      </c>
      <c r="T372">
        <v>95.12</v>
      </c>
      <c r="U372">
        <v>0</v>
      </c>
      <c r="V372">
        <v>1.89305099905856</v>
      </c>
      <c r="W372">
        <v>0.59880690621441701</v>
      </c>
      <c r="X372">
        <v>1.1856460040685599</v>
      </c>
      <c r="Y372">
        <v>-0.15565097555555901</v>
      </c>
      <c r="Z372">
        <v>-0.22748295097212001</v>
      </c>
      <c r="AA372">
        <v>1.0415013010201299</v>
      </c>
      <c r="AB372">
        <v>2939.9504036908884</v>
      </c>
      <c r="AC372">
        <v>2</v>
      </c>
      <c r="AD372">
        <v>0.42868127643214149</v>
      </c>
      <c r="AE372">
        <v>-2.40641039566141E-2</v>
      </c>
      <c r="AF372">
        <v>0.82100569757568098</v>
      </c>
      <c r="AG372">
        <v>0.13530523510846701</v>
      </c>
      <c r="AH372">
        <v>-0.174176412484598</v>
      </c>
      <c r="AI372">
        <v>0.25460748836073699</v>
      </c>
      <c r="AJ372">
        <v>-0.225647174893012</v>
      </c>
      <c r="AK372">
        <v>48.0777517</v>
      </c>
      <c r="AL372">
        <v>7.3579641000000002</v>
      </c>
      <c r="AM372">
        <v>45.913999999999994</v>
      </c>
      <c r="AN372">
        <v>-1.036</v>
      </c>
    </row>
    <row r="373" spans="1:40" x14ac:dyDescent="0.35">
      <c r="A373">
        <v>489</v>
      </c>
      <c r="B373">
        <v>57</v>
      </c>
      <c r="C373" t="s">
        <v>48</v>
      </c>
      <c r="D373" t="s">
        <v>52</v>
      </c>
      <c r="E373" t="s">
        <v>42</v>
      </c>
      <c r="F373" t="s">
        <v>43</v>
      </c>
      <c r="G373">
        <v>4</v>
      </c>
      <c r="H373">
        <v>16</v>
      </c>
      <c r="I373">
        <v>7</v>
      </c>
      <c r="J373" t="s">
        <v>50</v>
      </c>
      <c r="K373" t="s">
        <v>46</v>
      </c>
      <c r="L373" t="s">
        <v>71</v>
      </c>
      <c r="M373">
        <v>70.359705238665299</v>
      </c>
      <c r="N373">
        <v>49</v>
      </c>
      <c r="O373">
        <v>40</v>
      </c>
      <c r="P373">
        <v>313</v>
      </c>
      <c r="Q373">
        <v>4.5747109785033828</v>
      </c>
      <c r="R373">
        <v>3.5263605246161616</v>
      </c>
      <c r="S373">
        <v>5.1416635565026603</v>
      </c>
      <c r="T373">
        <v>92.265120976563693</v>
      </c>
      <c r="U373">
        <v>2.9351954657362995</v>
      </c>
      <c r="V373">
        <v>-8.3509539921858403E-2</v>
      </c>
      <c r="W373">
        <v>-8.6188355584626702E-2</v>
      </c>
      <c r="X373">
        <v>-6.2117403422328299E-2</v>
      </c>
      <c r="Y373">
        <v>-0.51135009403950604</v>
      </c>
      <c r="Z373">
        <v>-0.669554030021006</v>
      </c>
      <c r="AA373">
        <v>-1.4915282051312999</v>
      </c>
      <c r="AB373">
        <v>1813.5248996931791</v>
      </c>
      <c r="AC373">
        <v>1.6535284399339156</v>
      </c>
      <c r="AD373">
        <v>0.49421760679726223</v>
      </c>
      <c r="AE373">
        <v>-0.18520258641298501</v>
      </c>
      <c r="AF373">
        <v>0.72951551367867395</v>
      </c>
      <c r="AG373">
        <v>0.59998689400526095</v>
      </c>
      <c r="AH373">
        <v>-8.9943307480452303E-2</v>
      </c>
      <c r="AI373">
        <v>0.38429898151194603</v>
      </c>
      <c r="AJ373">
        <v>0.23275003985125201</v>
      </c>
      <c r="AK373">
        <v>45.071283999999999</v>
      </c>
      <c r="AL373">
        <v>4.8370730000000002</v>
      </c>
      <c r="AM373">
        <v>45.703256600000003</v>
      </c>
      <c r="AN373">
        <v>4.8228093999999997</v>
      </c>
    </row>
    <row r="374" spans="1:40" x14ac:dyDescent="0.35">
      <c r="A374">
        <v>490</v>
      </c>
      <c r="B374">
        <v>72</v>
      </c>
      <c r="C374" t="s">
        <v>40</v>
      </c>
      <c r="D374" t="s">
        <v>52</v>
      </c>
      <c r="E374" t="s">
        <v>42</v>
      </c>
      <c r="F374" t="s">
        <v>49</v>
      </c>
      <c r="G374">
        <v>6</v>
      </c>
      <c r="H374">
        <v>36</v>
      </c>
      <c r="I374">
        <v>6</v>
      </c>
      <c r="J374" t="s">
        <v>56</v>
      </c>
      <c r="K374" t="s">
        <v>46</v>
      </c>
      <c r="L374" t="s">
        <v>65</v>
      </c>
      <c r="M374">
        <v>701.61332024583737</v>
      </c>
      <c r="N374">
        <v>1001</v>
      </c>
      <c r="O374">
        <v>510</v>
      </c>
      <c r="P374">
        <v>464</v>
      </c>
      <c r="Q374">
        <v>0</v>
      </c>
      <c r="R374">
        <v>0</v>
      </c>
      <c r="S374">
        <v>4.4543472962535073</v>
      </c>
      <c r="T374">
        <v>89.333044733044744</v>
      </c>
      <c r="U374">
        <v>1.2554235437523662</v>
      </c>
      <c r="V374">
        <v>1.64975517953679</v>
      </c>
      <c r="W374">
        <v>2.4220969657957299</v>
      </c>
      <c r="X374">
        <v>1.68128863126442</v>
      </c>
      <c r="Y374">
        <v>2.0553398017137301</v>
      </c>
      <c r="Z374">
        <v>2.0921400018840099</v>
      </c>
      <c r="AA374">
        <v>2.0596698968962701</v>
      </c>
      <c r="AB374">
        <v>3262.71</v>
      </c>
      <c r="AC374">
        <v>0.33</v>
      </c>
      <c r="AD374">
        <v>0.66</v>
      </c>
      <c r="AE374">
        <v>1.9221838973381</v>
      </c>
      <c r="AF374">
        <v>-0.55332409446909803</v>
      </c>
      <c r="AG374">
        <v>0.11433733068427999</v>
      </c>
      <c r="AH374">
        <v>0.42646316676705298</v>
      </c>
      <c r="AI374">
        <v>-0.46180847014333498</v>
      </c>
      <c r="AJ374">
        <v>1.26884489551113</v>
      </c>
      <c r="AK374">
        <v>43.537466000000002</v>
      </c>
      <c r="AL374">
        <v>6.4627330000000001</v>
      </c>
      <c r="AM374">
        <v>47.503</v>
      </c>
      <c r="AN374">
        <v>-0.53700000000000003</v>
      </c>
    </row>
    <row r="375" spans="1:40" x14ac:dyDescent="0.35">
      <c r="A375">
        <v>491</v>
      </c>
      <c r="B375">
        <v>57</v>
      </c>
      <c r="C375" t="s">
        <v>40</v>
      </c>
      <c r="D375" t="s">
        <v>41</v>
      </c>
      <c r="E375" t="s">
        <v>42</v>
      </c>
      <c r="F375" t="s">
        <v>61</v>
      </c>
      <c r="G375">
        <v>6</v>
      </c>
      <c r="H375">
        <v>36</v>
      </c>
      <c r="I375">
        <v>6</v>
      </c>
      <c r="J375" t="s">
        <v>50</v>
      </c>
      <c r="K375" t="s">
        <v>46</v>
      </c>
      <c r="L375" t="s">
        <v>69</v>
      </c>
      <c r="M375">
        <v>210.24466624846769</v>
      </c>
      <c r="N375">
        <v>213</v>
      </c>
      <c r="O375">
        <v>130</v>
      </c>
      <c r="P375">
        <v>335</v>
      </c>
      <c r="Q375">
        <v>2.3978952727983707</v>
      </c>
      <c r="R375">
        <v>4.5538768916005408</v>
      </c>
      <c r="S375">
        <v>5.4847969334906548</v>
      </c>
      <c r="T375">
        <v>93.296000000000006</v>
      </c>
      <c r="U375">
        <v>2.2325431437911538</v>
      </c>
      <c r="V375">
        <v>-0.44922684044461197</v>
      </c>
      <c r="W375">
        <v>-0.76855194782346203</v>
      </c>
      <c r="X375">
        <v>-0.44700324392789598</v>
      </c>
      <c r="Y375">
        <v>-0.846122564821426</v>
      </c>
      <c r="Z375">
        <v>-0.92679578564836795</v>
      </c>
      <c r="AA375">
        <v>0.86332342905974202</v>
      </c>
      <c r="AB375">
        <v>2050</v>
      </c>
      <c r="AC375">
        <v>1</v>
      </c>
      <c r="AD375">
        <v>2</v>
      </c>
      <c r="AE375">
        <v>-0.51011828243844404</v>
      </c>
      <c r="AF375">
        <v>-0.11617257602103501</v>
      </c>
      <c r="AG375">
        <v>0.304751048175675</v>
      </c>
      <c r="AH375">
        <v>1.1638148640297901</v>
      </c>
      <c r="AI375">
        <v>0.39198243691079898</v>
      </c>
      <c r="AJ375">
        <v>1.1771559303322501</v>
      </c>
      <c r="AK375">
        <v>47.177235000000003</v>
      </c>
      <c r="AL375">
        <v>4.964315</v>
      </c>
      <c r="AM375">
        <v>48.468999999999994</v>
      </c>
      <c r="AN375">
        <v>7.0166666666666657</v>
      </c>
    </row>
    <row r="376" spans="1:40" x14ac:dyDescent="0.35">
      <c r="A376">
        <v>493</v>
      </c>
      <c r="B376">
        <v>57</v>
      </c>
      <c r="C376" t="s">
        <v>40</v>
      </c>
      <c r="D376" t="s">
        <v>66</v>
      </c>
      <c r="E376" t="s">
        <v>42</v>
      </c>
      <c r="F376" t="s">
        <v>43</v>
      </c>
      <c r="G376">
        <v>3</v>
      </c>
      <c r="H376">
        <v>9</v>
      </c>
      <c r="I376">
        <v>4</v>
      </c>
      <c r="J376" t="s">
        <v>45</v>
      </c>
      <c r="K376" t="s">
        <v>44</v>
      </c>
      <c r="L376" t="s">
        <v>62</v>
      </c>
      <c r="M376">
        <v>110.2010586797133</v>
      </c>
      <c r="N376">
        <v>137</v>
      </c>
      <c r="O376">
        <v>90</v>
      </c>
      <c r="P376">
        <v>116</v>
      </c>
      <c r="Q376">
        <v>0.69314718055994529</v>
      </c>
      <c r="R376">
        <v>3.2580965380214821</v>
      </c>
      <c r="S376">
        <v>3.2580965380214821</v>
      </c>
      <c r="T376">
        <v>95.68</v>
      </c>
      <c r="U376">
        <v>0</v>
      </c>
      <c r="V376">
        <v>1.82802042479695</v>
      </c>
      <c r="W376">
        <v>0.99424279543483596</v>
      </c>
      <c r="X376">
        <v>0.99177342203587404</v>
      </c>
      <c r="Y376">
        <v>-0.96278755162326501</v>
      </c>
      <c r="Z376">
        <v>-0.75605764486205096</v>
      </c>
      <c r="AA376">
        <v>-0.80037586101695801</v>
      </c>
      <c r="AB376">
        <v>2092.91</v>
      </c>
      <c r="AC376">
        <v>0</v>
      </c>
      <c r="AD376">
        <v>2.1</v>
      </c>
      <c r="AE376">
        <v>-1.0768626388726401</v>
      </c>
      <c r="AF376">
        <v>0.85085268372301903</v>
      </c>
      <c r="AG376">
        <v>1.10828273239776</v>
      </c>
      <c r="AH376">
        <v>-0.18040233351966201</v>
      </c>
      <c r="AI376">
        <v>0.72481744705100004</v>
      </c>
      <c r="AJ376">
        <v>-2.59642363695525</v>
      </c>
      <c r="AK376">
        <v>49.042560999999999</v>
      </c>
      <c r="AL376">
        <v>3.9528660000000002</v>
      </c>
      <c r="AM376">
        <v>48.850999999999999</v>
      </c>
      <c r="AN376">
        <v>2.4740000000000002</v>
      </c>
    </row>
    <row r="377" spans="1:40" x14ac:dyDescent="0.35">
      <c r="A377">
        <v>494</v>
      </c>
      <c r="B377">
        <v>42</v>
      </c>
      <c r="C377" t="s">
        <v>40</v>
      </c>
      <c r="D377" t="s">
        <v>41</v>
      </c>
      <c r="E377" t="s">
        <v>42</v>
      </c>
      <c r="F377" t="s">
        <v>61</v>
      </c>
      <c r="G377">
        <v>6</v>
      </c>
      <c r="H377">
        <v>36</v>
      </c>
      <c r="I377">
        <v>5</v>
      </c>
      <c r="J377" t="s">
        <v>56</v>
      </c>
      <c r="K377" t="s">
        <v>46</v>
      </c>
      <c r="L377" t="s">
        <v>55</v>
      </c>
      <c r="M377">
        <v>53.404985531974248</v>
      </c>
      <c r="N377">
        <v>73</v>
      </c>
      <c r="O377">
        <v>61</v>
      </c>
      <c r="P377">
        <v>30</v>
      </c>
      <c r="Q377">
        <v>2.0794415416798357</v>
      </c>
      <c r="R377">
        <v>2.3025850929940459</v>
      </c>
      <c r="S377">
        <v>3.2580965380214821</v>
      </c>
      <c r="T377">
        <v>95.12</v>
      </c>
      <c r="U377">
        <v>0</v>
      </c>
      <c r="V377">
        <v>1.89305099905856</v>
      </c>
      <c r="W377">
        <v>0.59880690621441701</v>
      </c>
      <c r="X377">
        <v>1.1856460040685599</v>
      </c>
      <c r="Y377">
        <v>-0.15565097555555901</v>
      </c>
      <c r="Z377">
        <v>-0.22748295097212001</v>
      </c>
      <c r="AA377">
        <v>1.0415013010201299</v>
      </c>
      <c r="AB377">
        <v>2939.9504036908884</v>
      </c>
      <c r="AC377">
        <v>2</v>
      </c>
      <c r="AD377">
        <v>0.42868127643214149</v>
      </c>
      <c r="AE377">
        <v>-2.40641039566141E-2</v>
      </c>
      <c r="AF377">
        <v>0.264809007366127</v>
      </c>
      <c r="AG377">
        <v>0.213171712658909</v>
      </c>
      <c r="AH377">
        <v>4.5556937857008102E-2</v>
      </c>
      <c r="AI377">
        <v>-0.77944775205584704</v>
      </c>
      <c r="AJ377">
        <v>0.32322104920425598</v>
      </c>
      <c r="AK377">
        <v>48.0777517</v>
      </c>
      <c r="AL377">
        <v>7.3579641000000002</v>
      </c>
      <c r="AM377">
        <v>48.514000000000003</v>
      </c>
      <c r="AN377">
        <v>7.6580000000000004</v>
      </c>
    </row>
    <row r="378" spans="1:40" x14ac:dyDescent="0.35">
      <c r="A378">
        <v>496</v>
      </c>
      <c r="B378">
        <v>72</v>
      </c>
      <c r="C378" t="s">
        <v>40</v>
      </c>
      <c r="D378" t="s">
        <v>52</v>
      </c>
      <c r="E378" t="s">
        <v>68</v>
      </c>
      <c r="F378" t="s">
        <v>49</v>
      </c>
      <c r="G378">
        <v>6</v>
      </c>
      <c r="H378">
        <v>36</v>
      </c>
      <c r="I378">
        <v>7</v>
      </c>
      <c r="J378" t="s">
        <v>56</v>
      </c>
      <c r="K378" t="s">
        <v>44</v>
      </c>
      <c r="L378" t="s">
        <v>60</v>
      </c>
      <c r="M378">
        <v>733.1172243891192</v>
      </c>
      <c r="N378">
        <v>927</v>
      </c>
      <c r="O378">
        <v>564</v>
      </c>
      <c r="P378">
        <v>468</v>
      </c>
      <c r="Q378">
        <v>3.8501476017100584</v>
      </c>
      <c r="R378">
        <v>2.9957322735539909</v>
      </c>
      <c r="S378">
        <v>5.4424177105217932</v>
      </c>
      <c r="T378">
        <v>88.975873222691746</v>
      </c>
      <c r="U378">
        <v>2.5514539469641888</v>
      </c>
      <c r="V378">
        <v>2.9336799326863701</v>
      </c>
      <c r="W378">
        <v>3.3730943146768602</v>
      </c>
      <c r="X378">
        <v>3.6072071704345601</v>
      </c>
      <c r="Y378">
        <v>-0.19189497559235799</v>
      </c>
      <c r="Z378">
        <v>0.17569111512999699</v>
      </c>
      <c r="AA378">
        <v>-0.304970615080496</v>
      </c>
      <c r="AB378">
        <v>1906.836709612184</v>
      </c>
      <c r="AC378">
        <v>0.7978420820676605</v>
      </c>
      <c r="AD378">
        <v>2.1056638128240834</v>
      </c>
      <c r="AE378">
        <v>-0.25037207080954499</v>
      </c>
      <c r="AF378">
        <v>-0.150360842888447</v>
      </c>
      <c r="AG378">
        <v>1.0832974402542199</v>
      </c>
      <c r="AH378">
        <v>-1.1826773273401E-2</v>
      </c>
      <c r="AI378">
        <v>1.05602410068773</v>
      </c>
      <c r="AJ378">
        <v>-1.1688973242411</v>
      </c>
      <c r="AK378">
        <v>44.055988999999997</v>
      </c>
      <c r="AL378">
        <v>4.8317350000000001</v>
      </c>
      <c r="AM378">
        <v>50.640682937000001</v>
      </c>
      <c r="AN378">
        <v>4.6610704270000003</v>
      </c>
    </row>
    <row r="379" spans="1:40" x14ac:dyDescent="0.35">
      <c r="A379">
        <v>497</v>
      </c>
      <c r="B379">
        <v>57</v>
      </c>
      <c r="C379" t="s">
        <v>48</v>
      </c>
      <c r="D379" t="s">
        <v>66</v>
      </c>
      <c r="E379" t="s">
        <v>42</v>
      </c>
      <c r="F379" t="s">
        <v>49</v>
      </c>
      <c r="G379">
        <v>5</v>
      </c>
      <c r="H379">
        <v>25</v>
      </c>
      <c r="I379">
        <v>2</v>
      </c>
      <c r="J379" t="s">
        <v>45</v>
      </c>
      <c r="K379" t="s">
        <v>46</v>
      </c>
      <c r="L379" t="s">
        <v>62</v>
      </c>
      <c r="M379">
        <v>118.81389814254101</v>
      </c>
      <c r="N379">
        <v>143</v>
      </c>
      <c r="O379">
        <v>100</v>
      </c>
      <c r="P379">
        <v>80</v>
      </c>
      <c r="Q379">
        <v>0.69314718055994529</v>
      </c>
      <c r="R379">
        <v>3.2580965380214821</v>
      </c>
      <c r="S379">
        <v>3.2580965380214821</v>
      </c>
      <c r="T379">
        <v>95.68</v>
      </c>
      <c r="U379">
        <v>0</v>
      </c>
      <c r="V379">
        <v>1.82802042479695</v>
      </c>
      <c r="W379">
        <v>0.99424279543483596</v>
      </c>
      <c r="X379">
        <v>0.99177342203587404</v>
      </c>
      <c r="Y379">
        <v>-0.96278755162326501</v>
      </c>
      <c r="Z379">
        <v>-0.75605764486205096</v>
      </c>
      <c r="AA379">
        <v>-0.80037586101695801</v>
      </c>
      <c r="AB379">
        <v>2092.91</v>
      </c>
      <c r="AC379">
        <v>0</v>
      </c>
      <c r="AD379">
        <v>2.1</v>
      </c>
      <c r="AE379">
        <v>-1.0768626388726401</v>
      </c>
      <c r="AF379">
        <v>1.5460613518814501</v>
      </c>
      <c r="AG379">
        <v>1.0797383975188599</v>
      </c>
      <c r="AH379">
        <v>0.82580291285532803</v>
      </c>
      <c r="AI379">
        <v>1.90061386832582</v>
      </c>
      <c r="AJ379">
        <v>-1.3764816839338201</v>
      </c>
      <c r="AK379">
        <v>49.042560999999999</v>
      </c>
      <c r="AL379">
        <v>3.9528660000000002</v>
      </c>
      <c r="AM379">
        <v>48.856372813999997</v>
      </c>
      <c r="AN379">
        <v>2.3525296170000001</v>
      </c>
    </row>
    <row r="380" spans="1:40" x14ac:dyDescent="0.35">
      <c r="A380">
        <v>498</v>
      </c>
      <c r="B380">
        <v>57</v>
      </c>
      <c r="C380" t="s">
        <v>40</v>
      </c>
      <c r="D380" t="s">
        <v>41</v>
      </c>
      <c r="E380" t="s">
        <v>42</v>
      </c>
      <c r="F380" t="s">
        <v>49</v>
      </c>
      <c r="G380">
        <v>3</v>
      </c>
      <c r="H380">
        <v>9</v>
      </c>
      <c r="I380">
        <v>7</v>
      </c>
      <c r="J380" t="s">
        <v>45</v>
      </c>
      <c r="K380" t="s">
        <v>46</v>
      </c>
      <c r="L380" t="s">
        <v>47</v>
      </c>
      <c r="M380">
        <v>317.43373390929759</v>
      </c>
      <c r="N380">
        <v>451</v>
      </c>
      <c r="O380">
        <v>276</v>
      </c>
      <c r="P380">
        <v>364</v>
      </c>
      <c r="Q380">
        <v>5.9107966440405271</v>
      </c>
      <c r="R380">
        <v>6.4997870406558542</v>
      </c>
      <c r="S380">
        <v>8.6415324656718457</v>
      </c>
      <c r="T380">
        <v>89.265350482850479</v>
      </c>
      <c r="U380">
        <v>1.4417786561042019</v>
      </c>
      <c r="V380">
        <v>-0.22886708829074301</v>
      </c>
      <c r="W380">
        <v>0.28745285629339301</v>
      </c>
      <c r="X380">
        <v>-0.15627425222847</v>
      </c>
      <c r="Y380">
        <v>1.45226138127617</v>
      </c>
      <c r="Z380">
        <v>0.98247225355557</v>
      </c>
      <c r="AA380">
        <v>0.627775520474398</v>
      </c>
      <c r="AB380">
        <v>3362.2959371744532</v>
      </c>
      <c r="AC380">
        <v>2.8998317172850387</v>
      </c>
      <c r="AD380">
        <v>2.9499158586425196</v>
      </c>
      <c r="AE380">
        <v>1.06273170356322</v>
      </c>
      <c r="AF380">
        <v>-2.1326024856461698</v>
      </c>
      <c r="AG380">
        <v>1.81125123140828</v>
      </c>
      <c r="AH380">
        <v>0.32050137428900299</v>
      </c>
      <c r="AI380">
        <v>-0.99978129028441587</v>
      </c>
      <c r="AJ380">
        <v>0.59331713053193402</v>
      </c>
      <c r="AK380">
        <v>43.3535629403058</v>
      </c>
      <c r="AL380">
        <v>3.21615314793977</v>
      </c>
      <c r="AM380">
        <v>45.530562500000002</v>
      </c>
      <c r="AN380">
        <v>0.6358125</v>
      </c>
    </row>
    <row r="381" spans="1:40" x14ac:dyDescent="0.35">
      <c r="A381">
        <v>500</v>
      </c>
      <c r="B381">
        <v>72</v>
      </c>
      <c r="C381" t="s">
        <v>48</v>
      </c>
      <c r="D381" t="s">
        <v>52</v>
      </c>
      <c r="E381" t="s">
        <v>42</v>
      </c>
      <c r="F381" t="s">
        <v>49</v>
      </c>
      <c r="G381">
        <v>6</v>
      </c>
      <c r="H381">
        <v>36</v>
      </c>
      <c r="I381">
        <v>7</v>
      </c>
      <c r="J381" t="s">
        <v>50</v>
      </c>
      <c r="K381" t="s">
        <v>46</v>
      </c>
      <c r="L381" t="s">
        <v>71</v>
      </c>
      <c r="M381">
        <v>555.61555612465145</v>
      </c>
      <c r="N381">
        <v>653</v>
      </c>
      <c r="O381">
        <v>330</v>
      </c>
      <c r="P381">
        <v>343</v>
      </c>
      <c r="Q381">
        <v>4.5747109785033828</v>
      </c>
      <c r="R381">
        <v>3.5263605246161616</v>
      </c>
      <c r="S381">
        <v>5.1416635565026603</v>
      </c>
      <c r="T381">
        <v>92.265120976563693</v>
      </c>
      <c r="U381">
        <v>2.9351954657362995</v>
      </c>
      <c r="V381">
        <v>-8.3509539921858403E-2</v>
      </c>
      <c r="W381">
        <v>-8.6188355584626702E-2</v>
      </c>
      <c r="X381">
        <v>-6.2117403422328299E-2</v>
      </c>
      <c r="Y381">
        <v>-0.51135009403950604</v>
      </c>
      <c r="Z381">
        <v>-0.669554030021006</v>
      </c>
      <c r="AA381">
        <v>-1.4915282051312999</v>
      </c>
      <c r="AB381">
        <v>1813.5248996931791</v>
      </c>
      <c r="AC381">
        <v>1.6535284399339156</v>
      </c>
      <c r="AD381">
        <v>0.49421760679726223</v>
      </c>
      <c r="AE381">
        <v>-0.18520258641298501</v>
      </c>
      <c r="AF381">
        <v>-3.7583348118120197E-2</v>
      </c>
      <c r="AG381">
        <v>-1.08610752370138</v>
      </c>
      <c r="AH381">
        <v>-0.280515262247714</v>
      </c>
      <c r="AI381">
        <v>-0.69135535288505878</v>
      </c>
      <c r="AJ381">
        <v>3.1997137594610097</v>
      </c>
      <c r="AK381">
        <v>45.071283999999999</v>
      </c>
      <c r="AL381">
        <v>4.8370730000000002</v>
      </c>
      <c r="AM381">
        <v>49.028285714285722</v>
      </c>
      <c r="AN381">
        <v>0.36785714285714283</v>
      </c>
    </row>
    <row r="382" spans="1:40" x14ac:dyDescent="0.35">
      <c r="A382">
        <v>501</v>
      </c>
      <c r="B382">
        <v>72</v>
      </c>
      <c r="C382" t="s">
        <v>40</v>
      </c>
      <c r="D382" t="s">
        <v>52</v>
      </c>
      <c r="E382" t="s">
        <v>42</v>
      </c>
      <c r="F382" t="s">
        <v>43</v>
      </c>
      <c r="G382">
        <v>5</v>
      </c>
      <c r="H382">
        <v>25</v>
      </c>
      <c r="I382">
        <v>6</v>
      </c>
      <c r="J382" t="s">
        <v>50</v>
      </c>
      <c r="K382" t="s">
        <v>46</v>
      </c>
      <c r="L382" t="s">
        <v>70</v>
      </c>
      <c r="M382">
        <v>131.61083607929899</v>
      </c>
      <c r="N382">
        <v>146</v>
      </c>
      <c r="O382">
        <v>90</v>
      </c>
      <c r="P382">
        <v>137</v>
      </c>
      <c r="Q382">
        <v>0</v>
      </c>
      <c r="R382">
        <v>0</v>
      </c>
      <c r="S382">
        <v>5.3230099791384085</v>
      </c>
      <c r="T382">
        <v>90.615999999999985</v>
      </c>
      <c r="U382">
        <v>1.11573792223403</v>
      </c>
      <c r="V382">
        <v>0.80288722813325297</v>
      </c>
      <c r="W382">
        <v>0.52082154240315903</v>
      </c>
      <c r="X382">
        <v>0.61908815691345198</v>
      </c>
      <c r="Y382">
        <v>1.5007680231051199</v>
      </c>
      <c r="Z382">
        <v>0.24292628533916899</v>
      </c>
      <c r="AA382">
        <v>8.5217386942517098E-2</v>
      </c>
      <c r="AB382">
        <v>3943</v>
      </c>
      <c r="AC382">
        <v>0</v>
      </c>
      <c r="AD382">
        <v>1</v>
      </c>
      <c r="AE382">
        <v>1.1088815174583</v>
      </c>
      <c r="AF382">
        <v>1.00417808040832</v>
      </c>
      <c r="AG382">
        <v>-0.95088868272624105</v>
      </c>
      <c r="AH382">
        <v>0.34822158980243001</v>
      </c>
      <c r="AI382">
        <v>1.42740902928016</v>
      </c>
      <c r="AJ382">
        <v>0.32737939214497302</v>
      </c>
      <c r="AK382">
        <v>46.098678999999997</v>
      </c>
      <c r="AL382">
        <v>4.7359530000000003</v>
      </c>
      <c r="AM382">
        <v>44.923000000000002</v>
      </c>
      <c r="AN382">
        <v>4.9139999999999997</v>
      </c>
    </row>
    <row r="383" spans="1:40" x14ac:dyDescent="0.35">
      <c r="A383">
        <v>503</v>
      </c>
      <c r="B383">
        <v>72</v>
      </c>
      <c r="C383" t="s">
        <v>48</v>
      </c>
      <c r="D383" t="s">
        <v>52</v>
      </c>
      <c r="E383" t="s">
        <v>42</v>
      </c>
      <c r="F383" t="s">
        <v>43</v>
      </c>
      <c r="G383">
        <v>5</v>
      </c>
      <c r="H383">
        <v>25</v>
      </c>
      <c r="I383">
        <v>5</v>
      </c>
      <c r="J383" t="s">
        <v>50</v>
      </c>
      <c r="K383" t="s">
        <v>46</v>
      </c>
      <c r="L383" t="s">
        <v>69</v>
      </c>
      <c r="M383">
        <v>29.16566542233997</v>
      </c>
      <c r="N383">
        <v>24</v>
      </c>
      <c r="O383">
        <v>35</v>
      </c>
      <c r="P383">
        <v>13</v>
      </c>
      <c r="Q383">
        <v>2.3978952727983707</v>
      </c>
      <c r="R383">
        <v>4.5538768916005408</v>
      </c>
      <c r="S383">
        <v>5.4847969334906548</v>
      </c>
      <c r="T383">
        <v>93.296000000000006</v>
      </c>
      <c r="U383">
        <v>2.2325431437911538</v>
      </c>
      <c r="V383">
        <v>-0.44922684044461197</v>
      </c>
      <c r="W383">
        <v>-0.76855194782346203</v>
      </c>
      <c r="X383">
        <v>-0.44700324392789598</v>
      </c>
      <c r="Y383">
        <v>-0.846122564821426</v>
      </c>
      <c r="Z383">
        <v>-0.92679578564836795</v>
      </c>
      <c r="AA383">
        <v>0.86332342905974202</v>
      </c>
      <c r="AB383">
        <v>2050</v>
      </c>
      <c r="AC383">
        <v>1</v>
      </c>
      <c r="AD383">
        <v>2</v>
      </c>
      <c r="AE383">
        <v>-0.51011828243844404</v>
      </c>
      <c r="AF383">
        <v>-0.63413756845720404</v>
      </c>
      <c r="AG383">
        <v>-0.75529838477900102</v>
      </c>
      <c r="AH383">
        <v>0.96286720612496501</v>
      </c>
      <c r="AI383">
        <v>0.36609589737699999</v>
      </c>
      <c r="AJ383">
        <v>0.89773894461477999</v>
      </c>
      <c r="AK383">
        <v>47.177235000000003</v>
      </c>
      <c r="AL383">
        <v>4.964315</v>
      </c>
      <c r="AM383">
        <v>47.436428571428564</v>
      </c>
      <c r="AN383">
        <v>5.0207142857142859</v>
      </c>
    </row>
    <row r="384" spans="1:40" x14ac:dyDescent="0.35">
      <c r="A384">
        <v>505</v>
      </c>
      <c r="B384">
        <v>42</v>
      </c>
      <c r="C384" t="s">
        <v>40</v>
      </c>
      <c r="D384" t="s">
        <v>66</v>
      </c>
      <c r="E384" t="s">
        <v>42</v>
      </c>
      <c r="F384" t="s">
        <v>53</v>
      </c>
      <c r="G384">
        <v>5</v>
      </c>
      <c r="H384">
        <v>25</v>
      </c>
      <c r="I384">
        <v>5</v>
      </c>
      <c r="J384" t="s">
        <v>50</v>
      </c>
      <c r="K384" t="s">
        <v>46</v>
      </c>
      <c r="L384" t="s">
        <v>69</v>
      </c>
      <c r="M384">
        <v>253.6888819427279</v>
      </c>
      <c r="N384">
        <v>303</v>
      </c>
      <c r="O384">
        <v>150</v>
      </c>
      <c r="P384">
        <v>170</v>
      </c>
      <c r="Q384">
        <v>2.3978952727983707</v>
      </c>
      <c r="R384">
        <v>4.5538768916005408</v>
      </c>
      <c r="S384">
        <v>5.4847969334906548</v>
      </c>
      <c r="T384">
        <v>93.296000000000006</v>
      </c>
      <c r="U384">
        <v>2.2325431437911538</v>
      </c>
      <c r="V384">
        <v>-0.44922684044461197</v>
      </c>
      <c r="W384">
        <v>-0.76855194782346203</v>
      </c>
      <c r="X384">
        <v>-0.44700324392789598</v>
      </c>
      <c r="Y384">
        <v>-0.846122564821426</v>
      </c>
      <c r="Z384">
        <v>-0.92679578564836795</v>
      </c>
      <c r="AA384">
        <v>0.86332342905974202</v>
      </c>
      <c r="AB384">
        <v>2050</v>
      </c>
      <c r="AC384">
        <v>1</v>
      </c>
      <c r="AD384">
        <v>2</v>
      </c>
      <c r="AE384">
        <v>-0.51011828243844404</v>
      </c>
      <c r="AF384">
        <v>1.4264420820658601</v>
      </c>
      <c r="AG384">
        <v>-1.4781436399911501</v>
      </c>
      <c r="AH384">
        <v>-0.33929659226254999</v>
      </c>
      <c r="AI384">
        <v>0.43361226882577097</v>
      </c>
      <c r="AJ384">
        <v>0.24771518534144699</v>
      </c>
      <c r="AK384">
        <v>47.177235000000003</v>
      </c>
      <c r="AL384">
        <v>4.964315</v>
      </c>
      <c r="AM384">
        <v>48.881714285714295</v>
      </c>
      <c r="AN384">
        <v>2.7018571428571438</v>
      </c>
    </row>
    <row r="385" spans="1:40" x14ac:dyDescent="0.35">
      <c r="A385">
        <v>506</v>
      </c>
      <c r="B385">
        <v>72</v>
      </c>
      <c r="C385" t="s">
        <v>40</v>
      </c>
      <c r="D385" t="s">
        <v>52</v>
      </c>
      <c r="E385" t="s">
        <v>42</v>
      </c>
      <c r="F385" t="s">
        <v>49</v>
      </c>
      <c r="G385">
        <v>6</v>
      </c>
      <c r="H385">
        <v>36</v>
      </c>
      <c r="I385">
        <v>6</v>
      </c>
      <c r="J385" t="s">
        <v>50</v>
      </c>
      <c r="K385" t="s">
        <v>46</v>
      </c>
      <c r="L385" t="s">
        <v>76</v>
      </c>
      <c r="M385">
        <v>3.0739071658957529</v>
      </c>
      <c r="N385">
        <v>54</v>
      </c>
      <c r="O385">
        <v>59</v>
      </c>
      <c r="P385">
        <v>89</v>
      </c>
      <c r="Q385">
        <v>0</v>
      </c>
      <c r="R385">
        <v>1.0986122886681098</v>
      </c>
      <c r="S385">
        <v>4.1588830833596715</v>
      </c>
      <c r="T385">
        <v>91.226666666666674</v>
      </c>
      <c r="U385">
        <v>1.418823059726001</v>
      </c>
      <c r="V385">
        <v>-0.39095273818515502</v>
      </c>
      <c r="W385">
        <v>-0.53446083104759001</v>
      </c>
      <c r="X385">
        <v>-0.40804429067029002</v>
      </c>
      <c r="Y385">
        <v>-0.56789545922357498</v>
      </c>
      <c r="Z385">
        <v>-0.94760790482486201</v>
      </c>
      <c r="AA385">
        <v>-1.0848673571571601</v>
      </c>
      <c r="AB385">
        <v>1770.5103102717287</v>
      </c>
      <c r="AC385">
        <v>0.28213528618230871</v>
      </c>
      <c r="AD385">
        <v>1.7130468298323378</v>
      </c>
      <c r="AE385">
        <v>-1.13486126839574</v>
      </c>
      <c r="AF385">
        <v>1.16698958671191</v>
      </c>
      <c r="AG385">
        <v>-2.6495163904121801</v>
      </c>
      <c r="AH385">
        <v>1.23480676316326</v>
      </c>
      <c r="AI385">
        <v>1.0988961818473899</v>
      </c>
      <c r="AJ385">
        <v>-0.24724923115705899</v>
      </c>
      <c r="AK385">
        <v>47.330690599999997</v>
      </c>
      <c r="AL385">
        <v>2.8390453999999998</v>
      </c>
      <c r="AM385">
        <v>47.306222222222218</v>
      </c>
      <c r="AN385">
        <v>2.8201666666666672</v>
      </c>
    </row>
    <row r="386" spans="1:40" x14ac:dyDescent="0.35">
      <c r="A386">
        <v>507</v>
      </c>
      <c r="B386">
        <v>57</v>
      </c>
      <c r="C386" t="s">
        <v>40</v>
      </c>
      <c r="D386" t="s">
        <v>52</v>
      </c>
      <c r="E386" t="s">
        <v>42</v>
      </c>
      <c r="F386" t="s">
        <v>49</v>
      </c>
      <c r="G386">
        <v>5</v>
      </c>
      <c r="H386">
        <v>25</v>
      </c>
      <c r="I386">
        <v>6</v>
      </c>
      <c r="J386" t="s">
        <v>50</v>
      </c>
      <c r="K386" t="s">
        <v>46</v>
      </c>
      <c r="L386" t="s">
        <v>71</v>
      </c>
      <c r="M386">
        <v>126.8918061790129</v>
      </c>
      <c r="N386">
        <v>64</v>
      </c>
      <c r="O386">
        <v>45</v>
      </c>
      <c r="P386">
        <v>80</v>
      </c>
      <c r="Q386">
        <v>4.5747109785033828</v>
      </c>
      <c r="R386">
        <v>3.5263605246161616</v>
      </c>
      <c r="S386">
        <v>5.1416635565026603</v>
      </c>
      <c r="T386">
        <v>92.265120976563693</v>
      </c>
      <c r="U386">
        <v>2.9351954657362995</v>
      </c>
      <c r="V386">
        <v>-8.3509539921858403E-2</v>
      </c>
      <c r="W386">
        <v>-8.6188355584626702E-2</v>
      </c>
      <c r="X386">
        <v>-6.2117403422328299E-2</v>
      </c>
      <c r="Y386">
        <v>-0.51135009403950604</v>
      </c>
      <c r="Z386">
        <v>-0.669554030021006</v>
      </c>
      <c r="AA386">
        <v>-1.4915282051312999</v>
      </c>
      <c r="AB386">
        <v>1813.5248996931791</v>
      </c>
      <c r="AC386">
        <v>1.6535284399339156</v>
      </c>
      <c r="AD386">
        <v>0.49421760679726223</v>
      </c>
      <c r="AE386">
        <v>-0.18520258641298501</v>
      </c>
      <c r="AF386">
        <v>0.52045623385862205</v>
      </c>
      <c r="AG386">
        <v>-0.792928324246434</v>
      </c>
      <c r="AH386">
        <v>-0.11097071659622</v>
      </c>
      <c r="AI386">
        <v>-0.35080149822263301</v>
      </c>
      <c r="AJ386">
        <v>-0.94843401517160197</v>
      </c>
      <c r="AK386">
        <v>45.071283999999999</v>
      </c>
      <c r="AL386">
        <v>4.8370730000000002</v>
      </c>
      <c r="AM386">
        <v>46.099299999999992</v>
      </c>
      <c r="AN386">
        <v>5.5407999999999999</v>
      </c>
    </row>
    <row r="387" spans="1:40" x14ac:dyDescent="0.35">
      <c r="A387">
        <v>508</v>
      </c>
      <c r="B387">
        <v>57</v>
      </c>
      <c r="C387" t="s">
        <v>40</v>
      </c>
      <c r="D387" t="s">
        <v>41</v>
      </c>
      <c r="E387" t="s">
        <v>42</v>
      </c>
      <c r="F387" t="s">
        <v>49</v>
      </c>
      <c r="G387">
        <v>5</v>
      </c>
      <c r="H387">
        <v>25</v>
      </c>
      <c r="I387">
        <v>5</v>
      </c>
      <c r="J387" t="s">
        <v>50</v>
      </c>
      <c r="K387" t="s">
        <v>46</v>
      </c>
      <c r="L387" t="s">
        <v>55</v>
      </c>
      <c r="M387">
        <v>62.737498289962559</v>
      </c>
      <c r="N387">
        <v>73</v>
      </c>
      <c r="O387">
        <v>61</v>
      </c>
      <c r="P387">
        <v>30</v>
      </c>
      <c r="Q387">
        <v>2.0794415416798357</v>
      </c>
      <c r="R387">
        <v>2.3025850929940459</v>
      </c>
      <c r="S387">
        <v>3.2580965380214821</v>
      </c>
      <c r="T387">
        <v>95.12</v>
      </c>
      <c r="U387">
        <v>0</v>
      </c>
      <c r="V387">
        <v>1.89305099905856</v>
      </c>
      <c r="W387">
        <v>0.59880690621441701</v>
      </c>
      <c r="X387">
        <v>1.1856460040685599</v>
      </c>
      <c r="Y387">
        <v>-0.15565097555555901</v>
      </c>
      <c r="Z387">
        <v>-0.22748295097212001</v>
      </c>
      <c r="AA387">
        <v>1.0415013010201299</v>
      </c>
      <c r="AB387">
        <v>2939.9504036908884</v>
      </c>
      <c r="AC387">
        <v>2</v>
      </c>
      <c r="AD387">
        <v>0.42868127643214149</v>
      </c>
      <c r="AE387">
        <v>-2.40641039566141E-2</v>
      </c>
      <c r="AF387">
        <v>-0.40655274404109498</v>
      </c>
      <c r="AG387">
        <v>-0.27249893761704502</v>
      </c>
      <c r="AH387">
        <v>-0.61299122029055997</v>
      </c>
      <c r="AI387">
        <v>-1.16178645117502</v>
      </c>
      <c r="AJ387">
        <v>-0.104777609604254</v>
      </c>
      <c r="AK387">
        <v>48.0777517</v>
      </c>
      <c r="AL387">
        <v>7.3579641000000002</v>
      </c>
      <c r="AM387">
        <v>48.570999999999998</v>
      </c>
      <c r="AN387">
        <v>7.7679999999999998</v>
      </c>
    </row>
    <row r="388" spans="1:40" x14ac:dyDescent="0.35">
      <c r="A388">
        <v>509</v>
      </c>
      <c r="B388">
        <v>57</v>
      </c>
      <c r="C388" t="s">
        <v>40</v>
      </c>
      <c r="D388" t="s">
        <v>41</v>
      </c>
      <c r="E388" t="s">
        <v>42</v>
      </c>
      <c r="F388" t="s">
        <v>49</v>
      </c>
      <c r="G388">
        <v>4</v>
      </c>
      <c r="H388">
        <v>16</v>
      </c>
      <c r="I388">
        <v>5</v>
      </c>
      <c r="J388" t="s">
        <v>56</v>
      </c>
      <c r="K388" t="s">
        <v>46</v>
      </c>
      <c r="L388" t="s">
        <v>51</v>
      </c>
      <c r="M388">
        <v>160.91688155694919</v>
      </c>
      <c r="N388">
        <v>160</v>
      </c>
      <c r="O388">
        <v>126</v>
      </c>
      <c r="P388">
        <v>355</v>
      </c>
      <c r="Q388">
        <v>0</v>
      </c>
      <c r="R388">
        <v>1.3862943611198906</v>
      </c>
      <c r="S388">
        <v>4.3438054218536841</v>
      </c>
      <c r="T388">
        <v>91.16</v>
      </c>
      <c r="U388">
        <v>2.3174698847378039</v>
      </c>
      <c r="V388">
        <v>-0.58471966768986094</v>
      </c>
      <c r="W388">
        <v>-0.55557078097057</v>
      </c>
      <c r="X388">
        <v>-0.47566183223429498</v>
      </c>
      <c r="Y388">
        <v>-0.95884680312505799</v>
      </c>
      <c r="Z388">
        <v>-0.76521334103430205</v>
      </c>
      <c r="AA388">
        <v>-0.77245900699560299</v>
      </c>
      <c r="AB388">
        <v>1376</v>
      </c>
      <c r="AC388">
        <v>0</v>
      </c>
      <c r="AD388">
        <v>2</v>
      </c>
      <c r="AE388">
        <v>-1.2769936012368599</v>
      </c>
      <c r="AF388">
        <v>0.37755031500390901</v>
      </c>
      <c r="AG388">
        <v>-0.27876732641097601</v>
      </c>
      <c r="AH388">
        <v>-1.3260919796080299</v>
      </c>
      <c r="AI388">
        <v>2.7399415710731401E-2</v>
      </c>
      <c r="AJ388">
        <v>0.79775285206603896</v>
      </c>
      <c r="AK388">
        <v>47.815207299999997</v>
      </c>
      <c r="AL388">
        <v>3.8001657</v>
      </c>
      <c r="AM388">
        <v>49.252000000000002</v>
      </c>
      <c r="AN388">
        <v>4.04</v>
      </c>
    </row>
    <row r="389" spans="1:40" x14ac:dyDescent="0.35">
      <c r="A389">
        <v>510</v>
      </c>
      <c r="B389">
        <v>57</v>
      </c>
      <c r="C389" t="s">
        <v>40</v>
      </c>
      <c r="D389" t="s">
        <v>41</v>
      </c>
      <c r="E389" t="s">
        <v>42</v>
      </c>
      <c r="F389" t="s">
        <v>43</v>
      </c>
      <c r="G389">
        <v>4</v>
      </c>
      <c r="H389">
        <v>16</v>
      </c>
      <c r="I389">
        <v>6</v>
      </c>
      <c r="J389" t="s">
        <v>56</v>
      </c>
      <c r="K389" t="s">
        <v>46</v>
      </c>
      <c r="L389" t="s">
        <v>72</v>
      </c>
      <c r="M389">
        <v>180.10347816479751</v>
      </c>
      <c r="N389">
        <v>306</v>
      </c>
      <c r="O389">
        <v>203</v>
      </c>
      <c r="P389">
        <v>254</v>
      </c>
      <c r="Q389">
        <v>0.69314718055994529</v>
      </c>
      <c r="R389">
        <v>1.3862943611198906</v>
      </c>
      <c r="S389">
        <v>4.5538768916005408</v>
      </c>
      <c r="T389">
        <v>89.340161030595823</v>
      </c>
      <c r="U389">
        <v>1.4712304197281412</v>
      </c>
      <c r="V389">
        <v>0.59716251398508702</v>
      </c>
      <c r="W389">
        <v>0.91068296986709796</v>
      </c>
      <c r="X389">
        <v>1.2273243988355</v>
      </c>
      <c r="Y389">
        <v>-0.4121809470949</v>
      </c>
      <c r="Z389">
        <v>-0.86472582726521097</v>
      </c>
      <c r="AA389">
        <v>-1.0172779374790899</v>
      </c>
      <c r="AB389">
        <v>1828.1689246701658</v>
      </c>
      <c r="AC389">
        <v>1.1127464888636687</v>
      </c>
      <c r="AD389">
        <v>1.8630656830756136</v>
      </c>
      <c r="AE389">
        <v>-0.53926882203722504</v>
      </c>
      <c r="AF389">
        <v>0.13369021763952699</v>
      </c>
      <c r="AG389">
        <v>-2.3033364472343201</v>
      </c>
      <c r="AH389">
        <v>1.4635533557602101</v>
      </c>
      <c r="AI389">
        <v>0.84181339080916295</v>
      </c>
      <c r="AJ389">
        <v>1.1621285701491</v>
      </c>
      <c r="AK389">
        <v>44.503641999999999</v>
      </c>
      <c r="AL389">
        <v>1.1863669999999999</v>
      </c>
      <c r="AM389">
        <v>43.29</v>
      </c>
      <c r="AN389">
        <v>-0.29849999999999999</v>
      </c>
    </row>
    <row r="390" spans="1:40" x14ac:dyDescent="0.35">
      <c r="A390">
        <v>511</v>
      </c>
      <c r="B390">
        <v>72</v>
      </c>
      <c r="C390" t="s">
        <v>40</v>
      </c>
      <c r="D390" t="s">
        <v>52</v>
      </c>
      <c r="E390" t="s">
        <v>42</v>
      </c>
      <c r="F390" t="s">
        <v>49</v>
      </c>
      <c r="G390">
        <v>4</v>
      </c>
      <c r="H390">
        <v>16</v>
      </c>
      <c r="I390">
        <v>5</v>
      </c>
      <c r="J390" t="s">
        <v>50</v>
      </c>
      <c r="K390" t="s">
        <v>46</v>
      </c>
      <c r="L390" t="s">
        <v>69</v>
      </c>
      <c r="M390">
        <v>264.50691656631642</v>
      </c>
      <c r="N390">
        <v>329</v>
      </c>
      <c r="O390">
        <v>180</v>
      </c>
      <c r="P390">
        <v>202</v>
      </c>
      <c r="Q390">
        <v>2.3978952727983707</v>
      </c>
      <c r="R390">
        <v>4.5538768916005408</v>
      </c>
      <c r="S390">
        <v>5.4847969334906548</v>
      </c>
      <c r="T390">
        <v>93.296000000000006</v>
      </c>
      <c r="U390">
        <v>2.2325431437911538</v>
      </c>
      <c r="V390">
        <v>-0.44922684044461197</v>
      </c>
      <c r="W390">
        <v>-0.76855194782346203</v>
      </c>
      <c r="X390">
        <v>-0.44700324392789598</v>
      </c>
      <c r="Y390">
        <v>-0.846122564821426</v>
      </c>
      <c r="Z390">
        <v>-0.92679578564836795</v>
      </c>
      <c r="AA390">
        <v>0.86332342905974202</v>
      </c>
      <c r="AB390">
        <v>2050</v>
      </c>
      <c r="AC390">
        <v>1</v>
      </c>
      <c r="AD390">
        <v>2</v>
      </c>
      <c r="AE390">
        <v>-0.51011828243844404</v>
      </c>
      <c r="AF390">
        <v>0.73325366549370397</v>
      </c>
      <c r="AG390">
        <v>1.3057560943439499</v>
      </c>
      <c r="AH390">
        <v>0.89200393059321403</v>
      </c>
      <c r="AI390">
        <v>0.40148465047827397</v>
      </c>
      <c r="AJ390">
        <v>1.1070690214174199</v>
      </c>
      <c r="AK390">
        <v>47.177235000000003</v>
      </c>
      <c r="AL390">
        <v>4.964315</v>
      </c>
      <c r="AM390">
        <v>48.776000000000003</v>
      </c>
      <c r="AN390">
        <v>2.3380000000000001</v>
      </c>
    </row>
    <row r="391" spans="1:40" x14ac:dyDescent="0.35">
      <c r="A391">
        <v>512</v>
      </c>
      <c r="B391">
        <v>57</v>
      </c>
      <c r="C391" t="s">
        <v>48</v>
      </c>
      <c r="D391" t="s">
        <v>52</v>
      </c>
      <c r="E391" t="s">
        <v>42</v>
      </c>
      <c r="F391" t="s">
        <v>49</v>
      </c>
      <c r="G391">
        <v>4</v>
      </c>
      <c r="H391">
        <v>16</v>
      </c>
      <c r="I391">
        <v>3</v>
      </c>
      <c r="J391" t="s">
        <v>56</v>
      </c>
      <c r="K391" t="s">
        <v>46</v>
      </c>
      <c r="L391" t="s">
        <v>72</v>
      </c>
      <c r="M391">
        <v>487.78732641867992</v>
      </c>
      <c r="N391">
        <v>671</v>
      </c>
      <c r="O391">
        <v>408</v>
      </c>
      <c r="P391">
        <v>514</v>
      </c>
      <c r="Q391">
        <v>0.69314718055994529</v>
      </c>
      <c r="R391">
        <v>1.3862943611198906</v>
      </c>
      <c r="S391">
        <v>4.5538768916005408</v>
      </c>
      <c r="T391">
        <v>89.340161030595823</v>
      </c>
      <c r="U391">
        <v>1.4712304197281412</v>
      </c>
      <c r="V391">
        <v>0.59716251398508702</v>
      </c>
      <c r="W391">
        <v>0.91068296986709796</v>
      </c>
      <c r="X391">
        <v>1.2273243988355</v>
      </c>
      <c r="Y391">
        <v>-0.4121809470949</v>
      </c>
      <c r="Z391">
        <v>-0.86472582726521097</v>
      </c>
      <c r="AA391">
        <v>-1.0172779374790899</v>
      </c>
      <c r="AB391">
        <v>1828.1689246701658</v>
      </c>
      <c r="AC391">
        <v>1.1127464888636687</v>
      </c>
      <c r="AD391">
        <v>1.8630656830756136</v>
      </c>
      <c r="AE391">
        <v>-0.53926882203722504</v>
      </c>
      <c r="AF391">
        <v>0.94792273877288902</v>
      </c>
      <c r="AG391">
        <v>-0.15433398687632099</v>
      </c>
      <c r="AH391">
        <v>0.606253432457452</v>
      </c>
      <c r="AI391">
        <v>1.11339562258717</v>
      </c>
      <c r="AJ391">
        <v>0.94706681017550998</v>
      </c>
      <c r="AK391">
        <v>44.503641999999999</v>
      </c>
      <c r="AL391">
        <v>1.1863669999999999</v>
      </c>
      <c r="AM391">
        <v>43.686</v>
      </c>
      <c r="AN391">
        <v>7.1820000000000004</v>
      </c>
    </row>
    <row r="392" spans="1:40" x14ac:dyDescent="0.35">
      <c r="A392">
        <v>514</v>
      </c>
      <c r="B392">
        <v>57</v>
      </c>
      <c r="C392" t="s">
        <v>40</v>
      </c>
      <c r="D392" t="s">
        <v>41</v>
      </c>
      <c r="E392" t="s">
        <v>42</v>
      </c>
      <c r="F392" t="s">
        <v>43</v>
      </c>
      <c r="G392">
        <v>4</v>
      </c>
      <c r="H392">
        <v>16</v>
      </c>
      <c r="I392">
        <v>5</v>
      </c>
      <c r="J392" t="s">
        <v>45</v>
      </c>
      <c r="K392" t="s">
        <v>46</v>
      </c>
      <c r="L392" t="s">
        <v>79</v>
      </c>
      <c r="M392">
        <v>155.04828000680291</v>
      </c>
      <c r="N392">
        <v>207</v>
      </c>
      <c r="O392">
        <v>142</v>
      </c>
      <c r="P392">
        <v>124</v>
      </c>
      <c r="Q392">
        <v>0</v>
      </c>
      <c r="R392">
        <v>1.0986122886681098</v>
      </c>
      <c r="S392">
        <v>4.4659081186545837</v>
      </c>
      <c r="T392">
        <v>90.88000000000001</v>
      </c>
      <c r="U392">
        <v>0.63076672920079646</v>
      </c>
      <c r="V392">
        <v>-0.66459185691613598</v>
      </c>
      <c r="W392">
        <v>-0.11297510960708999</v>
      </c>
      <c r="X392">
        <v>-0.19037106594949799</v>
      </c>
      <c r="Y392">
        <v>-0.374020329094302</v>
      </c>
      <c r="Z392">
        <v>-0.78642831806525804</v>
      </c>
      <c r="AA392">
        <v>-1.3830773108541501</v>
      </c>
      <c r="AB392">
        <v>1910</v>
      </c>
      <c r="AC392">
        <v>4</v>
      </c>
      <c r="AD392">
        <v>0</v>
      </c>
      <c r="AE392">
        <v>3.4620335695619099E-2</v>
      </c>
      <c r="AF392">
        <v>-0.32873938328920799</v>
      </c>
      <c r="AG392">
        <v>-0.69276301778476201</v>
      </c>
      <c r="AH392">
        <v>-0.69474501531463895</v>
      </c>
      <c r="AI392">
        <v>-1.0514641256245001</v>
      </c>
      <c r="AJ392">
        <v>-2.8339284891154399E-3</v>
      </c>
      <c r="AK392">
        <v>42.698529999999998</v>
      </c>
      <c r="AL392">
        <v>2.8953120000000001</v>
      </c>
      <c r="AM392">
        <v>43.603948699999997</v>
      </c>
      <c r="AN392">
        <v>1.444509</v>
      </c>
    </row>
    <row r="393" spans="1:40" x14ac:dyDescent="0.35">
      <c r="A393">
        <v>515</v>
      </c>
      <c r="B393">
        <v>57</v>
      </c>
      <c r="C393" t="s">
        <v>40</v>
      </c>
      <c r="D393" t="s">
        <v>41</v>
      </c>
      <c r="E393" t="s">
        <v>68</v>
      </c>
      <c r="F393" t="s">
        <v>43</v>
      </c>
      <c r="G393">
        <v>5</v>
      </c>
      <c r="H393">
        <v>25</v>
      </c>
      <c r="I393">
        <v>5</v>
      </c>
      <c r="J393" t="s">
        <v>56</v>
      </c>
      <c r="K393" t="s">
        <v>46</v>
      </c>
      <c r="L393" t="s">
        <v>71</v>
      </c>
      <c r="M393">
        <v>620.12150946097211</v>
      </c>
      <c r="N393">
        <v>800</v>
      </c>
      <c r="O393">
        <v>430</v>
      </c>
      <c r="P393">
        <v>309</v>
      </c>
      <c r="Q393">
        <v>4.5747109785033828</v>
      </c>
      <c r="R393">
        <v>3.5263605246161616</v>
      </c>
      <c r="S393">
        <v>5.1416635565026603</v>
      </c>
      <c r="T393">
        <v>92.265120976563693</v>
      </c>
      <c r="U393">
        <v>2.9351954657362995</v>
      </c>
      <c r="V393">
        <v>-8.3509539921858403E-2</v>
      </c>
      <c r="W393">
        <v>-8.6188355584626702E-2</v>
      </c>
      <c r="X393">
        <v>-6.2117403422328299E-2</v>
      </c>
      <c r="Y393">
        <v>-0.51135009403950604</v>
      </c>
      <c r="Z393">
        <v>-0.669554030021006</v>
      </c>
      <c r="AA393">
        <v>-1.4915282051312999</v>
      </c>
      <c r="AB393">
        <v>1813.5248996931791</v>
      </c>
      <c r="AC393">
        <v>1.6535284399339156</v>
      </c>
      <c r="AD393">
        <v>0.49421760679726223</v>
      </c>
      <c r="AE393">
        <v>-0.18520258641298501</v>
      </c>
      <c r="AF393">
        <v>-0.25522933844627999</v>
      </c>
      <c r="AG393">
        <v>-0.18425288902540701</v>
      </c>
      <c r="AH393">
        <v>0.14284192083851099</v>
      </c>
      <c r="AI393">
        <v>-0.71213150794753699</v>
      </c>
      <c r="AJ393">
        <v>-0.55889058426868499</v>
      </c>
      <c r="AK393">
        <v>45.071283999999999</v>
      </c>
      <c r="AL393">
        <v>4.8370730000000002</v>
      </c>
      <c r="AM393">
        <v>50.640682937000001</v>
      </c>
      <c r="AN393">
        <v>4.6610704270000003</v>
      </c>
    </row>
    <row r="394" spans="1:40" x14ac:dyDescent="0.35">
      <c r="A394">
        <v>517</v>
      </c>
      <c r="B394">
        <v>72</v>
      </c>
      <c r="C394" t="s">
        <v>40</v>
      </c>
      <c r="D394" t="s">
        <v>52</v>
      </c>
      <c r="E394" t="s">
        <v>42</v>
      </c>
      <c r="F394" t="s">
        <v>49</v>
      </c>
      <c r="G394">
        <v>5</v>
      </c>
      <c r="H394">
        <v>25</v>
      </c>
      <c r="I394">
        <v>5</v>
      </c>
      <c r="J394" t="s">
        <v>56</v>
      </c>
      <c r="K394" t="s">
        <v>46</v>
      </c>
      <c r="L394" t="s">
        <v>62</v>
      </c>
      <c r="M394">
        <v>41.169818336824562</v>
      </c>
      <c r="N394">
        <v>94</v>
      </c>
      <c r="O394">
        <v>65</v>
      </c>
      <c r="P394">
        <v>104</v>
      </c>
      <c r="Q394">
        <v>0.69314718055994529</v>
      </c>
      <c r="R394">
        <v>3.2580965380214821</v>
      </c>
      <c r="S394">
        <v>3.2580965380214821</v>
      </c>
      <c r="T394">
        <v>95.68</v>
      </c>
      <c r="U394">
        <v>0</v>
      </c>
      <c r="V394">
        <v>1.82802042479695</v>
      </c>
      <c r="W394">
        <v>0.99424279543483596</v>
      </c>
      <c r="X394">
        <v>0.99177342203587404</v>
      </c>
      <c r="Y394">
        <v>-0.96278755162326501</v>
      </c>
      <c r="Z394">
        <v>-0.75605764486205096</v>
      </c>
      <c r="AA394">
        <v>-0.80037586101695801</v>
      </c>
      <c r="AB394">
        <v>2092.91</v>
      </c>
      <c r="AC394">
        <v>0</v>
      </c>
      <c r="AD394">
        <v>2.1</v>
      </c>
      <c r="AE394">
        <v>-1.0768626388726401</v>
      </c>
      <c r="AF394">
        <v>7.8955993072479302E-2</v>
      </c>
      <c r="AG394">
        <v>-1.56879027478245</v>
      </c>
      <c r="AH394">
        <v>-1.2629556995966</v>
      </c>
      <c r="AI394">
        <v>-0.51618511168738701</v>
      </c>
      <c r="AJ394">
        <v>-0.180203852922032</v>
      </c>
      <c r="AK394">
        <v>49.042560999999999</v>
      </c>
      <c r="AL394">
        <v>3.9528660000000002</v>
      </c>
      <c r="AM394">
        <v>49.061043478260871</v>
      </c>
      <c r="AN394">
        <v>3.3892608695652182</v>
      </c>
    </row>
    <row r="395" spans="1:40" x14ac:dyDescent="0.35">
      <c r="A395">
        <v>518</v>
      </c>
      <c r="B395">
        <v>57</v>
      </c>
      <c r="C395" t="s">
        <v>48</v>
      </c>
      <c r="D395" t="s">
        <v>66</v>
      </c>
      <c r="E395" t="s">
        <v>42</v>
      </c>
      <c r="F395" t="s">
        <v>49</v>
      </c>
      <c r="G395">
        <v>5</v>
      </c>
      <c r="H395">
        <v>25</v>
      </c>
      <c r="I395">
        <v>5</v>
      </c>
      <c r="J395" t="s">
        <v>56</v>
      </c>
      <c r="K395" t="s">
        <v>46</v>
      </c>
      <c r="L395" t="s">
        <v>65</v>
      </c>
      <c r="M395">
        <v>579.88416854232662</v>
      </c>
      <c r="N395">
        <v>740</v>
      </c>
      <c r="O395">
        <v>390</v>
      </c>
      <c r="P395">
        <v>549</v>
      </c>
      <c r="Q395">
        <v>0</v>
      </c>
      <c r="R395">
        <v>0</v>
      </c>
      <c r="S395">
        <v>4.4543472962535073</v>
      </c>
      <c r="T395">
        <v>89.333044733044744</v>
      </c>
      <c r="U395">
        <v>1.2554235437523662</v>
      </c>
      <c r="V395">
        <v>1.64975517953679</v>
      </c>
      <c r="W395">
        <v>2.4220969657957299</v>
      </c>
      <c r="X395">
        <v>1.68128863126442</v>
      </c>
      <c r="Y395">
        <v>2.0553398017137301</v>
      </c>
      <c r="Z395">
        <v>2.0921400018840099</v>
      </c>
      <c r="AA395">
        <v>2.0596698968962701</v>
      </c>
      <c r="AB395">
        <v>3262.71</v>
      </c>
      <c r="AC395">
        <v>0.33</v>
      </c>
      <c r="AD395">
        <v>0.66</v>
      </c>
      <c r="AE395">
        <v>1.9221838973381</v>
      </c>
      <c r="AF395">
        <v>0.49674333532586501</v>
      </c>
      <c r="AG395">
        <v>-1.6339359278410599</v>
      </c>
      <c r="AH395">
        <v>3.3451903094417701E-2</v>
      </c>
      <c r="AI395">
        <v>-1.0804936405671239</v>
      </c>
      <c r="AJ395">
        <v>0.33781967271739732</v>
      </c>
      <c r="AK395">
        <v>43.537466000000002</v>
      </c>
      <c r="AL395">
        <v>6.4627330000000001</v>
      </c>
      <c r="AM395">
        <v>44.834995499999998</v>
      </c>
      <c r="AN395">
        <v>-0.57549519999999998</v>
      </c>
    </row>
    <row r="396" spans="1:40" x14ac:dyDescent="0.35">
      <c r="A396">
        <v>519</v>
      </c>
      <c r="B396">
        <v>57</v>
      </c>
      <c r="C396" t="s">
        <v>48</v>
      </c>
      <c r="D396" t="s">
        <v>66</v>
      </c>
      <c r="E396" t="s">
        <v>42</v>
      </c>
      <c r="F396" t="s">
        <v>43</v>
      </c>
      <c r="G396">
        <v>3</v>
      </c>
      <c r="H396">
        <v>9</v>
      </c>
      <c r="I396">
        <v>4</v>
      </c>
      <c r="J396" t="s">
        <v>45</v>
      </c>
      <c r="K396" t="s">
        <v>46</v>
      </c>
      <c r="L396" t="s">
        <v>59</v>
      </c>
      <c r="M396">
        <v>190.33174110274479</v>
      </c>
      <c r="N396">
        <v>224</v>
      </c>
      <c r="O396">
        <v>178</v>
      </c>
      <c r="P396">
        <v>97</v>
      </c>
      <c r="Q396">
        <v>1.3862943611198906</v>
      </c>
      <c r="R396">
        <v>1.3862943611198906</v>
      </c>
      <c r="S396">
        <v>4.9972122737641147</v>
      </c>
      <c r="T396">
        <v>90.035146103896111</v>
      </c>
      <c r="U396">
        <v>1.418823059726001</v>
      </c>
      <c r="V396">
        <v>-0.52223564926899602</v>
      </c>
      <c r="W396">
        <v>-0.46072710968150399</v>
      </c>
      <c r="X396">
        <v>-0.361786268345754</v>
      </c>
      <c r="Y396">
        <v>-0.552694479448822</v>
      </c>
      <c r="Z396">
        <v>2.1676297177028899E-2</v>
      </c>
      <c r="AA396">
        <v>0.625223797005378</v>
      </c>
      <c r="AB396">
        <v>2234.6992515788952</v>
      </c>
      <c r="AC396">
        <v>0</v>
      </c>
      <c r="AD396">
        <v>0.12112735591028891</v>
      </c>
      <c r="AE396">
        <v>-0.60610368582010199</v>
      </c>
      <c r="AF396">
        <v>0.51378293800673802</v>
      </c>
      <c r="AG396">
        <v>0.68021538179825702</v>
      </c>
      <c r="AH396">
        <v>0.247123114004873</v>
      </c>
      <c r="AI396">
        <v>-0.144538826271016</v>
      </c>
      <c r="AJ396">
        <v>-0.49656298330967902</v>
      </c>
      <c r="AK396">
        <v>47.411035099999999</v>
      </c>
      <c r="AL396">
        <v>0.98369799999999996</v>
      </c>
      <c r="AM396">
        <v>48.856372813999997</v>
      </c>
      <c r="AN396">
        <v>2.3525296170000001</v>
      </c>
    </row>
    <row r="397" spans="1:40" x14ac:dyDescent="0.35">
      <c r="A397">
        <v>520</v>
      </c>
      <c r="B397">
        <v>29.5</v>
      </c>
      <c r="C397" t="s">
        <v>40</v>
      </c>
      <c r="D397" t="s">
        <v>66</v>
      </c>
      <c r="E397" t="s">
        <v>42</v>
      </c>
      <c r="F397" t="s">
        <v>43</v>
      </c>
      <c r="G397">
        <v>5</v>
      </c>
      <c r="H397">
        <v>25</v>
      </c>
      <c r="I397">
        <v>3</v>
      </c>
      <c r="J397" t="s">
        <v>56</v>
      </c>
      <c r="K397" t="s">
        <v>46</v>
      </c>
      <c r="L397" t="s">
        <v>65</v>
      </c>
      <c r="M397">
        <v>51.021950852332779</v>
      </c>
      <c r="N397">
        <v>88</v>
      </c>
      <c r="O397">
        <v>65</v>
      </c>
      <c r="P397">
        <v>125</v>
      </c>
      <c r="Q397">
        <v>0</v>
      </c>
      <c r="R397">
        <v>0</v>
      </c>
      <c r="S397">
        <v>4.4543472962535073</v>
      </c>
      <c r="T397">
        <v>89.333044733044744</v>
      </c>
      <c r="U397">
        <v>1.2554235437523662</v>
      </c>
      <c r="V397">
        <v>1.64975517953679</v>
      </c>
      <c r="W397">
        <v>2.4220969657957299</v>
      </c>
      <c r="X397">
        <v>1.68128863126442</v>
      </c>
      <c r="Y397">
        <v>2.0553398017137301</v>
      </c>
      <c r="Z397">
        <v>2.0921400018840099</v>
      </c>
      <c r="AA397">
        <v>2.0596698968962701</v>
      </c>
      <c r="AB397">
        <v>3262.71</v>
      </c>
      <c r="AC397">
        <v>0.33</v>
      </c>
      <c r="AD397">
        <v>0.66</v>
      </c>
      <c r="AE397">
        <v>1.9221838973381</v>
      </c>
      <c r="AF397">
        <v>0.85477686503441097</v>
      </c>
      <c r="AG397">
        <v>0.54972177319321303</v>
      </c>
      <c r="AH397">
        <v>0.14944716191150001</v>
      </c>
      <c r="AI397">
        <v>0.74318681618151405</v>
      </c>
      <c r="AJ397">
        <v>1.13219827916871</v>
      </c>
      <c r="AK397">
        <v>43.537466000000002</v>
      </c>
      <c r="AL397">
        <v>6.4627330000000001</v>
      </c>
      <c r="AM397">
        <v>43.628</v>
      </c>
      <c r="AN397">
        <v>7.0830000000000002</v>
      </c>
    </row>
    <row r="398" spans="1:40" x14ac:dyDescent="0.35">
      <c r="A398">
        <v>521</v>
      </c>
      <c r="B398">
        <v>57</v>
      </c>
      <c r="C398" t="s">
        <v>40</v>
      </c>
      <c r="D398" t="s">
        <v>52</v>
      </c>
      <c r="E398" t="s">
        <v>42</v>
      </c>
      <c r="F398" t="s">
        <v>49</v>
      </c>
      <c r="G398">
        <v>4</v>
      </c>
      <c r="H398">
        <v>16</v>
      </c>
      <c r="I398">
        <v>4</v>
      </c>
      <c r="J398" t="s">
        <v>56</v>
      </c>
      <c r="K398" t="s">
        <v>46</v>
      </c>
      <c r="L398" t="s">
        <v>73</v>
      </c>
      <c r="M398">
        <v>8.0749640036669028</v>
      </c>
      <c r="N398">
        <v>25</v>
      </c>
      <c r="O398">
        <v>37</v>
      </c>
      <c r="P398">
        <v>27</v>
      </c>
      <c r="Q398">
        <v>1.9459101490553132</v>
      </c>
      <c r="R398">
        <v>2.9444389791664403</v>
      </c>
      <c r="S398">
        <v>4.2626798770413155</v>
      </c>
      <c r="T398">
        <v>91.872500000000002</v>
      </c>
      <c r="U398">
        <v>2.0033201607997366</v>
      </c>
      <c r="V398">
        <v>7.5580716531248995E-2</v>
      </c>
      <c r="W398">
        <v>0.203376316306385</v>
      </c>
      <c r="X398">
        <v>0.143329752535333</v>
      </c>
      <c r="Y398">
        <v>1.4483117406157899</v>
      </c>
      <c r="Z398">
        <v>1.7680602694732599</v>
      </c>
      <c r="AA398">
        <v>0.26366440732357699</v>
      </c>
      <c r="AB398">
        <v>4236</v>
      </c>
      <c r="AC398">
        <v>0</v>
      </c>
      <c r="AD398">
        <v>4</v>
      </c>
      <c r="AE398">
        <v>1.6751267091712101</v>
      </c>
      <c r="AF398">
        <v>1.2228665353167101</v>
      </c>
      <c r="AG398">
        <v>0.61931012086144899</v>
      </c>
      <c r="AH398">
        <v>-1.27713282984609</v>
      </c>
      <c r="AI398">
        <v>-6.7350730555039498E-2</v>
      </c>
      <c r="AJ398">
        <v>1.2622701994302401</v>
      </c>
      <c r="AK398">
        <v>44.686388999999998</v>
      </c>
      <c r="AL398">
        <v>-0.52383800000000003</v>
      </c>
      <c r="AM398">
        <v>44.719000000000001</v>
      </c>
      <c r="AN398">
        <v>-0.61499999999999999</v>
      </c>
    </row>
    <row r="399" spans="1:40" x14ac:dyDescent="0.35">
      <c r="A399">
        <v>522</v>
      </c>
      <c r="B399">
        <v>57</v>
      </c>
      <c r="C399" t="s">
        <v>40</v>
      </c>
      <c r="D399" t="s">
        <v>66</v>
      </c>
      <c r="E399" t="s">
        <v>42</v>
      </c>
      <c r="F399" t="s">
        <v>43</v>
      </c>
      <c r="G399">
        <v>5</v>
      </c>
      <c r="H399">
        <v>25</v>
      </c>
      <c r="I399">
        <v>5</v>
      </c>
      <c r="J399" t="s">
        <v>50</v>
      </c>
      <c r="K399" t="s">
        <v>46</v>
      </c>
      <c r="L399" t="s">
        <v>71</v>
      </c>
      <c r="M399">
        <v>461.63476637503351</v>
      </c>
      <c r="N399">
        <v>423</v>
      </c>
      <c r="O399">
        <v>220</v>
      </c>
      <c r="P399">
        <v>168</v>
      </c>
      <c r="Q399">
        <v>4.5747109785033828</v>
      </c>
      <c r="R399">
        <v>3.5263605246161616</v>
      </c>
      <c r="S399">
        <v>5.1416635565026603</v>
      </c>
      <c r="T399">
        <v>92.265120976563693</v>
      </c>
      <c r="U399">
        <v>2.9351954657362995</v>
      </c>
      <c r="V399">
        <v>-8.3509539921858403E-2</v>
      </c>
      <c r="W399">
        <v>-8.6188355584626702E-2</v>
      </c>
      <c r="X399">
        <v>-6.2117403422328299E-2</v>
      </c>
      <c r="Y399">
        <v>-0.51135009403950604</v>
      </c>
      <c r="Z399">
        <v>-0.669554030021006</v>
      </c>
      <c r="AA399">
        <v>-1.4915282051312999</v>
      </c>
      <c r="AB399">
        <v>1813.5248996931791</v>
      </c>
      <c r="AC399">
        <v>1.6535284399339156</v>
      </c>
      <c r="AD399">
        <v>0.49421760679726223</v>
      </c>
      <c r="AE399">
        <v>-0.18520258641298501</v>
      </c>
      <c r="AF399">
        <v>1.0697086389991199</v>
      </c>
      <c r="AG399">
        <v>-0.125029871050851</v>
      </c>
      <c r="AH399">
        <v>-8.9082476798506199E-2</v>
      </c>
      <c r="AI399">
        <v>0.61531408119892705</v>
      </c>
      <c r="AJ399">
        <v>-0.340691734971386</v>
      </c>
      <c r="AK399">
        <v>45.071283999999999</v>
      </c>
      <c r="AL399">
        <v>4.8370730000000002</v>
      </c>
      <c r="AM399">
        <v>48.856372813999997</v>
      </c>
      <c r="AN399">
        <v>2.3525296170000001</v>
      </c>
    </row>
    <row r="400" spans="1:40" x14ac:dyDescent="0.35">
      <c r="A400">
        <v>524</v>
      </c>
      <c r="B400">
        <v>72</v>
      </c>
      <c r="C400" t="s">
        <v>40</v>
      </c>
      <c r="D400" t="s">
        <v>52</v>
      </c>
      <c r="E400" t="s">
        <v>42</v>
      </c>
      <c r="F400" t="s">
        <v>61</v>
      </c>
      <c r="G400">
        <v>3</v>
      </c>
      <c r="H400">
        <v>9</v>
      </c>
      <c r="I400">
        <v>3</v>
      </c>
      <c r="J400" t="s">
        <v>56</v>
      </c>
      <c r="K400" t="s">
        <v>46</v>
      </c>
      <c r="L400" t="s">
        <v>70</v>
      </c>
      <c r="M400">
        <v>376.57823635122088</v>
      </c>
      <c r="N400">
        <v>427</v>
      </c>
      <c r="O400">
        <v>220</v>
      </c>
      <c r="P400">
        <v>237</v>
      </c>
      <c r="Q400">
        <v>0</v>
      </c>
      <c r="R400">
        <v>0</v>
      </c>
      <c r="S400">
        <v>5.3230099791384085</v>
      </c>
      <c r="T400">
        <v>90.615999999999985</v>
      </c>
      <c r="U400">
        <v>1.11573792223403</v>
      </c>
      <c r="V400">
        <v>0.80288722813325297</v>
      </c>
      <c r="W400">
        <v>0.52082154240315903</v>
      </c>
      <c r="X400">
        <v>0.61908815691345198</v>
      </c>
      <c r="Y400">
        <v>1.5007680231051199</v>
      </c>
      <c r="Z400">
        <v>0.24292628533916899</v>
      </c>
      <c r="AA400">
        <v>8.5217386942517098E-2</v>
      </c>
      <c r="AB400">
        <v>3943</v>
      </c>
      <c r="AC400">
        <v>0</v>
      </c>
      <c r="AD400">
        <v>1</v>
      </c>
      <c r="AE400">
        <v>1.1088815174583</v>
      </c>
      <c r="AF400">
        <v>-0.17588859579973001</v>
      </c>
      <c r="AG400">
        <v>-0.28892117838222198</v>
      </c>
      <c r="AH400">
        <v>-0.64282556547388203</v>
      </c>
      <c r="AI400">
        <v>-9.2983491242317307E-2</v>
      </c>
      <c r="AJ400">
        <v>-2.0026773822394701</v>
      </c>
      <c r="AK400">
        <v>46.098678999999997</v>
      </c>
      <c r="AL400">
        <v>4.7359530000000003</v>
      </c>
      <c r="AM400">
        <v>48.972000000000001</v>
      </c>
      <c r="AN400">
        <v>2.09</v>
      </c>
    </row>
    <row r="401" spans="1:40" x14ac:dyDescent="0.35">
      <c r="A401">
        <v>525</v>
      </c>
      <c r="B401">
        <v>72</v>
      </c>
      <c r="C401" t="s">
        <v>48</v>
      </c>
      <c r="D401" t="s">
        <v>52</v>
      </c>
      <c r="E401" t="s">
        <v>42</v>
      </c>
      <c r="F401" t="s">
        <v>49</v>
      </c>
      <c r="G401">
        <v>6</v>
      </c>
      <c r="H401">
        <v>36</v>
      </c>
      <c r="I401">
        <v>5</v>
      </c>
      <c r="J401" t="s">
        <v>50</v>
      </c>
      <c r="K401" t="s">
        <v>46</v>
      </c>
      <c r="L401" t="s">
        <v>77</v>
      </c>
      <c r="M401">
        <v>380.58891112637832</v>
      </c>
      <c r="N401">
        <v>505</v>
      </c>
      <c r="O401">
        <v>292</v>
      </c>
      <c r="P401">
        <v>243</v>
      </c>
      <c r="Q401">
        <v>0</v>
      </c>
      <c r="R401">
        <v>2.3978952727983707</v>
      </c>
      <c r="S401">
        <v>5.1416635565026603</v>
      </c>
      <c r="T401">
        <v>90.472417453603512</v>
      </c>
      <c r="U401">
        <v>2.7735735584863375</v>
      </c>
      <c r="V401">
        <v>-0.15231437986527399</v>
      </c>
      <c r="W401">
        <v>3.49635939345109E-2</v>
      </c>
      <c r="X401">
        <v>-0.19627808847033801</v>
      </c>
      <c r="Y401">
        <v>-0.57382446736590997</v>
      </c>
      <c r="Z401">
        <v>-0.74335605457542497</v>
      </c>
      <c r="AA401">
        <v>-0.53588051656191904</v>
      </c>
      <c r="AB401">
        <v>3937</v>
      </c>
      <c r="AC401">
        <v>0</v>
      </c>
      <c r="AD401">
        <v>1</v>
      </c>
      <c r="AE401">
        <v>-0.72244456620022002</v>
      </c>
      <c r="AF401">
        <v>-1.464442754989</v>
      </c>
      <c r="AG401">
        <v>1.7630821033877899</v>
      </c>
      <c r="AH401">
        <v>1.2208462546345</v>
      </c>
      <c r="AI401">
        <v>1.2241553156325</v>
      </c>
      <c r="AJ401">
        <v>-0.324539741001798</v>
      </c>
      <c r="AK401">
        <v>47.259622</v>
      </c>
      <c r="AL401">
        <v>-7.8518000000000004E-2</v>
      </c>
      <c r="AM401">
        <v>47.119454545454545</v>
      </c>
      <c r="AN401">
        <v>4.9490454545454545</v>
      </c>
    </row>
    <row r="402" spans="1:40" x14ac:dyDescent="0.35">
      <c r="A402">
        <v>526</v>
      </c>
      <c r="B402">
        <v>57</v>
      </c>
      <c r="C402" t="s">
        <v>40</v>
      </c>
      <c r="D402" t="s">
        <v>41</v>
      </c>
      <c r="E402" t="s">
        <v>42</v>
      </c>
      <c r="F402" t="s">
        <v>49</v>
      </c>
      <c r="G402">
        <v>6</v>
      </c>
      <c r="H402">
        <v>36</v>
      </c>
      <c r="I402">
        <v>6</v>
      </c>
      <c r="J402" t="s">
        <v>50</v>
      </c>
      <c r="K402" t="s">
        <v>46</v>
      </c>
      <c r="L402" t="s">
        <v>55</v>
      </c>
      <c r="M402">
        <v>250.5101052303815</v>
      </c>
      <c r="N402">
        <v>307</v>
      </c>
      <c r="O402">
        <v>231</v>
      </c>
      <c r="P402">
        <v>219</v>
      </c>
      <c r="Q402">
        <v>2.0794415416798357</v>
      </c>
      <c r="R402">
        <v>2.3025850929940459</v>
      </c>
      <c r="S402">
        <v>3.2580965380214821</v>
      </c>
      <c r="T402">
        <v>95.12</v>
      </c>
      <c r="U402">
        <v>0</v>
      </c>
      <c r="V402">
        <v>1.89305099905856</v>
      </c>
      <c r="W402">
        <v>0.59880690621441701</v>
      </c>
      <c r="X402">
        <v>1.1856460040685599</v>
      </c>
      <c r="Y402">
        <v>-0.15565097555555901</v>
      </c>
      <c r="Z402">
        <v>-0.22748295097212001</v>
      </c>
      <c r="AA402">
        <v>1.0415013010201299</v>
      </c>
      <c r="AB402">
        <v>2939.9504036908884</v>
      </c>
      <c r="AC402">
        <v>2</v>
      </c>
      <c r="AD402">
        <v>0.42868127643214149</v>
      </c>
      <c r="AE402">
        <v>-2.40641039566141E-2</v>
      </c>
      <c r="AF402">
        <v>1.4515211047952601</v>
      </c>
      <c r="AG402">
        <v>0.37306670121233199</v>
      </c>
      <c r="AH402">
        <v>0.89657908315467905</v>
      </c>
      <c r="AI402">
        <v>0.61531408119892705</v>
      </c>
      <c r="AJ402">
        <v>-0.340691734971386</v>
      </c>
      <c r="AK402">
        <v>48.0777517</v>
      </c>
      <c r="AL402">
        <v>7.3579641000000002</v>
      </c>
      <c r="AM402">
        <v>49.108642857142854</v>
      </c>
      <c r="AN402">
        <v>4.3331428571428576</v>
      </c>
    </row>
    <row r="403" spans="1:40" x14ac:dyDescent="0.35">
      <c r="A403">
        <v>527</v>
      </c>
      <c r="B403">
        <v>57</v>
      </c>
      <c r="C403" t="s">
        <v>40</v>
      </c>
      <c r="D403" t="s">
        <v>41</v>
      </c>
      <c r="E403" t="s">
        <v>42</v>
      </c>
      <c r="F403" t="s">
        <v>49</v>
      </c>
      <c r="G403">
        <v>5</v>
      </c>
      <c r="H403">
        <v>25</v>
      </c>
      <c r="I403">
        <v>5</v>
      </c>
      <c r="J403" t="s">
        <v>50</v>
      </c>
      <c r="K403" t="s">
        <v>46</v>
      </c>
      <c r="L403" t="s">
        <v>76</v>
      </c>
      <c r="M403">
        <v>289.13220678076038</v>
      </c>
      <c r="N403">
        <v>409</v>
      </c>
      <c r="O403">
        <v>270</v>
      </c>
      <c r="P403">
        <v>350</v>
      </c>
      <c r="Q403">
        <v>0</v>
      </c>
      <c r="R403">
        <v>1.0986122886681098</v>
      </c>
      <c r="S403">
        <v>4.1588830833596715</v>
      </c>
      <c r="T403">
        <v>91.226666666666674</v>
      </c>
      <c r="U403">
        <v>1.418823059726001</v>
      </c>
      <c r="V403">
        <v>-0.39095273818515502</v>
      </c>
      <c r="W403">
        <v>-0.53446083104759001</v>
      </c>
      <c r="X403">
        <v>-0.40804429067029002</v>
      </c>
      <c r="Y403">
        <v>-0.56789545922357498</v>
      </c>
      <c r="Z403">
        <v>-0.94760790482486201</v>
      </c>
      <c r="AA403">
        <v>-1.0848673571571601</v>
      </c>
      <c r="AB403">
        <v>1770.5103102717287</v>
      </c>
      <c r="AC403">
        <v>0.28213528618230871</v>
      </c>
      <c r="AD403">
        <v>1.7130468298323378</v>
      </c>
      <c r="AE403">
        <v>-1.13486126839574</v>
      </c>
      <c r="AF403">
        <v>-1.1715024821787201</v>
      </c>
      <c r="AG403">
        <v>1.0115043522145599</v>
      </c>
      <c r="AH403">
        <v>0.98760558166781298</v>
      </c>
      <c r="AI403">
        <v>-1.1162866908693201</v>
      </c>
      <c r="AJ403">
        <v>1.50008752019633</v>
      </c>
      <c r="AK403">
        <v>47.330690599999997</v>
      </c>
      <c r="AL403">
        <v>2.8390453999999998</v>
      </c>
      <c r="AM403">
        <v>46.193000000000005</v>
      </c>
      <c r="AN403">
        <v>6.2480000000000002</v>
      </c>
    </row>
    <row r="404" spans="1:40" x14ac:dyDescent="0.35">
      <c r="A404">
        <v>528</v>
      </c>
      <c r="B404">
        <v>57</v>
      </c>
      <c r="C404" t="s">
        <v>40</v>
      </c>
      <c r="D404" t="s">
        <v>52</v>
      </c>
      <c r="E404" t="s">
        <v>42</v>
      </c>
      <c r="F404" t="s">
        <v>49</v>
      </c>
      <c r="G404">
        <v>5</v>
      </c>
      <c r="H404">
        <v>25</v>
      </c>
      <c r="I404">
        <v>4</v>
      </c>
      <c r="J404" t="s">
        <v>56</v>
      </c>
      <c r="K404" t="s">
        <v>46</v>
      </c>
      <c r="L404" t="s">
        <v>55</v>
      </c>
      <c r="M404">
        <v>345.37640119581079</v>
      </c>
      <c r="N404">
        <v>554</v>
      </c>
      <c r="O404">
        <v>374</v>
      </c>
      <c r="P404">
        <v>249</v>
      </c>
      <c r="Q404">
        <v>2.0794415416798357</v>
      </c>
      <c r="R404">
        <v>2.3025850929940459</v>
      </c>
      <c r="S404">
        <v>3.2580965380214821</v>
      </c>
      <c r="T404">
        <v>95.12</v>
      </c>
      <c r="U404">
        <v>0</v>
      </c>
      <c r="V404">
        <v>1.89305099905856</v>
      </c>
      <c r="W404">
        <v>0.59880690621441701</v>
      </c>
      <c r="X404">
        <v>1.1856460040685599</v>
      </c>
      <c r="Y404">
        <v>-0.15565097555555901</v>
      </c>
      <c r="Z404">
        <v>-0.22748295097212001</v>
      </c>
      <c r="AA404">
        <v>1.0415013010201299</v>
      </c>
      <c r="AB404">
        <v>2939.9504036908884</v>
      </c>
      <c r="AC404">
        <v>2</v>
      </c>
      <c r="AD404">
        <v>0.42868127643214149</v>
      </c>
      <c r="AE404">
        <v>-2.40641039566141E-2</v>
      </c>
      <c r="AF404">
        <v>0.62201715317493</v>
      </c>
      <c r="AG404">
        <v>0.44621075234375202</v>
      </c>
      <c r="AH404">
        <v>-1.17350342831708</v>
      </c>
      <c r="AI404">
        <v>1.17899798420991E-2</v>
      </c>
      <c r="AJ404">
        <v>-1.9082907219502301</v>
      </c>
      <c r="AK404">
        <v>48.0777517</v>
      </c>
      <c r="AL404">
        <v>7.3579641000000002</v>
      </c>
      <c r="AM404">
        <v>50.271000000000001</v>
      </c>
      <c r="AN404">
        <v>4</v>
      </c>
    </row>
    <row r="405" spans="1:40" x14ac:dyDescent="0.35">
      <c r="A405">
        <v>529</v>
      </c>
      <c r="B405">
        <v>57</v>
      </c>
      <c r="C405" t="s">
        <v>48</v>
      </c>
      <c r="D405" t="s">
        <v>66</v>
      </c>
      <c r="E405" t="s">
        <v>42</v>
      </c>
      <c r="F405" t="s">
        <v>49</v>
      </c>
      <c r="G405">
        <v>4</v>
      </c>
      <c r="H405">
        <v>16</v>
      </c>
      <c r="I405">
        <v>5</v>
      </c>
      <c r="J405" t="s">
        <v>50</v>
      </c>
      <c r="K405" t="s">
        <v>46</v>
      </c>
      <c r="L405" t="s">
        <v>79</v>
      </c>
      <c r="M405">
        <v>679.93383836612622</v>
      </c>
      <c r="N405">
        <v>847</v>
      </c>
      <c r="O405">
        <v>492</v>
      </c>
      <c r="P405">
        <v>320</v>
      </c>
      <c r="Q405">
        <v>0</v>
      </c>
      <c r="R405">
        <v>1.0986122886681098</v>
      </c>
      <c r="S405">
        <v>4.4659081186545837</v>
      </c>
      <c r="T405">
        <v>90.88000000000001</v>
      </c>
      <c r="U405">
        <v>0.63076672920079646</v>
      </c>
      <c r="V405">
        <v>-0.66459185691613598</v>
      </c>
      <c r="W405">
        <v>-0.11297510960708999</v>
      </c>
      <c r="X405">
        <v>-0.19037106594949799</v>
      </c>
      <c r="Y405">
        <v>-0.374020329094302</v>
      </c>
      <c r="Z405">
        <v>-0.78642831806525804</v>
      </c>
      <c r="AA405">
        <v>-1.3830773108541501</v>
      </c>
      <c r="AB405">
        <v>1910</v>
      </c>
      <c r="AC405">
        <v>4</v>
      </c>
      <c r="AD405">
        <v>0</v>
      </c>
      <c r="AE405">
        <v>3.4620335695619099E-2</v>
      </c>
      <c r="AF405">
        <v>0.55224321247156505</v>
      </c>
      <c r="AG405">
        <v>0.40353386407563502</v>
      </c>
      <c r="AH405">
        <v>-6.9545168786228503E-2</v>
      </c>
      <c r="AI405">
        <v>0.454866321653007</v>
      </c>
      <c r="AJ405">
        <v>-0.240643427729687</v>
      </c>
      <c r="AK405">
        <v>42.698529999999998</v>
      </c>
      <c r="AL405">
        <v>2.8953120000000001</v>
      </c>
      <c r="AM405">
        <v>48.799782299999997</v>
      </c>
      <c r="AN405">
        <v>2.4847125999999999</v>
      </c>
    </row>
    <row r="406" spans="1:40" x14ac:dyDescent="0.35">
      <c r="A406">
        <v>530</v>
      </c>
      <c r="B406">
        <v>57</v>
      </c>
      <c r="C406" t="s">
        <v>40</v>
      </c>
      <c r="D406" t="s">
        <v>41</v>
      </c>
      <c r="E406" t="s">
        <v>42</v>
      </c>
      <c r="F406" t="s">
        <v>49</v>
      </c>
      <c r="G406">
        <v>7</v>
      </c>
      <c r="H406">
        <v>49</v>
      </c>
      <c r="I406">
        <v>6</v>
      </c>
      <c r="J406" t="s">
        <v>50</v>
      </c>
      <c r="K406" t="s">
        <v>46</v>
      </c>
      <c r="L406" t="s">
        <v>67</v>
      </c>
      <c r="M406">
        <v>339.69553627211502</v>
      </c>
      <c r="N406">
        <v>396</v>
      </c>
      <c r="O406">
        <v>210</v>
      </c>
      <c r="P406">
        <v>90</v>
      </c>
      <c r="Q406">
        <v>0</v>
      </c>
      <c r="R406">
        <v>1.0986122886681098</v>
      </c>
      <c r="S406">
        <v>4.499809670330265</v>
      </c>
      <c r="T406">
        <v>90.053710317460329</v>
      </c>
      <c r="U406">
        <v>1.5728028449904734</v>
      </c>
      <c r="V406">
        <v>-0.577850340007529</v>
      </c>
      <c r="W406">
        <v>-0.32460727773589898</v>
      </c>
      <c r="X406">
        <v>-0.54369568891204501</v>
      </c>
      <c r="Y406">
        <v>-0.77598924050104101</v>
      </c>
      <c r="Z406">
        <v>0.47668876811384397</v>
      </c>
      <c r="AA406">
        <v>0.85617757356637403</v>
      </c>
      <c r="AB406">
        <v>2565</v>
      </c>
      <c r="AC406">
        <v>1</v>
      </c>
      <c r="AD406">
        <v>0</v>
      </c>
      <c r="AE406">
        <v>-0.72514205471140702</v>
      </c>
      <c r="AF406">
        <v>-2.0751982332299299</v>
      </c>
      <c r="AG406">
        <v>-0.49499845858578501</v>
      </c>
      <c r="AH406">
        <v>0.66954906631336897</v>
      </c>
      <c r="AI406">
        <v>0.422291297089674</v>
      </c>
      <c r="AJ406">
        <v>1.33229489365211</v>
      </c>
      <c r="AK406">
        <v>46.303668000000002</v>
      </c>
      <c r="AL406">
        <v>4.8322269999999996</v>
      </c>
      <c r="AM406">
        <v>48.856372813999997</v>
      </c>
      <c r="AN406">
        <v>2.3525296170000001</v>
      </c>
    </row>
    <row r="407" spans="1:40" x14ac:dyDescent="0.35">
      <c r="A407">
        <v>531</v>
      </c>
      <c r="B407">
        <v>42</v>
      </c>
      <c r="C407" t="s">
        <v>48</v>
      </c>
      <c r="D407" t="s">
        <v>66</v>
      </c>
      <c r="E407" t="s">
        <v>42</v>
      </c>
      <c r="F407" t="s">
        <v>53</v>
      </c>
      <c r="G407">
        <v>3</v>
      </c>
      <c r="H407">
        <v>9</v>
      </c>
      <c r="I407">
        <v>3</v>
      </c>
      <c r="J407" t="s">
        <v>56</v>
      </c>
      <c r="K407" t="s">
        <v>46</v>
      </c>
      <c r="L407" t="s">
        <v>73</v>
      </c>
      <c r="M407">
        <v>11.90970502796681</v>
      </c>
      <c r="N407">
        <v>25</v>
      </c>
      <c r="O407">
        <v>37</v>
      </c>
      <c r="P407">
        <v>27</v>
      </c>
      <c r="Q407">
        <v>1.9459101490553132</v>
      </c>
      <c r="R407">
        <v>2.9444389791664403</v>
      </c>
      <c r="S407">
        <v>4.2626798770413155</v>
      </c>
      <c r="T407">
        <v>91.872500000000002</v>
      </c>
      <c r="U407">
        <v>2.0033201607997366</v>
      </c>
      <c r="V407">
        <v>7.5580716531248995E-2</v>
      </c>
      <c r="W407">
        <v>0.203376316306385</v>
      </c>
      <c r="X407">
        <v>0.143329752535333</v>
      </c>
      <c r="Y407">
        <v>1.4483117406157899</v>
      </c>
      <c r="Z407">
        <v>1.7680602694732599</v>
      </c>
      <c r="AA407">
        <v>0.26366440732357699</v>
      </c>
      <c r="AB407">
        <v>4236</v>
      </c>
      <c r="AC407">
        <v>0</v>
      </c>
      <c r="AD407">
        <v>4</v>
      </c>
      <c r="AE407">
        <v>1.6751267091712101</v>
      </c>
      <c r="AF407">
        <v>-0.36304689975120003</v>
      </c>
      <c r="AG407">
        <v>-0.113408066484199</v>
      </c>
      <c r="AH407">
        <v>5.5785488362962203E-2</v>
      </c>
      <c r="AI407">
        <v>0.51512252724917795</v>
      </c>
      <c r="AJ407">
        <v>-2.34165982250817</v>
      </c>
      <c r="AK407">
        <v>44.686388999999998</v>
      </c>
      <c r="AL407">
        <v>-0.52383800000000003</v>
      </c>
      <c r="AM407">
        <v>44.771000000000001</v>
      </c>
      <c r="AN407">
        <v>-0.61599999999999999</v>
      </c>
    </row>
    <row r="408" spans="1:40" x14ac:dyDescent="0.35">
      <c r="A408">
        <v>532</v>
      </c>
      <c r="B408">
        <v>72</v>
      </c>
      <c r="C408" t="s">
        <v>40</v>
      </c>
      <c r="D408" t="s">
        <v>52</v>
      </c>
      <c r="E408" t="s">
        <v>42</v>
      </c>
      <c r="F408" t="s">
        <v>49</v>
      </c>
      <c r="G408">
        <v>2</v>
      </c>
      <c r="H408">
        <v>4</v>
      </c>
      <c r="I408">
        <v>6</v>
      </c>
      <c r="J408" t="s">
        <v>56</v>
      </c>
      <c r="K408" t="s">
        <v>46</v>
      </c>
      <c r="L408" t="s">
        <v>62</v>
      </c>
      <c r="M408">
        <v>47.49531755535893</v>
      </c>
      <c r="N408">
        <v>94</v>
      </c>
      <c r="O408">
        <v>65</v>
      </c>
      <c r="P408">
        <v>104</v>
      </c>
      <c r="Q408">
        <v>0.69314718055994529</v>
      </c>
      <c r="R408">
        <v>3.2580965380214821</v>
      </c>
      <c r="S408">
        <v>3.2580965380214821</v>
      </c>
      <c r="T408">
        <v>95.68</v>
      </c>
      <c r="U408">
        <v>0</v>
      </c>
      <c r="V408">
        <v>1.82802042479695</v>
      </c>
      <c r="W408">
        <v>0.99424279543483596</v>
      </c>
      <c r="X408">
        <v>0.99177342203587404</v>
      </c>
      <c r="Y408">
        <v>-0.96278755162326501</v>
      </c>
      <c r="Z408">
        <v>-0.75605764486205096</v>
      </c>
      <c r="AA408">
        <v>-0.80037586101695801</v>
      </c>
      <c r="AB408">
        <v>2092.91</v>
      </c>
      <c r="AC408">
        <v>0</v>
      </c>
      <c r="AD408">
        <v>2.1</v>
      </c>
      <c r="AE408">
        <v>-1.0768626388726401</v>
      </c>
      <c r="AF408">
        <v>0.47743436242541698</v>
      </c>
      <c r="AG408">
        <v>0.44066233728787502</v>
      </c>
      <c r="AH408">
        <v>-9.9205688195728906E-2</v>
      </c>
      <c r="AI408">
        <v>-0.54843265236886496</v>
      </c>
      <c r="AJ408">
        <v>-0.25022072561838299</v>
      </c>
      <c r="AK408">
        <v>49.042560999999999</v>
      </c>
      <c r="AL408">
        <v>3.9528660000000002</v>
      </c>
      <c r="AM408">
        <v>49.213407407407423</v>
      </c>
      <c r="AN408">
        <v>3.3554074074074083</v>
      </c>
    </row>
    <row r="409" spans="1:40" x14ac:dyDescent="0.35">
      <c r="A409">
        <v>534</v>
      </c>
      <c r="B409">
        <v>72</v>
      </c>
      <c r="C409" t="s">
        <v>40</v>
      </c>
      <c r="D409" t="s">
        <v>52</v>
      </c>
      <c r="E409" t="s">
        <v>42</v>
      </c>
      <c r="F409" t="s">
        <v>43</v>
      </c>
      <c r="G409">
        <v>3</v>
      </c>
      <c r="H409">
        <v>9</v>
      </c>
      <c r="I409">
        <v>5</v>
      </c>
      <c r="J409" t="s">
        <v>45</v>
      </c>
      <c r="K409" t="s">
        <v>46</v>
      </c>
      <c r="L409" t="s">
        <v>55</v>
      </c>
      <c r="M409">
        <v>400.88880307472112</v>
      </c>
      <c r="N409">
        <v>573</v>
      </c>
      <c r="O409">
        <v>376</v>
      </c>
      <c r="P409">
        <v>220</v>
      </c>
      <c r="Q409">
        <v>2.0794415416798357</v>
      </c>
      <c r="R409">
        <v>2.3025850929940459</v>
      </c>
      <c r="S409">
        <v>3.2580965380214821</v>
      </c>
      <c r="T409">
        <v>95.12</v>
      </c>
      <c r="U409">
        <v>0</v>
      </c>
      <c r="V409">
        <v>1.89305099905856</v>
      </c>
      <c r="W409">
        <v>0.59880690621441701</v>
      </c>
      <c r="X409">
        <v>1.1856460040685599</v>
      </c>
      <c r="Y409">
        <v>-0.15565097555555901</v>
      </c>
      <c r="Z409">
        <v>-0.22748295097212001</v>
      </c>
      <c r="AA409">
        <v>1.0415013010201299</v>
      </c>
      <c r="AB409">
        <v>2939.9504036908884</v>
      </c>
      <c r="AC409">
        <v>2</v>
      </c>
      <c r="AD409">
        <v>0.42868127643214149</v>
      </c>
      <c r="AE409">
        <v>-2.40641039566141E-2</v>
      </c>
      <c r="AF409">
        <v>0.64902917665970805</v>
      </c>
      <c r="AG409">
        <v>-0.76125159060032399</v>
      </c>
      <c r="AH409">
        <v>-0.31123871615922299</v>
      </c>
      <c r="AI409">
        <v>-2.4708388675671</v>
      </c>
      <c r="AJ409">
        <v>-1.4158432364520901</v>
      </c>
      <c r="AK409">
        <v>48.0777517</v>
      </c>
      <c r="AL409">
        <v>7.3579641000000002</v>
      </c>
      <c r="AM409">
        <v>49</v>
      </c>
      <c r="AN409">
        <v>2.0990000000000002</v>
      </c>
    </row>
    <row r="410" spans="1:40" x14ac:dyDescent="0.35">
      <c r="A410">
        <v>535</v>
      </c>
      <c r="B410">
        <v>72</v>
      </c>
      <c r="C410" t="s">
        <v>40</v>
      </c>
      <c r="D410" t="s">
        <v>52</v>
      </c>
      <c r="E410" t="s">
        <v>42</v>
      </c>
      <c r="F410" t="s">
        <v>49</v>
      </c>
      <c r="G410">
        <v>5</v>
      </c>
      <c r="H410">
        <v>25</v>
      </c>
      <c r="I410">
        <v>5</v>
      </c>
      <c r="J410" t="s">
        <v>56</v>
      </c>
      <c r="K410" t="s">
        <v>46</v>
      </c>
      <c r="L410" t="s">
        <v>54</v>
      </c>
      <c r="M410">
        <v>38.362096471695857</v>
      </c>
      <c r="N410">
        <v>36</v>
      </c>
      <c r="O410">
        <v>49</v>
      </c>
      <c r="P410">
        <v>22</v>
      </c>
      <c r="Q410">
        <v>3.9889840465642745</v>
      </c>
      <c r="R410">
        <v>3.0910424533583161</v>
      </c>
      <c r="S410">
        <v>4.1271343850450917</v>
      </c>
      <c r="T410">
        <v>92.826666666666668</v>
      </c>
      <c r="U410">
        <v>2.9827057067926286</v>
      </c>
      <c r="V410">
        <v>-0.16604708794949699</v>
      </c>
      <c r="W410">
        <v>-0.150727876652859</v>
      </c>
      <c r="X410">
        <v>-0.19602043866096</v>
      </c>
      <c r="Y410">
        <v>1.4483117406157899</v>
      </c>
      <c r="Z410">
        <v>1.7680602694732599</v>
      </c>
      <c r="AA410">
        <v>0.26366440732357699</v>
      </c>
      <c r="AB410">
        <v>4236</v>
      </c>
      <c r="AC410">
        <v>0</v>
      </c>
      <c r="AD410">
        <v>4</v>
      </c>
      <c r="AE410">
        <v>1.6751267091712101</v>
      </c>
      <c r="AF410">
        <v>-1.26854163333933</v>
      </c>
      <c r="AG410">
        <v>8.3539218113529698E-2</v>
      </c>
      <c r="AH410">
        <v>0.60341964418594896</v>
      </c>
      <c r="AI410">
        <v>0.13253332355046099</v>
      </c>
      <c r="AJ410">
        <v>9.0680848148153997E-2</v>
      </c>
      <c r="AK410">
        <v>44.917983300000003</v>
      </c>
      <c r="AL410">
        <v>-0.22352169999999999</v>
      </c>
      <c r="AM410">
        <v>44.792000000000002</v>
      </c>
      <c r="AN410">
        <v>-0.67600000000000005</v>
      </c>
    </row>
    <row r="411" spans="1:40" x14ac:dyDescent="0.35">
      <c r="A411">
        <v>536</v>
      </c>
      <c r="B411">
        <v>72</v>
      </c>
      <c r="C411" t="s">
        <v>40</v>
      </c>
      <c r="D411" t="s">
        <v>52</v>
      </c>
      <c r="E411" t="s">
        <v>42</v>
      </c>
      <c r="F411" t="s">
        <v>49</v>
      </c>
      <c r="G411">
        <v>5</v>
      </c>
      <c r="H411">
        <v>25</v>
      </c>
      <c r="I411">
        <v>7</v>
      </c>
      <c r="J411" t="s">
        <v>50</v>
      </c>
      <c r="K411" t="s">
        <v>46</v>
      </c>
      <c r="L411" t="s">
        <v>83</v>
      </c>
      <c r="M411">
        <v>405.64619420975907</v>
      </c>
      <c r="Q411">
        <v>0</v>
      </c>
      <c r="R411">
        <v>0</v>
      </c>
      <c r="S411">
        <v>4.4886363697321396</v>
      </c>
      <c r="T411">
        <v>90.115111111111119</v>
      </c>
      <c r="U411">
        <v>1.2513404171152498</v>
      </c>
      <c r="V411">
        <v>-0.46152060700845399</v>
      </c>
      <c r="W411">
        <v>-0.57121975163865102</v>
      </c>
      <c r="X411">
        <v>-0.33135740862223101</v>
      </c>
      <c r="Y411">
        <v>-0.77598924050104101</v>
      </c>
      <c r="Z411">
        <v>0.47668876811384397</v>
      </c>
      <c r="AA411">
        <v>0.85617757356637403</v>
      </c>
      <c r="AB411">
        <v>2565</v>
      </c>
      <c r="AC411">
        <v>1</v>
      </c>
      <c r="AD411">
        <v>0</v>
      </c>
      <c r="AE411">
        <v>-0.72514205471140702</v>
      </c>
      <c r="AF411">
        <v>-1.71733985726951</v>
      </c>
      <c r="AG411">
        <v>1.59450847026868</v>
      </c>
      <c r="AH411">
        <v>1.3578415414165399</v>
      </c>
      <c r="AI411">
        <v>-0.49938072187897398</v>
      </c>
      <c r="AJ411">
        <v>1.5773802666455301</v>
      </c>
      <c r="AK411">
        <v>46.839658</v>
      </c>
      <c r="AL411">
        <v>4.7189269999999999</v>
      </c>
      <c r="AM411">
        <v>43.731704512</v>
      </c>
      <c r="AN411">
        <v>7.4243550000000003</v>
      </c>
    </row>
    <row r="412" spans="1:40" x14ac:dyDescent="0.35">
      <c r="A412">
        <v>537</v>
      </c>
      <c r="B412">
        <v>72</v>
      </c>
      <c r="C412" t="s">
        <v>40</v>
      </c>
      <c r="D412" t="s">
        <v>52</v>
      </c>
      <c r="E412" t="s">
        <v>42</v>
      </c>
      <c r="F412" t="s">
        <v>49</v>
      </c>
      <c r="G412">
        <v>2</v>
      </c>
      <c r="H412">
        <v>4</v>
      </c>
      <c r="I412">
        <v>4</v>
      </c>
      <c r="J412" t="s">
        <v>45</v>
      </c>
      <c r="K412" t="s">
        <v>46</v>
      </c>
      <c r="L412" t="s">
        <v>59</v>
      </c>
      <c r="M412">
        <v>202.74806451462089</v>
      </c>
      <c r="N412">
        <v>212</v>
      </c>
      <c r="O412">
        <v>169</v>
      </c>
      <c r="P412">
        <v>156</v>
      </c>
      <c r="Q412">
        <v>1.3862943611198906</v>
      </c>
      <c r="R412">
        <v>1.3862943611198906</v>
      </c>
      <c r="S412">
        <v>4.9972122737641147</v>
      </c>
      <c r="T412">
        <v>90.035146103896111</v>
      </c>
      <c r="U412">
        <v>1.418823059726001</v>
      </c>
      <c r="V412">
        <v>-0.52223564926899602</v>
      </c>
      <c r="W412">
        <v>-0.46072710968150399</v>
      </c>
      <c r="X412">
        <v>-0.361786268345754</v>
      </c>
      <c r="Y412">
        <v>-0.552694479448822</v>
      </c>
      <c r="Z412">
        <v>2.1676297177028899E-2</v>
      </c>
      <c r="AA412">
        <v>0.625223797005378</v>
      </c>
      <c r="AB412">
        <v>2234.6992515788952</v>
      </c>
      <c r="AC412">
        <v>0</v>
      </c>
      <c r="AD412">
        <v>1.7130468298323378</v>
      </c>
      <c r="AE412">
        <v>-1.13486126839574</v>
      </c>
      <c r="AF412">
        <v>-2.1147085339226801</v>
      </c>
      <c r="AG412">
        <v>0.27214234352210198</v>
      </c>
      <c r="AH412">
        <v>0.259598430011654</v>
      </c>
      <c r="AI412">
        <v>-2.1373240391575798</v>
      </c>
      <c r="AJ412">
        <v>-1.3397158154623601</v>
      </c>
      <c r="AK412">
        <v>47.411035099999999</v>
      </c>
      <c r="AL412">
        <v>0.98369799999999996</v>
      </c>
      <c r="AM412">
        <v>48.853000000000002</v>
      </c>
      <c r="AN412">
        <v>2.6509999999999998</v>
      </c>
    </row>
    <row r="413" spans="1:40" x14ac:dyDescent="0.35">
      <c r="A413">
        <v>539</v>
      </c>
      <c r="B413">
        <v>57</v>
      </c>
      <c r="C413" t="s">
        <v>48</v>
      </c>
      <c r="D413" t="s">
        <v>52</v>
      </c>
      <c r="E413" t="s">
        <v>42</v>
      </c>
      <c r="F413" t="s">
        <v>49</v>
      </c>
      <c r="G413">
        <v>4</v>
      </c>
      <c r="H413">
        <v>16</v>
      </c>
      <c r="I413">
        <v>3</v>
      </c>
      <c r="J413" t="s">
        <v>56</v>
      </c>
      <c r="K413" t="s">
        <v>46</v>
      </c>
      <c r="L413" t="s">
        <v>71</v>
      </c>
      <c r="M413">
        <v>33.015454627948451</v>
      </c>
      <c r="N413">
        <v>158</v>
      </c>
      <c r="O413">
        <v>90</v>
      </c>
      <c r="P413">
        <v>147</v>
      </c>
      <c r="Q413">
        <v>4.5747109785033828</v>
      </c>
      <c r="R413">
        <v>3.5263605246161616</v>
      </c>
      <c r="S413">
        <v>5.1416635565026603</v>
      </c>
      <c r="T413">
        <v>92.265120976563693</v>
      </c>
      <c r="U413">
        <v>2.9351954657362995</v>
      </c>
      <c r="V413">
        <v>-8.3509539921858403E-2</v>
      </c>
      <c r="W413">
        <v>-8.6188355584626702E-2</v>
      </c>
      <c r="X413">
        <v>-6.2117403422328299E-2</v>
      </c>
      <c r="Y413">
        <v>-0.51135009403950604</v>
      </c>
      <c r="Z413">
        <v>-0.669554030021006</v>
      </c>
      <c r="AA413">
        <v>-1.4915282051312999</v>
      </c>
      <c r="AB413">
        <v>1813.5248996931791</v>
      </c>
      <c r="AC413">
        <v>1.6535284399339156</v>
      </c>
      <c r="AD413">
        <v>0.49421760679726223</v>
      </c>
      <c r="AE413">
        <v>-0.18520258641298501</v>
      </c>
      <c r="AF413">
        <v>-0.61468341521936487</v>
      </c>
      <c r="AG413">
        <v>-0.32935370865302377</v>
      </c>
      <c r="AH413">
        <v>-0.83923198852206449</v>
      </c>
      <c r="AI413">
        <v>-0.33867160550912101</v>
      </c>
      <c r="AJ413">
        <v>-0.33530388736988698</v>
      </c>
      <c r="AK413">
        <v>45.071283999999999</v>
      </c>
      <c r="AL413">
        <v>4.8370730000000002</v>
      </c>
      <c r="AM413">
        <v>45.366916666666668</v>
      </c>
      <c r="AN413">
        <v>4.8707500000000001</v>
      </c>
    </row>
    <row r="414" spans="1:40" x14ac:dyDescent="0.35">
      <c r="A414">
        <v>540</v>
      </c>
      <c r="B414">
        <v>72</v>
      </c>
      <c r="C414" t="s">
        <v>40</v>
      </c>
      <c r="D414" t="s">
        <v>52</v>
      </c>
      <c r="E414" t="s">
        <v>42</v>
      </c>
      <c r="F414" t="s">
        <v>43</v>
      </c>
      <c r="G414">
        <v>5</v>
      </c>
      <c r="H414">
        <v>25</v>
      </c>
      <c r="I414">
        <v>5</v>
      </c>
      <c r="J414" t="s">
        <v>50</v>
      </c>
      <c r="K414" t="s">
        <v>46</v>
      </c>
      <c r="L414" t="s">
        <v>76</v>
      </c>
      <c r="M414">
        <v>173.03510811042719</v>
      </c>
      <c r="N414">
        <v>211</v>
      </c>
      <c r="O414">
        <v>159</v>
      </c>
      <c r="P414">
        <v>171</v>
      </c>
      <c r="Q414">
        <v>0</v>
      </c>
      <c r="R414">
        <v>1.0986122886681098</v>
      </c>
      <c r="S414">
        <v>4.1588830833596715</v>
      </c>
      <c r="T414">
        <v>91.226666666666674</v>
      </c>
      <c r="U414">
        <v>1.418823059726001</v>
      </c>
      <c r="V414">
        <v>-0.39095273818515502</v>
      </c>
      <c r="W414">
        <v>-0.53446083104759001</v>
      </c>
      <c r="X414">
        <v>-0.40804429067029002</v>
      </c>
      <c r="Y414">
        <v>-0.56789545922357498</v>
      </c>
      <c r="Z414">
        <v>-0.94760790482486201</v>
      </c>
      <c r="AA414">
        <v>-1.0848673571571601</v>
      </c>
      <c r="AB414">
        <v>1770.5103102717287</v>
      </c>
      <c r="AC414">
        <v>0.28213528618230871</v>
      </c>
      <c r="AD414">
        <v>1.7130468298323378</v>
      </c>
      <c r="AE414">
        <v>-1.13486126839574</v>
      </c>
      <c r="AF414">
        <v>0.773125741030675</v>
      </c>
      <c r="AG414">
        <v>-1.62110069819026</v>
      </c>
      <c r="AH414">
        <v>1.22815787789444</v>
      </c>
      <c r="AI414">
        <v>0.74318681618151405</v>
      </c>
      <c r="AJ414">
        <v>1.13219827916871</v>
      </c>
      <c r="AK414">
        <v>47.330690599999997</v>
      </c>
      <c r="AL414">
        <v>2.8390453999999998</v>
      </c>
      <c r="AM414">
        <v>48.863</v>
      </c>
      <c r="AN414">
        <v>2.448</v>
      </c>
    </row>
    <row r="415" spans="1:40" x14ac:dyDescent="0.35">
      <c r="A415">
        <v>542</v>
      </c>
      <c r="B415">
        <v>42</v>
      </c>
      <c r="C415" t="s">
        <v>40</v>
      </c>
      <c r="D415" t="s">
        <v>66</v>
      </c>
      <c r="E415" t="s">
        <v>68</v>
      </c>
      <c r="F415" t="s">
        <v>61</v>
      </c>
      <c r="G415">
        <v>5</v>
      </c>
      <c r="H415">
        <v>25</v>
      </c>
      <c r="I415">
        <v>4</v>
      </c>
      <c r="J415" t="s">
        <v>50</v>
      </c>
      <c r="K415" t="s">
        <v>46</v>
      </c>
      <c r="L415" t="s">
        <v>69</v>
      </c>
      <c r="M415">
        <v>386.18616756122952</v>
      </c>
      <c r="N415">
        <v>558</v>
      </c>
      <c r="O415">
        <v>354</v>
      </c>
      <c r="P415">
        <v>287</v>
      </c>
      <c r="Q415">
        <v>2.3978952727983707</v>
      </c>
      <c r="R415">
        <v>4.5538768916005408</v>
      </c>
      <c r="S415">
        <v>5.4847969334906548</v>
      </c>
      <c r="T415">
        <v>93.296000000000006</v>
      </c>
      <c r="U415">
        <v>2.2325431437911538</v>
      </c>
      <c r="V415">
        <v>-0.44922684044461197</v>
      </c>
      <c r="W415">
        <v>-0.76855194782346203</v>
      </c>
      <c r="X415">
        <v>-0.44700324392789598</v>
      </c>
      <c r="Y415">
        <v>-0.846122564821426</v>
      </c>
      <c r="Z415">
        <v>-0.92679578564836795</v>
      </c>
      <c r="AA415">
        <v>0.86332342905974202</v>
      </c>
      <c r="AB415">
        <v>2050</v>
      </c>
      <c r="AC415">
        <v>1</v>
      </c>
      <c r="AD415">
        <v>2</v>
      </c>
      <c r="AE415">
        <v>-0.51011828243844404</v>
      </c>
      <c r="AF415">
        <v>-1.2594215659611701</v>
      </c>
      <c r="AG415">
        <v>0.104201096073014</v>
      </c>
      <c r="AH415">
        <v>0.22693712330062099</v>
      </c>
      <c r="AI415">
        <v>0.223851221966026</v>
      </c>
      <c r="AJ415">
        <v>0.33279834709295197</v>
      </c>
      <c r="AK415">
        <v>47.177235000000003</v>
      </c>
      <c r="AL415">
        <v>4.964315</v>
      </c>
      <c r="AM415">
        <v>50.640682937000001</v>
      </c>
      <c r="AN415">
        <v>4.6610704270000003</v>
      </c>
    </row>
    <row r="416" spans="1:40" x14ac:dyDescent="0.35">
      <c r="A416">
        <v>543</v>
      </c>
      <c r="B416">
        <v>72</v>
      </c>
      <c r="C416" t="s">
        <v>40</v>
      </c>
      <c r="D416" t="s">
        <v>41</v>
      </c>
      <c r="E416" t="s">
        <v>42</v>
      </c>
      <c r="F416" t="s">
        <v>49</v>
      </c>
      <c r="G416">
        <v>5</v>
      </c>
      <c r="H416">
        <v>25</v>
      </c>
      <c r="I416">
        <v>7</v>
      </c>
      <c r="J416" t="s">
        <v>56</v>
      </c>
      <c r="K416" t="s">
        <v>46</v>
      </c>
      <c r="L416" t="s">
        <v>55</v>
      </c>
      <c r="M416">
        <v>101.9820768407001</v>
      </c>
      <c r="N416">
        <v>73</v>
      </c>
      <c r="O416">
        <v>61</v>
      </c>
      <c r="P416">
        <v>30</v>
      </c>
      <c r="Q416">
        <v>2.0794415416798357</v>
      </c>
      <c r="R416">
        <v>2.3025850929940459</v>
      </c>
      <c r="S416">
        <v>3.2580965380214821</v>
      </c>
      <c r="T416">
        <v>95.12</v>
      </c>
      <c r="U416">
        <v>0</v>
      </c>
      <c r="V416">
        <v>1.89305099905856</v>
      </c>
      <c r="W416">
        <v>0.59880690621441701</v>
      </c>
      <c r="X416">
        <v>1.1856460040685599</v>
      </c>
      <c r="Y416">
        <v>-0.15565097555555901</v>
      </c>
      <c r="Z416">
        <v>-0.22748295097212001</v>
      </c>
      <c r="AA416">
        <v>1.0415013010201299</v>
      </c>
      <c r="AB416">
        <v>2939.9504036908884</v>
      </c>
      <c r="AC416">
        <v>2</v>
      </c>
      <c r="AD416">
        <v>0.42868127643214149</v>
      </c>
      <c r="AE416">
        <v>-2.40641039566141E-2</v>
      </c>
      <c r="AF416">
        <v>0.27083981913420502</v>
      </c>
      <c r="AG416">
        <v>1.31102175046773</v>
      </c>
      <c r="AH416">
        <v>-0.81610372726438396</v>
      </c>
      <c r="AI416">
        <v>-2.2667101058840999</v>
      </c>
      <c r="AJ416">
        <v>1.1034663855026201</v>
      </c>
      <c r="AK416">
        <v>48.0777517</v>
      </c>
      <c r="AL416">
        <v>7.3579641000000002</v>
      </c>
      <c r="AM416">
        <v>48.893000000000001</v>
      </c>
      <c r="AN416">
        <v>7.9885000000000002</v>
      </c>
    </row>
    <row r="417" spans="1:40" x14ac:dyDescent="0.35">
      <c r="A417">
        <v>544</v>
      </c>
      <c r="B417">
        <v>57</v>
      </c>
      <c r="C417" t="s">
        <v>40</v>
      </c>
      <c r="D417" t="s">
        <v>41</v>
      </c>
      <c r="E417" t="s">
        <v>42</v>
      </c>
      <c r="F417" t="s">
        <v>49</v>
      </c>
      <c r="G417">
        <v>4</v>
      </c>
      <c r="H417">
        <v>16</v>
      </c>
      <c r="I417">
        <v>4</v>
      </c>
      <c r="J417" t="s">
        <v>56</v>
      </c>
      <c r="K417" t="s">
        <v>46</v>
      </c>
      <c r="L417" t="s">
        <v>47</v>
      </c>
      <c r="M417">
        <v>606.28666627249277</v>
      </c>
      <c r="N417">
        <v>755</v>
      </c>
      <c r="O417">
        <v>464</v>
      </c>
      <c r="P417">
        <v>352</v>
      </c>
      <c r="Q417">
        <v>5.9107966440405271</v>
      </c>
      <c r="R417">
        <v>6.4997870406558542</v>
      </c>
      <c r="S417">
        <v>8.6415324656718457</v>
      </c>
      <c r="T417">
        <v>89.265350482850479</v>
      </c>
      <c r="U417">
        <v>1.4417786561042019</v>
      </c>
      <c r="V417">
        <v>-0.22886708829074301</v>
      </c>
      <c r="W417">
        <v>0.28745285629339301</v>
      </c>
      <c r="X417">
        <v>-0.15627425222847</v>
      </c>
      <c r="Y417">
        <v>1.45226138127617</v>
      </c>
      <c r="Z417">
        <v>0.98247225355557</v>
      </c>
      <c r="AA417">
        <v>0.627775520474398</v>
      </c>
      <c r="AB417">
        <v>3362.2959371744532</v>
      </c>
      <c r="AC417">
        <v>2.8998317172850387</v>
      </c>
      <c r="AD417">
        <v>2.9499158586425196</v>
      </c>
      <c r="AE417">
        <v>1.06273170356322</v>
      </c>
      <c r="AF417">
        <v>0.54033512528193495</v>
      </c>
      <c r="AG417">
        <v>0.46597013433539602</v>
      </c>
      <c r="AH417">
        <v>-0.49726254082939197</v>
      </c>
      <c r="AI417">
        <v>-1.5441142980497999</v>
      </c>
      <c r="AJ417">
        <v>0.51492721427835297</v>
      </c>
      <c r="AK417">
        <v>43.3535629403058</v>
      </c>
      <c r="AL417">
        <v>3.21615314793977</v>
      </c>
      <c r="AM417">
        <v>48.767000000000003</v>
      </c>
      <c r="AN417">
        <v>2.3530000000000002</v>
      </c>
    </row>
    <row r="418" spans="1:40" x14ac:dyDescent="0.35">
      <c r="A418">
        <v>545</v>
      </c>
      <c r="B418">
        <v>72</v>
      </c>
      <c r="C418" t="s">
        <v>40</v>
      </c>
      <c r="D418" t="s">
        <v>52</v>
      </c>
      <c r="E418" t="s">
        <v>42</v>
      </c>
      <c r="F418" t="s">
        <v>49</v>
      </c>
      <c r="G418">
        <v>6</v>
      </c>
      <c r="H418">
        <v>36</v>
      </c>
      <c r="I418">
        <v>5</v>
      </c>
      <c r="J418" t="s">
        <v>50</v>
      </c>
      <c r="K418" t="s">
        <v>46</v>
      </c>
      <c r="L418" t="s">
        <v>76</v>
      </c>
      <c r="M418">
        <v>368.08507909539202</v>
      </c>
      <c r="N418">
        <v>415</v>
      </c>
      <c r="O418">
        <v>276</v>
      </c>
      <c r="P418">
        <v>262</v>
      </c>
      <c r="Q418">
        <v>0</v>
      </c>
      <c r="R418">
        <v>1.0986122886681098</v>
      </c>
      <c r="S418">
        <v>4.1588830833596715</v>
      </c>
      <c r="T418">
        <v>91.226666666666674</v>
      </c>
      <c r="U418">
        <v>1.418823059726001</v>
      </c>
      <c r="V418">
        <v>-0.39095273818515502</v>
      </c>
      <c r="W418">
        <v>-0.53446083104759001</v>
      </c>
      <c r="X418">
        <v>-0.40804429067029002</v>
      </c>
      <c r="Y418">
        <v>-0.56789545922357498</v>
      </c>
      <c r="Z418">
        <v>-0.94760790482486201</v>
      </c>
      <c r="AA418">
        <v>-1.0848673571571601</v>
      </c>
      <c r="AB418">
        <v>1770.5103102717287</v>
      </c>
      <c r="AC418">
        <v>0.28213528618230871</v>
      </c>
      <c r="AD418">
        <v>1.7130468298323378</v>
      </c>
      <c r="AE418">
        <v>-1.13486126839574</v>
      </c>
      <c r="AF418">
        <v>-1.31367475374826</v>
      </c>
      <c r="AG418">
        <v>0.88817918911298799</v>
      </c>
      <c r="AH418">
        <v>8.9685052873098595E-2</v>
      </c>
      <c r="AI418">
        <v>0.785617991096489</v>
      </c>
      <c r="AJ418">
        <v>0.72757262111177101</v>
      </c>
      <c r="AK418">
        <v>47.330690599999997</v>
      </c>
      <c r="AL418">
        <v>2.8390453999999998</v>
      </c>
      <c r="AM418">
        <v>50.635049500000001</v>
      </c>
      <c r="AN418">
        <v>3.0231666000000001</v>
      </c>
    </row>
    <row r="419" spans="1:40" x14ac:dyDescent="0.35">
      <c r="A419">
        <v>548</v>
      </c>
      <c r="B419">
        <v>72</v>
      </c>
      <c r="C419" t="s">
        <v>40</v>
      </c>
      <c r="D419" t="s">
        <v>52</v>
      </c>
      <c r="E419" t="s">
        <v>42</v>
      </c>
      <c r="F419" t="s">
        <v>49</v>
      </c>
      <c r="G419">
        <v>4</v>
      </c>
      <c r="H419">
        <v>16</v>
      </c>
      <c r="I419">
        <v>7</v>
      </c>
      <c r="J419" t="s">
        <v>50</v>
      </c>
      <c r="K419" t="s">
        <v>46</v>
      </c>
      <c r="L419" t="s">
        <v>71</v>
      </c>
      <c r="M419">
        <v>78.973095861091025</v>
      </c>
      <c r="N419">
        <v>158</v>
      </c>
      <c r="O419">
        <v>90</v>
      </c>
      <c r="P419">
        <v>147</v>
      </c>
      <c r="Q419">
        <v>4.5747109785033828</v>
      </c>
      <c r="R419">
        <v>3.5263605246161616</v>
      </c>
      <c r="S419">
        <v>5.1416635565026603</v>
      </c>
      <c r="T419">
        <v>92.265120976563693</v>
      </c>
      <c r="U419">
        <v>2.9351954657362995</v>
      </c>
      <c r="V419">
        <v>-8.3509539921858403E-2</v>
      </c>
      <c r="W419">
        <v>-8.6188355584626702E-2</v>
      </c>
      <c r="X419">
        <v>-6.2117403422328299E-2</v>
      </c>
      <c r="Y419">
        <v>-0.51135009403950604</v>
      </c>
      <c r="Z419">
        <v>-0.669554030021006</v>
      </c>
      <c r="AA419">
        <v>-1.4915282051312999</v>
      </c>
      <c r="AB419">
        <v>1813.5248996931791</v>
      </c>
      <c r="AC419">
        <v>1.6535284399339156</v>
      </c>
      <c r="AD419">
        <v>0.49421760679726223</v>
      </c>
      <c r="AE419">
        <v>-0.18520258641298501</v>
      </c>
      <c r="AF419">
        <v>0.51500083912264405</v>
      </c>
      <c r="AG419">
        <v>8.17756080860257E-2</v>
      </c>
      <c r="AH419">
        <v>1.00060439413665</v>
      </c>
      <c r="AI419">
        <v>-1.94762684498974</v>
      </c>
      <c r="AJ419">
        <v>-0.121995666031743</v>
      </c>
      <c r="AK419">
        <v>45.071283999999999</v>
      </c>
      <c r="AL419">
        <v>4.8370730000000002</v>
      </c>
      <c r="AM419">
        <v>45.713722222222231</v>
      </c>
      <c r="AN419">
        <v>5.265611111111113</v>
      </c>
    </row>
    <row r="420" spans="1:40" x14ac:dyDescent="0.35">
      <c r="A420">
        <v>549</v>
      </c>
      <c r="B420">
        <v>72</v>
      </c>
      <c r="C420" t="s">
        <v>40</v>
      </c>
      <c r="D420" t="s">
        <v>52</v>
      </c>
      <c r="E420" t="s">
        <v>42</v>
      </c>
      <c r="F420" t="s">
        <v>43</v>
      </c>
      <c r="G420">
        <v>6</v>
      </c>
      <c r="H420">
        <v>36</v>
      </c>
      <c r="I420">
        <v>7</v>
      </c>
      <c r="J420" t="s">
        <v>50</v>
      </c>
      <c r="K420" t="s">
        <v>46</v>
      </c>
      <c r="L420" t="s">
        <v>72</v>
      </c>
      <c r="M420">
        <v>475.8823588080233</v>
      </c>
      <c r="N420">
        <v>612</v>
      </c>
      <c r="O420">
        <v>386</v>
      </c>
      <c r="P420">
        <v>298</v>
      </c>
      <c r="Q420">
        <v>0.69314718055994529</v>
      </c>
      <c r="R420">
        <v>1.3862943611198906</v>
      </c>
      <c r="S420">
        <v>4.5538768916005408</v>
      </c>
      <c r="T420">
        <v>89.340161030595823</v>
      </c>
      <c r="U420">
        <v>1.4712304197281412</v>
      </c>
      <c r="V420">
        <v>0.59716251398508702</v>
      </c>
      <c r="W420">
        <v>0.91068296986709796</v>
      </c>
      <c r="X420">
        <v>1.2273243988355</v>
      </c>
      <c r="Y420">
        <v>-0.4121809470949</v>
      </c>
      <c r="Z420">
        <v>-0.86472582726521097</v>
      </c>
      <c r="AA420">
        <v>-1.0172779374790899</v>
      </c>
      <c r="AB420">
        <v>1828.1689246701658</v>
      </c>
      <c r="AC420">
        <v>1.1127464888636687</v>
      </c>
      <c r="AD420">
        <v>1.8630656830756136</v>
      </c>
      <c r="AE420">
        <v>-0.53926882203722504</v>
      </c>
      <c r="AF420">
        <v>0.661642660169936</v>
      </c>
      <c r="AG420">
        <v>-5.0689901850978297E-2</v>
      </c>
      <c r="AH420">
        <v>-0.43047679806529199</v>
      </c>
      <c r="AI420">
        <v>1.25882283014214</v>
      </c>
      <c r="AJ420">
        <v>-0.97628845496702499</v>
      </c>
      <c r="AK420">
        <v>44.853456999999999</v>
      </c>
      <c r="AL420">
        <v>0.48753099999999999</v>
      </c>
      <c r="AM420">
        <v>48.94</v>
      </c>
      <c r="AN420">
        <v>2.3260000000000001</v>
      </c>
    </row>
    <row r="421" spans="1:40" x14ac:dyDescent="0.35">
      <c r="A421">
        <v>550</v>
      </c>
      <c r="B421">
        <v>42</v>
      </c>
      <c r="C421" t="s">
        <v>40</v>
      </c>
      <c r="D421" t="s">
        <v>66</v>
      </c>
      <c r="E421" t="s">
        <v>42</v>
      </c>
      <c r="F421" t="s">
        <v>43</v>
      </c>
      <c r="G421">
        <v>7</v>
      </c>
      <c r="H421">
        <v>49</v>
      </c>
      <c r="I421">
        <v>7</v>
      </c>
      <c r="J421" t="s">
        <v>50</v>
      </c>
      <c r="K421" t="s">
        <v>46</v>
      </c>
      <c r="L421" t="s">
        <v>72</v>
      </c>
      <c r="M421">
        <v>92.039101038591511</v>
      </c>
      <c r="N421">
        <v>112</v>
      </c>
      <c r="O421">
        <v>105</v>
      </c>
      <c r="P421">
        <v>160</v>
      </c>
      <c r="Q421">
        <v>0.69314718055994529</v>
      </c>
      <c r="R421">
        <v>1.3862943611198906</v>
      </c>
      <c r="S421">
        <v>4.5538768916005408</v>
      </c>
      <c r="T421">
        <v>89.340161030595823</v>
      </c>
      <c r="U421">
        <v>1.4712304197281412</v>
      </c>
      <c r="V421">
        <v>0.59716251398508702</v>
      </c>
      <c r="W421">
        <v>0.91068296986709796</v>
      </c>
      <c r="X421">
        <v>1.2273243988355</v>
      </c>
      <c r="Y421">
        <v>-0.4121809470949</v>
      </c>
      <c r="Z421">
        <v>-0.86472582726521097</v>
      </c>
      <c r="AA421">
        <v>-1.0172779374790899</v>
      </c>
      <c r="AB421">
        <v>1828.1689246701658</v>
      </c>
      <c r="AC421">
        <v>1.1127464888636687</v>
      </c>
      <c r="AD421">
        <v>1.8630656830756136</v>
      </c>
      <c r="AE421">
        <v>-0.53926882203722504</v>
      </c>
      <c r="AF421">
        <v>-1.5616034464897699</v>
      </c>
      <c r="AG421">
        <v>2.1015977094106502</v>
      </c>
      <c r="AH421">
        <v>-3.05451891243677</v>
      </c>
      <c r="AI421">
        <v>0.68136563126324301</v>
      </c>
      <c r="AJ421">
        <v>1.2621768773908</v>
      </c>
      <c r="AK421">
        <v>44.503641999999999</v>
      </c>
      <c r="AL421">
        <v>1.1863669999999999</v>
      </c>
      <c r="AM421">
        <v>43.759</v>
      </c>
      <c r="AN421">
        <v>1.6870000000000001</v>
      </c>
    </row>
    <row r="422" spans="1:40" x14ac:dyDescent="0.35">
      <c r="A422">
        <v>551</v>
      </c>
      <c r="B422">
        <v>57</v>
      </c>
      <c r="C422" t="s">
        <v>40</v>
      </c>
      <c r="D422" t="s">
        <v>41</v>
      </c>
      <c r="E422" t="s">
        <v>42</v>
      </c>
      <c r="F422" t="s">
        <v>49</v>
      </c>
      <c r="G422">
        <v>5</v>
      </c>
      <c r="H422">
        <v>25</v>
      </c>
      <c r="I422">
        <v>4</v>
      </c>
      <c r="J422" t="s">
        <v>50</v>
      </c>
      <c r="K422" t="s">
        <v>46</v>
      </c>
      <c r="L422" t="s">
        <v>81</v>
      </c>
      <c r="M422">
        <v>394.50434909375679</v>
      </c>
      <c r="N422">
        <v>146</v>
      </c>
      <c r="O422">
        <v>103</v>
      </c>
      <c r="P422">
        <v>119</v>
      </c>
      <c r="Q422">
        <v>0</v>
      </c>
      <c r="R422">
        <v>0</v>
      </c>
      <c r="S422">
        <v>4.0430512678345503</v>
      </c>
      <c r="T422">
        <v>88.705120018058608</v>
      </c>
      <c r="U422">
        <v>1.1736806104474848</v>
      </c>
      <c r="V422">
        <v>-0.47558929701305802</v>
      </c>
      <c r="W422">
        <v>-0.86536000504125898</v>
      </c>
      <c r="X422">
        <v>-0.756079468432718</v>
      </c>
      <c r="Y422">
        <v>-0.29991099617686701</v>
      </c>
      <c r="Z422">
        <v>-0.41295088194839003</v>
      </c>
      <c r="AA422">
        <v>-1.4747044340851601</v>
      </c>
      <c r="AB422">
        <v>2397.9202643171807</v>
      </c>
      <c r="AC422">
        <v>4.5123348017621154</v>
      </c>
      <c r="AD422">
        <v>0.89074889867841411</v>
      </c>
      <c r="AE422">
        <v>2.0319785812814501</v>
      </c>
      <c r="AF422">
        <v>-0.17964389255164601</v>
      </c>
      <c r="AG422">
        <v>-9.8431631688954496E-2</v>
      </c>
      <c r="AH422">
        <v>-0.27740174150501001</v>
      </c>
      <c r="AI422">
        <v>0.115413781642054</v>
      </c>
      <c r="AJ422">
        <v>-0.61395748072244805</v>
      </c>
      <c r="AK422">
        <v>48.862724999999998</v>
      </c>
      <c r="AL422">
        <v>2.2875920000000001</v>
      </c>
      <c r="AM422">
        <v>45.767306300000001</v>
      </c>
      <c r="AN422">
        <v>4.8343065000000003</v>
      </c>
    </row>
    <row r="423" spans="1:40" x14ac:dyDescent="0.35">
      <c r="A423">
        <v>552</v>
      </c>
      <c r="B423">
        <v>57</v>
      </c>
      <c r="C423" t="s">
        <v>40</v>
      </c>
      <c r="D423" t="s">
        <v>41</v>
      </c>
      <c r="E423" t="s">
        <v>42</v>
      </c>
      <c r="F423" t="s">
        <v>43</v>
      </c>
      <c r="G423">
        <v>6</v>
      </c>
      <c r="H423">
        <v>36</v>
      </c>
      <c r="I423">
        <v>4</v>
      </c>
      <c r="J423" t="s">
        <v>56</v>
      </c>
      <c r="K423" t="s">
        <v>46</v>
      </c>
      <c r="L423" t="s">
        <v>72</v>
      </c>
      <c r="M423">
        <v>492.64404854898049</v>
      </c>
      <c r="N423">
        <v>576</v>
      </c>
      <c r="O423">
        <v>361</v>
      </c>
      <c r="P423">
        <v>326</v>
      </c>
      <c r="Q423">
        <v>0.69314718055994529</v>
      </c>
      <c r="R423">
        <v>1.3862943611198906</v>
      </c>
      <c r="S423">
        <v>4.5538768916005408</v>
      </c>
      <c r="T423">
        <v>89.340161030595823</v>
      </c>
      <c r="U423">
        <v>1.4712304197281412</v>
      </c>
      <c r="V423">
        <v>0.59716251398508702</v>
      </c>
      <c r="W423">
        <v>0.91068296986709796</v>
      </c>
      <c r="X423">
        <v>1.2273243988355</v>
      </c>
      <c r="Y423">
        <v>-0.4121809470949</v>
      </c>
      <c r="Z423">
        <v>-0.86472582726521097</v>
      </c>
      <c r="AA423">
        <v>-1.0172779374790899</v>
      </c>
      <c r="AB423">
        <v>1828.1689246701658</v>
      </c>
      <c r="AC423">
        <v>1.1127464888636687</v>
      </c>
      <c r="AD423">
        <v>1.8630656830756136</v>
      </c>
      <c r="AE423">
        <v>-0.53926882203722504</v>
      </c>
      <c r="AF423">
        <v>0.75631243663683301</v>
      </c>
      <c r="AG423">
        <v>0.401611036091234</v>
      </c>
      <c r="AH423">
        <v>-0.109626163220311</v>
      </c>
      <c r="AI423">
        <v>0.85837886859294099</v>
      </c>
      <c r="AJ423">
        <v>0.39627945258040898</v>
      </c>
      <c r="AK423">
        <v>44.503641999999999</v>
      </c>
      <c r="AL423">
        <v>1.1863669999999999</v>
      </c>
      <c r="AM423">
        <v>48.856372813999997</v>
      </c>
      <c r="AN423">
        <v>2.3525296170000001</v>
      </c>
    </row>
    <row r="424" spans="1:40" x14ac:dyDescent="0.35">
      <c r="A424">
        <v>555</v>
      </c>
      <c r="B424">
        <v>57</v>
      </c>
      <c r="C424" t="s">
        <v>40</v>
      </c>
      <c r="D424" t="s">
        <v>52</v>
      </c>
      <c r="E424" t="s">
        <v>42</v>
      </c>
      <c r="F424" t="s">
        <v>49</v>
      </c>
      <c r="G424">
        <v>6</v>
      </c>
      <c r="H424">
        <v>36</v>
      </c>
      <c r="I424">
        <v>6</v>
      </c>
      <c r="J424" t="s">
        <v>50</v>
      </c>
      <c r="K424" t="s">
        <v>46</v>
      </c>
      <c r="L424" t="s">
        <v>47</v>
      </c>
      <c r="M424">
        <v>92.544358455190491</v>
      </c>
      <c r="N424">
        <v>118</v>
      </c>
      <c r="O424">
        <v>90</v>
      </c>
      <c r="P424">
        <v>84</v>
      </c>
      <c r="Q424">
        <v>5.9107966440405271</v>
      </c>
      <c r="R424">
        <v>6.4997870406558542</v>
      </c>
      <c r="S424">
        <v>8.6415324656718457</v>
      </c>
      <c r="T424">
        <v>89.265350482850479</v>
      </c>
      <c r="U424">
        <v>1.4417786561042019</v>
      </c>
      <c r="V424">
        <v>-0.22886708829074301</v>
      </c>
      <c r="W424">
        <v>0.28745285629339301</v>
      </c>
      <c r="X424">
        <v>-0.15627425222847</v>
      </c>
      <c r="Y424">
        <v>1.45226138127617</v>
      </c>
      <c r="Z424">
        <v>0.98247225355557</v>
      </c>
      <c r="AA424">
        <v>0.627775520474398</v>
      </c>
      <c r="AB424">
        <v>3362.2959371744532</v>
      </c>
      <c r="AC424">
        <v>2.8998317172850387</v>
      </c>
      <c r="AD424">
        <v>2.9499158586425196</v>
      </c>
      <c r="AE424">
        <v>1.06273170356322</v>
      </c>
      <c r="AF424">
        <v>-0.47064919777164199</v>
      </c>
      <c r="AG424">
        <v>1.0831911319326599</v>
      </c>
      <c r="AH424">
        <v>0.68260192850956403</v>
      </c>
      <c r="AI424">
        <v>-0.123111988477066</v>
      </c>
      <c r="AJ424">
        <v>1.3688309880598699</v>
      </c>
      <c r="AK424">
        <v>43.3535629403058</v>
      </c>
      <c r="AL424">
        <v>3.21615314793977</v>
      </c>
      <c r="AM424">
        <v>43.954599999999992</v>
      </c>
      <c r="AN424">
        <v>4.01</v>
      </c>
    </row>
    <row r="425" spans="1:40" x14ac:dyDescent="0.35">
      <c r="A425">
        <v>556</v>
      </c>
      <c r="B425">
        <v>42</v>
      </c>
      <c r="C425" t="s">
        <v>48</v>
      </c>
      <c r="D425" t="s">
        <v>41</v>
      </c>
      <c r="E425" t="s">
        <v>42</v>
      </c>
      <c r="F425" t="s">
        <v>53</v>
      </c>
      <c r="G425">
        <v>5</v>
      </c>
      <c r="H425">
        <v>25</v>
      </c>
      <c r="I425">
        <v>7</v>
      </c>
      <c r="J425" t="s">
        <v>56</v>
      </c>
      <c r="K425" t="s">
        <v>46</v>
      </c>
      <c r="L425" t="s">
        <v>72</v>
      </c>
      <c r="M425">
        <v>369.47999833279272</v>
      </c>
      <c r="N425">
        <v>512</v>
      </c>
      <c r="O425">
        <v>357</v>
      </c>
      <c r="P425">
        <v>503</v>
      </c>
      <c r="Q425">
        <v>0.69314718055994529</v>
      </c>
      <c r="R425">
        <v>1.3862943611198906</v>
      </c>
      <c r="S425">
        <v>4.5538768916005408</v>
      </c>
      <c r="T425">
        <v>89.340161030595823</v>
      </c>
      <c r="U425">
        <v>1.4712304197281412</v>
      </c>
      <c r="V425">
        <v>0.59716251398508702</v>
      </c>
      <c r="W425">
        <v>0.91068296986709796</v>
      </c>
      <c r="X425">
        <v>1.2273243988355</v>
      </c>
      <c r="Y425">
        <v>-0.4121809470949</v>
      </c>
      <c r="Z425">
        <v>-0.86472582726521097</v>
      </c>
      <c r="AA425">
        <v>-1.0172779374790899</v>
      </c>
      <c r="AB425">
        <v>1828.1689246701658</v>
      </c>
      <c r="AC425">
        <v>1.1127464888636687</v>
      </c>
      <c r="AD425">
        <v>1.8630656830756136</v>
      </c>
      <c r="AE425">
        <v>-0.53926882203722504</v>
      </c>
      <c r="AF425">
        <v>-2.1360169478222799</v>
      </c>
      <c r="AG425">
        <v>-0.219990763518294</v>
      </c>
      <c r="AH425">
        <v>-1.5574966493720099</v>
      </c>
      <c r="AI425">
        <v>-1.6045385348082399</v>
      </c>
      <c r="AJ425">
        <v>-1.5007131279435399</v>
      </c>
      <c r="AK425">
        <v>44.503641999999999</v>
      </c>
      <c r="AL425">
        <v>1.1863669999999999</v>
      </c>
      <c r="AM425">
        <v>47.218264099999999</v>
      </c>
      <c r="AN425">
        <v>-1.5571805000000001</v>
      </c>
    </row>
    <row r="426" spans="1:40" x14ac:dyDescent="0.35">
      <c r="A426">
        <v>558</v>
      </c>
      <c r="B426">
        <v>57</v>
      </c>
      <c r="C426" t="s">
        <v>48</v>
      </c>
      <c r="D426" t="s">
        <v>41</v>
      </c>
      <c r="E426" t="s">
        <v>42</v>
      </c>
      <c r="F426" t="s">
        <v>49</v>
      </c>
      <c r="G426">
        <v>7</v>
      </c>
      <c r="H426">
        <v>49</v>
      </c>
      <c r="I426">
        <v>3</v>
      </c>
      <c r="J426" t="s">
        <v>50</v>
      </c>
      <c r="K426" t="s">
        <v>46</v>
      </c>
      <c r="L426" t="s">
        <v>74</v>
      </c>
      <c r="M426">
        <v>456.32091713411319</v>
      </c>
      <c r="N426">
        <v>586</v>
      </c>
      <c r="O426">
        <v>344</v>
      </c>
      <c r="P426">
        <v>307</v>
      </c>
      <c r="Q426">
        <v>1.6094379124341003</v>
      </c>
      <c r="R426">
        <v>2.5649493574615367</v>
      </c>
      <c r="S426">
        <v>4.8202815656050371</v>
      </c>
      <c r="T426">
        <v>91.984920634920627</v>
      </c>
      <c r="U426">
        <v>1.0351430572167302</v>
      </c>
      <c r="V426">
        <v>-0.45376679124596098</v>
      </c>
      <c r="W426">
        <v>-0.56138574648679695</v>
      </c>
      <c r="X426">
        <v>-0.92192590083580195</v>
      </c>
      <c r="Y426">
        <v>-1.17232967929859</v>
      </c>
      <c r="Z426">
        <v>-0.98267194414701198</v>
      </c>
      <c r="AA426">
        <v>-0.89586780259421905</v>
      </c>
      <c r="AB426">
        <v>1270</v>
      </c>
      <c r="AC426">
        <v>3</v>
      </c>
      <c r="AD426">
        <v>1</v>
      </c>
      <c r="AE426">
        <v>-1.1438350904766701</v>
      </c>
      <c r="AF426">
        <v>-2.08863032069209</v>
      </c>
      <c r="AG426">
        <v>-0.43471149030787298</v>
      </c>
      <c r="AH426">
        <v>1.39673117538784</v>
      </c>
      <c r="AI426">
        <v>0.31678261006317499</v>
      </c>
      <c r="AJ426">
        <v>0.88277379912458498</v>
      </c>
      <c r="AK426">
        <v>46.672161000000003</v>
      </c>
      <c r="AL426">
        <v>5.558465</v>
      </c>
      <c r="AM426">
        <v>50.47679999999999</v>
      </c>
      <c r="AN426">
        <v>3.2501999999999995</v>
      </c>
    </row>
    <row r="427" spans="1:40" x14ac:dyDescent="0.35">
      <c r="A427">
        <v>559</v>
      </c>
      <c r="B427">
        <v>42</v>
      </c>
      <c r="C427" t="s">
        <v>40</v>
      </c>
      <c r="D427" t="s">
        <v>66</v>
      </c>
      <c r="E427" t="s">
        <v>42</v>
      </c>
      <c r="F427" t="s">
        <v>43</v>
      </c>
      <c r="G427">
        <v>5</v>
      </c>
      <c r="H427">
        <v>25</v>
      </c>
      <c r="I427">
        <v>3</v>
      </c>
      <c r="J427" t="s">
        <v>50</v>
      </c>
      <c r="K427" t="s">
        <v>46</v>
      </c>
      <c r="L427" t="s">
        <v>54</v>
      </c>
      <c r="M427">
        <v>555.58590199927755</v>
      </c>
      <c r="N427">
        <v>664</v>
      </c>
      <c r="O427">
        <v>430</v>
      </c>
      <c r="P427">
        <v>280</v>
      </c>
      <c r="Q427">
        <v>3.9889840465642745</v>
      </c>
      <c r="R427">
        <v>3.0910424533583161</v>
      </c>
      <c r="S427">
        <v>4.1271343850450917</v>
      </c>
      <c r="T427">
        <v>92.826666666666668</v>
      </c>
      <c r="U427">
        <v>2.9827057067926286</v>
      </c>
      <c r="V427">
        <v>-0.16604708794949699</v>
      </c>
      <c r="W427">
        <v>-0.150727876652859</v>
      </c>
      <c r="X427">
        <v>-0.19602043866096</v>
      </c>
      <c r="Y427">
        <v>1.4483117406157899</v>
      </c>
      <c r="Z427">
        <v>1.7680602694732599</v>
      </c>
      <c r="AA427">
        <v>0.26366440732357699</v>
      </c>
      <c r="AB427">
        <v>4236</v>
      </c>
      <c r="AC427">
        <v>0</v>
      </c>
      <c r="AD427">
        <v>4</v>
      </c>
      <c r="AE427">
        <v>1.6751267091712101</v>
      </c>
      <c r="AF427">
        <v>1.7042053849535601</v>
      </c>
      <c r="AG427">
        <v>-1.9249018317768301</v>
      </c>
      <c r="AH427">
        <v>1.10576178413455</v>
      </c>
      <c r="AI427">
        <v>1.4836044289928401</v>
      </c>
      <c r="AJ427">
        <v>0.76193534118230599</v>
      </c>
      <c r="AK427">
        <v>44.917983300000003</v>
      </c>
      <c r="AL427">
        <v>-0.22352169999999999</v>
      </c>
      <c r="AM427">
        <v>49.394388888888891</v>
      </c>
      <c r="AN427">
        <v>3.0260555555555562</v>
      </c>
    </row>
    <row r="428" spans="1:40" x14ac:dyDescent="0.35">
      <c r="A428">
        <v>560</v>
      </c>
      <c r="B428">
        <v>57</v>
      </c>
      <c r="C428" t="s">
        <v>48</v>
      </c>
      <c r="D428" t="s">
        <v>41</v>
      </c>
      <c r="E428" t="s">
        <v>68</v>
      </c>
      <c r="F428" t="s">
        <v>43</v>
      </c>
      <c r="G428">
        <v>6</v>
      </c>
      <c r="H428">
        <v>36</v>
      </c>
      <c r="I428">
        <v>5</v>
      </c>
      <c r="J428" t="s">
        <v>56</v>
      </c>
      <c r="K428" t="s">
        <v>46</v>
      </c>
      <c r="L428" t="s">
        <v>55</v>
      </c>
      <c r="M428">
        <v>345.8268988977585</v>
      </c>
      <c r="N428">
        <v>504</v>
      </c>
      <c r="O428">
        <v>336</v>
      </c>
      <c r="P428">
        <v>293</v>
      </c>
      <c r="Q428">
        <v>2.0794415416798357</v>
      </c>
      <c r="R428">
        <v>2.3025850929940459</v>
      </c>
      <c r="S428">
        <v>3.2580965380214821</v>
      </c>
      <c r="T428">
        <v>95.12</v>
      </c>
      <c r="U428">
        <v>0</v>
      </c>
      <c r="V428">
        <v>1.89305099905856</v>
      </c>
      <c r="W428">
        <v>0.59880690621441701</v>
      </c>
      <c r="X428">
        <v>1.1856460040685599</v>
      </c>
      <c r="Y428">
        <v>-0.15565097555555901</v>
      </c>
      <c r="Z428">
        <v>-0.22748295097212001</v>
      </c>
      <c r="AA428">
        <v>1.0415013010201299</v>
      </c>
      <c r="AB428">
        <v>2939.9504036908884</v>
      </c>
      <c r="AC428">
        <v>2</v>
      </c>
      <c r="AD428">
        <v>0.42868127643214149</v>
      </c>
      <c r="AE428">
        <v>-2.40641039566141E-2</v>
      </c>
      <c r="AF428">
        <v>8.0959065302409292E-3</v>
      </c>
      <c r="AG428">
        <v>-0.73412725587639804</v>
      </c>
      <c r="AH428">
        <v>0.47082568419154902</v>
      </c>
      <c r="AI428">
        <v>0.75913023590314699</v>
      </c>
      <c r="AJ428">
        <v>0.15542842266003401</v>
      </c>
      <c r="AK428">
        <v>48.0777517</v>
      </c>
      <c r="AL428">
        <v>7.3579641000000002</v>
      </c>
      <c r="AM428">
        <v>50.640682937000001</v>
      </c>
      <c r="AN428">
        <v>4.6610704270000003</v>
      </c>
    </row>
    <row r="429" spans="1:40" x14ac:dyDescent="0.35">
      <c r="A429">
        <v>561</v>
      </c>
      <c r="B429">
        <v>42</v>
      </c>
      <c r="C429" t="s">
        <v>40</v>
      </c>
      <c r="D429" t="s">
        <v>41</v>
      </c>
      <c r="E429" t="s">
        <v>42</v>
      </c>
      <c r="F429" t="s">
        <v>61</v>
      </c>
      <c r="G429">
        <v>5</v>
      </c>
      <c r="H429">
        <v>25</v>
      </c>
      <c r="I429">
        <v>4</v>
      </c>
      <c r="J429" t="s">
        <v>56</v>
      </c>
      <c r="K429" t="s">
        <v>46</v>
      </c>
      <c r="L429" t="s">
        <v>55</v>
      </c>
      <c r="M429">
        <v>405.76667641504372</v>
      </c>
      <c r="N429">
        <v>529</v>
      </c>
      <c r="O429">
        <v>374</v>
      </c>
      <c r="P429">
        <v>212</v>
      </c>
      <c r="Q429">
        <v>2.0794415416798357</v>
      </c>
      <c r="R429">
        <v>2.3025850929940459</v>
      </c>
      <c r="S429">
        <v>3.2580965380214821</v>
      </c>
      <c r="T429">
        <v>95.12</v>
      </c>
      <c r="U429">
        <v>0</v>
      </c>
      <c r="V429">
        <v>1.89305099905856</v>
      </c>
      <c r="W429">
        <v>0.59880690621441701</v>
      </c>
      <c r="X429">
        <v>1.1856460040685599</v>
      </c>
      <c r="Y429">
        <v>-0.15565097555555901</v>
      </c>
      <c r="Z429">
        <v>-0.22748295097212001</v>
      </c>
      <c r="AA429">
        <v>1.0415013010201299</v>
      </c>
      <c r="AB429">
        <v>2939.9504036908884</v>
      </c>
      <c r="AC429">
        <v>2</v>
      </c>
      <c r="AD429">
        <v>0.42868127643214149</v>
      </c>
      <c r="AE429">
        <v>-2.40641039566141E-2</v>
      </c>
      <c r="AF429">
        <v>-1.0111243369446801</v>
      </c>
      <c r="AG429">
        <v>-0.83103159827953699</v>
      </c>
      <c r="AH429">
        <v>1.4272790551491501</v>
      </c>
      <c r="AI429">
        <v>-1.1647845572345801</v>
      </c>
      <c r="AJ429">
        <v>1.14297397437171</v>
      </c>
      <c r="AK429">
        <v>48.0777517</v>
      </c>
      <c r="AL429">
        <v>7.3579641000000002</v>
      </c>
      <c r="AM429">
        <v>49.025333333333329</v>
      </c>
      <c r="AN429">
        <v>2.0393333333333334</v>
      </c>
    </row>
    <row r="430" spans="1:40" x14ac:dyDescent="0.35">
      <c r="A430">
        <v>562</v>
      </c>
      <c r="B430">
        <v>29.5</v>
      </c>
      <c r="C430" t="s">
        <v>48</v>
      </c>
      <c r="D430" t="s">
        <v>41</v>
      </c>
      <c r="E430" t="s">
        <v>42</v>
      </c>
      <c r="F430" t="s">
        <v>49</v>
      </c>
      <c r="G430">
        <v>3</v>
      </c>
      <c r="H430">
        <v>9</v>
      </c>
      <c r="I430">
        <v>5</v>
      </c>
      <c r="J430" t="s">
        <v>56</v>
      </c>
      <c r="K430" t="s">
        <v>46</v>
      </c>
      <c r="L430" t="s">
        <v>65</v>
      </c>
      <c r="M430">
        <v>79.914887209556127</v>
      </c>
      <c r="N430">
        <v>134</v>
      </c>
      <c r="O430">
        <v>85</v>
      </c>
      <c r="P430">
        <v>131</v>
      </c>
      <c r="Q430">
        <v>0</v>
      </c>
      <c r="R430">
        <v>0</v>
      </c>
      <c r="S430">
        <v>4.4543472962535073</v>
      </c>
      <c r="T430">
        <v>89.333044733044744</v>
      </c>
      <c r="U430">
        <v>1.2554235437523662</v>
      </c>
      <c r="V430">
        <v>1.64975517953679</v>
      </c>
      <c r="W430">
        <v>2.4220969657957299</v>
      </c>
      <c r="X430">
        <v>1.68128863126442</v>
      </c>
      <c r="Y430">
        <v>2.0553398017137301</v>
      </c>
      <c r="Z430">
        <v>2.0921400018840099</v>
      </c>
      <c r="AA430">
        <v>2.0596698968962701</v>
      </c>
      <c r="AB430">
        <v>3262.71</v>
      </c>
      <c r="AC430">
        <v>0.33</v>
      </c>
      <c r="AD430">
        <v>0.66</v>
      </c>
      <c r="AE430">
        <v>1.9221838973381</v>
      </c>
      <c r="AF430">
        <v>1.8313209066774601</v>
      </c>
      <c r="AG430">
        <v>0.49304651661889198</v>
      </c>
      <c r="AH430">
        <v>-2.3316021665000002</v>
      </c>
      <c r="AI430">
        <v>0.96301250758410195</v>
      </c>
      <c r="AJ430">
        <v>-1.0215899417000101</v>
      </c>
      <c r="AK430">
        <v>43.537466000000002</v>
      </c>
      <c r="AL430">
        <v>6.4627330000000001</v>
      </c>
      <c r="AM430">
        <v>43.453000000000003</v>
      </c>
      <c r="AN430">
        <v>5.48</v>
      </c>
    </row>
    <row r="431" spans="1:40" x14ac:dyDescent="0.35">
      <c r="A431">
        <v>563</v>
      </c>
      <c r="B431">
        <v>72</v>
      </c>
      <c r="C431" t="s">
        <v>40</v>
      </c>
      <c r="D431" t="s">
        <v>66</v>
      </c>
      <c r="E431" t="s">
        <v>42</v>
      </c>
      <c r="F431" t="s">
        <v>49</v>
      </c>
      <c r="G431">
        <v>3</v>
      </c>
      <c r="H431">
        <v>9</v>
      </c>
      <c r="I431">
        <v>5</v>
      </c>
      <c r="J431" t="s">
        <v>50</v>
      </c>
      <c r="K431" t="s">
        <v>46</v>
      </c>
      <c r="L431" t="s">
        <v>71</v>
      </c>
      <c r="M431">
        <v>251.13728615189331</v>
      </c>
      <c r="N431">
        <v>152</v>
      </c>
      <c r="O431">
        <v>85</v>
      </c>
      <c r="P431">
        <v>81</v>
      </c>
      <c r="Q431">
        <v>4.5747109785033828</v>
      </c>
      <c r="R431">
        <v>3.5263605246161616</v>
      </c>
      <c r="S431">
        <v>5.1416635565026603</v>
      </c>
      <c r="T431">
        <v>92.265120976563693</v>
      </c>
      <c r="U431">
        <v>2.9351954657362995</v>
      </c>
      <c r="V431">
        <v>-8.3509539921858403E-2</v>
      </c>
      <c r="W431">
        <v>-8.6188355584626702E-2</v>
      </c>
      <c r="X431">
        <v>-6.2117403422328299E-2</v>
      </c>
      <c r="Y431">
        <v>-0.51135009403950604</v>
      </c>
      <c r="Z431">
        <v>-0.669554030021006</v>
      </c>
      <c r="AA431">
        <v>-1.4915282051312999</v>
      </c>
      <c r="AB431">
        <v>1813.5248996931791</v>
      </c>
      <c r="AC431">
        <v>1.6535284399339156</v>
      </c>
      <c r="AD431">
        <v>0.49421760679726223</v>
      </c>
      <c r="AE431">
        <v>-0.18520258641298501</v>
      </c>
      <c r="AF431">
        <v>1.5710069078128099</v>
      </c>
      <c r="AG431">
        <v>-2.24206427236266</v>
      </c>
      <c r="AH431">
        <v>-0.73611239271525097</v>
      </c>
      <c r="AI431">
        <v>0.42736629243762397</v>
      </c>
      <c r="AJ431">
        <v>-0.82791836653399997</v>
      </c>
      <c r="AK431">
        <v>45.071283999999999</v>
      </c>
      <c r="AL431">
        <v>4.8370730000000002</v>
      </c>
      <c r="AM431">
        <v>47.323</v>
      </c>
      <c r="AN431">
        <v>5.0380000000000003</v>
      </c>
    </row>
    <row r="432" spans="1:40" x14ac:dyDescent="0.35">
      <c r="A432">
        <v>564</v>
      </c>
      <c r="B432">
        <v>42</v>
      </c>
      <c r="C432" t="s">
        <v>40</v>
      </c>
      <c r="D432" t="s">
        <v>66</v>
      </c>
      <c r="E432" t="s">
        <v>42</v>
      </c>
      <c r="F432" t="s">
        <v>43</v>
      </c>
      <c r="G432">
        <v>6</v>
      </c>
      <c r="H432">
        <v>36</v>
      </c>
      <c r="I432">
        <v>4</v>
      </c>
      <c r="J432" t="s">
        <v>50</v>
      </c>
      <c r="K432" t="s">
        <v>46</v>
      </c>
      <c r="L432" t="s">
        <v>51</v>
      </c>
      <c r="M432">
        <v>19.270401809296349</v>
      </c>
      <c r="N432">
        <v>19</v>
      </c>
      <c r="O432">
        <v>21</v>
      </c>
      <c r="P432">
        <v>42</v>
      </c>
      <c r="Q432">
        <v>0</v>
      </c>
      <c r="R432">
        <v>1.3862943611198906</v>
      </c>
      <c r="S432">
        <v>4.3438054218536841</v>
      </c>
      <c r="T432">
        <v>91.16</v>
      </c>
      <c r="U432">
        <v>2.3174698847378039</v>
      </c>
      <c r="V432">
        <v>-0.58471966768986094</v>
      </c>
      <c r="W432">
        <v>-0.55557078097057</v>
      </c>
      <c r="X432">
        <v>-0.47566183223429498</v>
      </c>
      <c r="Y432">
        <v>-0.95884680312505799</v>
      </c>
      <c r="Z432">
        <v>-0.76521334103430205</v>
      </c>
      <c r="AA432">
        <v>-0.77245900699560299</v>
      </c>
      <c r="AB432">
        <v>1376</v>
      </c>
      <c r="AC432">
        <v>0</v>
      </c>
      <c r="AD432">
        <v>2</v>
      </c>
      <c r="AE432">
        <v>-1.2769936012368599</v>
      </c>
      <c r="AF432">
        <v>0.39885955514506799</v>
      </c>
      <c r="AG432">
        <v>0.15270260685755699</v>
      </c>
      <c r="AH432">
        <v>0.38473140385937199</v>
      </c>
      <c r="AI432">
        <v>1.0364220543494131</v>
      </c>
      <c r="AJ432">
        <v>0.75707164556938689</v>
      </c>
      <c r="AK432">
        <v>47.815207299999997</v>
      </c>
      <c r="AL432">
        <v>3.8001657</v>
      </c>
      <c r="AM432">
        <v>47.807333333333339</v>
      </c>
      <c r="AN432">
        <v>3.5426666666666664</v>
      </c>
    </row>
    <row r="433" spans="1:40" x14ac:dyDescent="0.35">
      <c r="A433">
        <v>565</v>
      </c>
      <c r="B433">
        <v>42</v>
      </c>
      <c r="C433" t="s">
        <v>48</v>
      </c>
      <c r="D433" t="s">
        <v>66</v>
      </c>
      <c r="E433" t="s">
        <v>42</v>
      </c>
      <c r="F433" t="s">
        <v>49</v>
      </c>
      <c r="G433">
        <v>5</v>
      </c>
      <c r="H433">
        <v>25</v>
      </c>
      <c r="I433">
        <v>7</v>
      </c>
      <c r="J433" t="s">
        <v>50</v>
      </c>
      <c r="K433" t="s">
        <v>46</v>
      </c>
      <c r="L433" t="s">
        <v>55</v>
      </c>
      <c r="M433">
        <v>480.07450618770201</v>
      </c>
      <c r="N433">
        <v>637</v>
      </c>
      <c r="O433">
        <v>404</v>
      </c>
      <c r="P433">
        <v>301</v>
      </c>
      <c r="Q433">
        <v>2.0794415416798357</v>
      </c>
      <c r="R433">
        <v>2.3025850929940459</v>
      </c>
      <c r="S433">
        <v>3.2580965380214821</v>
      </c>
      <c r="T433">
        <v>95.12</v>
      </c>
      <c r="U433">
        <v>0</v>
      </c>
      <c r="V433">
        <v>1.89305099905856</v>
      </c>
      <c r="W433">
        <v>0.59880690621441701</v>
      </c>
      <c r="X433">
        <v>1.1856460040685599</v>
      </c>
      <c r="Y433">
        <v>-0.15565097555555901</v>
      </c>
      <c r="Z433">
        <v>-0.22748295097212001</v>
      </c>
      <c r="AA433">
        <v>1.0415013010201299</v>
      </c>
      <c r="AB433">
        <v>2939.9504036908884</v>
      </c>
      <c r="AC433">
        <v>2</v>
      </c>
      <c r="AD433">
        <v>0.42868127643214149</v>
      </c>
      <c r="AE433">
        <v>-2.40641039566141E-2</v>
      </c>
      <c r="AF433">
        <v>1.37508763155476</v>
      </c>
      <c r="AG433">
        <v>0.59382828312789304</v>
      </c>
      <c r="AH433">
        <v>0.56027432141476496</v>
      </c>
      <c r="AI433">
        <v>0.88714036614815395</v>
      </c>
      <c r="AJ433">
        <v>0.413241115509003</v>
      </c>
      <c r="AK433">
        <v>48.0777517</v>
      </c>
      <c r="AL433">
        <v>7.3579641000000002</v>
      </c>
      <c r="AM433">
        <v>44.098999999999997</v>
      </c>
      <c r="AN433">
        <v>4.9569999999999999</v>
      </c>
    </row>
    <row r="434" spans="1:40" x14ac:dyDescent="0.35">
      <c r="A434">
        <v>566</v>
      </c>
      <c r="B434">
        <v>72</v>
      </c>
      <c r="C434" t="s">
        <v>40</v>
      </c>
      <c r="D434" t="s">
        <v>52</v>
      </c>
      <c r="E434" t="s">
        <v>42</v>
      </c>
      <c r="F434" t="s">
        <v>49</v>
      </c>
      <c r="G434">
        <v>6</v>
      </c>
      <c r="H434">
        <v>36</v>
      </c>
      <c r="I434">
        <v>5</v>
      </c>
      <c r="J434" t="s">
        <v>56</v>
      </c>
      <c r="K434" t="s">
        <v>46</v>
      </c>
      <c r="L434" t="s">
        <v>73</v>
      </c>
      <c r="M434">
        <v>530.52133973895582</v>
      </c>
      <c r="N434">
        <v>640</v>
      </c>
      <c r="O434">
        <v>393</v>
      </c>
      <c r="P434">
        <v>239</v>
      </c>
      <c r="Q434">
        <v>1.9459101490553132</v>
      </c>
      <c r="R434">
        <v>2.9444389791664403</v>
      </c>
      <c r="S434">
        <v>4.2626798770413155</v>
      </c>
      <c r="T434">
        <v>91.872500000000002</v>
      </c>
      <c r="U434">
        <v>2.0033201607997366</v>
      </c>
      <c r="V434">
        <v>7.5580716531248995E-2</v>
      </c>
      <c r="W434">
        <v>0.203376316306385</v>
      </c>
      <c r="X434">
        <v>0.143329752535333</v>
      </c>
      <c r="Y434">
        <v>1.4483117406157899</v>
      </c>
      <c r="Z434">
        <v>1.7680602694732599</v>
      </c>
      <c r="AA434">
        <v>0.26366440732357699</v>
      </c>
      <c r="AB434">
        <v>4236</v>
      </c>
      <c r="AC434">
        <v>0</v>
      </c>
      <c r="AD434">
        <v>4</v>
      </c>
      <c r="AE434">
        <v>1.6751267091712101</v>
      </c>
      <c r="AF434">
        <v>7.0025729850135998E-2</v>
      </c>
      <c r="AG434">
        <v>0.43876059625844999</v>
      </c>
      <c r="AH434">
        <v>1.0356679497652601</v>
      </c>
      <c r="AI434">
        <v>1.4836044289928401</v>
      </c>
      <c r="AJ434">
        <v>0.76193534118230599</v>
      </c>
      <c r="AK434">
        <v>44.686388999999998</v>
      </c>
      <c r="AL434">
        <v>-0.52383800000000003</v>
      </c>
      <c r="AM434">
        <v>49.082000000000001</v>
      </c>
      <c r="AN434">
        <v>2.1734999999999998</v>
      </c>
    </row>
    <row r="435" spans="1:40" x14ac:dyDescent="0.35">
      <c r="A435">
        <v>567</v>
      </c>
      <c r="B435">
        <v>72</v>
      </c>
      <c r="C435" t="s">
        <v>40</v>
      </c>
      <c r="D435" t="s">
        <v>52</v>
      </c>
      <c r="E435" t="s">
        <v>42</v>
      </c>
      <c r="F435" t="s">
        <v>49</v>
      </c>
      <c r="G435">
        <v>4</v>
      </c>
      <c r="H435">
        <v>16</v>
      </c>
      <c r="I435">
        <v>5</v>
      </c>
      <c r="J435" t="s">
        <v>56</v>
      </c>
      <c r="K435" t="s">
        <v>46</v>
      </c>
      <c r="L435" t="s">
        <v>70</v>
      </c>
      <c r="M435">
        <v>472.05110973262339</v>
      </c>
      <c r="N435">
        <v>689</v>
      </c>
      <c r="O435">
        <v>350</v>
      </c>
      <c r="P435">
        <v>409</v>
      </c>
      <c r="Q435">
        <v>0</v>
      </c>
      <c r="R435">
        <v>0</v>
      </c>
      <c r="S435">
        <v>5.3230099791384085</v>
      </c>
      <c r="T435">
        <v>90.615999999999985</v>
      </c>
      <c r="U435">
        <v>1.11573792223403</v>
      </c>
      <c r="V435">
        <v>0.80288722813325297</v>
      </c>
      <c r="W435">
        <v>0.52082154240315903</v>
      </c>
      <c r="X435">
        <v>0.61908815691345198</v>
      </c>
      <c r="Y435">
        <v>1.5007680231051199</v>
      </c>
      <c r="Z435">
        <v>0.24292628533916899</v>
      </c>
      <c r="AA435">
        <v>8.5217386942517098E-2</v>
      </c>
      <c r="AB435">
        <v>3943</v>
      </c>
      <c r="AC435">
        <v>0</v>
      </c>
      <c r="AD435">
        <v>1</v>
      </c>
      <c r="AE435">
        <v>1.1088815174583</v>
      </c>
      <c r="AF435">
        <v>-6.7344697905797404E-2</v>
      </c>
      <c r="AG435">
        <v>0.47524750927918802</v>
      </c>
      <c r="AH435">
        <v>1.0669005716818301</v>
      </c>
      <c r="AI435">
        <v>-0.59012861134175798</v>
      </c>
      <c r="AJ435">
        <v>0.50953936667685296</v>
      </c>
      <c r="AK435">
        <v>46.098678999999997</v>
      </c>
      <c r="AL435">
        <v>4.7359530000000003</v>
      </c>
      <c r="AM435">
        <v>46.474444444444451</v>
      </c>
      <c r="AN435">
        <v>-1.3777777777777775</v>
      </c>
    </row>
    <row r="436" spans="1:40" x14ac:dyDescent="0.35">
      <c r="A436">
        <v>568</v>
      </c>
      <c r="B436">
        <v>57</v>
      </c>
      <c r="C436" t="s">
        <v>48</v>
      </c>
      <c r="D436" t="s">
        <v>66</v>
      </c>
      <c r="E436" t="s">
        <v>42</v>
      </c>
      <c r="F436" t="s">
        <v>43</v>
      </c>
      <c r="G436">
        <v>5</v>
      </c>
      <c r="H436">
        <v>25</v>
      </c>
      <c r="I436">
        <v>7</v>
      </c>
      <c r="J436" t="s">
        <v>50</v>
      </c>
      <c r="K436" t="s">
        <v>46</v>
      </c>
      <c r="L436" t="s">
        <v>54</v>
      </c>
      <c r="M436">
        <v>432.51294215252688</v>
      </c>
      <c r="N436">
        <v>617</v>
      </c>
      <c r="O436">
        <v>368</v>
      </c>
      <c r="P436">
        <v>319</v>
      </c>
      <c r="Q436">
        <v>3.9889840465642745</v>
      </c>
      <c r="R436">
        <v>3.0910424533583161</v>
      </c>
      <c r="S436">
        <v>4.1271343850450917</v>
      </c>
      <c r="T436">
        <v>92.826666666666668</v>
      </c>
      <c r="U436">
        <v>2.9827057067926286</v>
      </c>
      <c r="V436">
        <v>-0.16604708794949699</v>
      </c>
      <c r="W436">
        <v>-0.150727876652859</v>
      </c>
      <c r="X436">
        <v>-0.19602043866096</v>
      </c>
      <c r="Y436">
        <v>1.4483117406157899</v>
      </c>
      <c r="Z436">
        <v>1.7680602694732599</v>
      </c>
      <c r="AA436">
        <v>0.26366440732357699</v>
      </c>
      <c r="AB436">
        <v>4236</v>
      </c>
      <c r="AC436">
        <v>0</v>
      </c>
      <c r="AD436">
        <v>4</v>
      </c>
      <c r="AE436">
        <v>1.6751267091712101</v>
      </c>
      <c r="AF436">
        <v>-6.8322254632374402E-2</v>
      </c>
      <c r="AG436">
        <v>1.0362011068955199</v>
      </c>
      <c r="AH436">
        <v>-8.12746575459323E-2</v>
      </c>
      <c r="AI436">
        <v>1.3712136295674899</v>
      </c>
      <c r="AJ436">
        <v>-0.107176556892359</v>
      </c>
      <c r="AK436">
        <v>44.917983300000003</v>
      </c>
      <c r="AL436">
        <v>-0.22352169999999999</v>
      </c>
      <c r="AM436">
        <v>47.807333333333339</v>
      </c>
      <c r="AN436">
        <v>3.5426666666666664</v>
      </c>
    </row>
    <row r="437" spans="1:40" x14ac:dyDescent="0.35">
      <c r="A437">
        <v>569</v>
      </c>
      <c r="B437">
        <v>57</v>
      </c>
      <c r="C437" t="s">
        <v>40</v>
      </c>
      <c r="D437" t="s">
        <v>66</v>
      </c>
      <c r="E437" t="s">
        <v>42</v>
      </c>
      <c r="F437" t="s">
        <v>43</v>
      </c>
      <c r="G437">
        <v>5</v>
      </c>
      <c r="H437">
        <v>25</v>
      </c>
      <c r="I437">
        <v>3</v>
      </c>
      <c r="J437" t="s">
        <v>50</v>
      </c>
      <c r="K437" t="s">
        <v>46</v>
      </c>
      <c r="L437" t="s">
        <v>65</v>
      </c>
      <c r="M437">
        <v>44.707645601591622</v>
      </c>
      <c r="N437">
        <v>85</v>
      </c>
      <c r="O437">
        <v>55</v>
      </c>
      <c r="P437">
        <v>80</v>
      </c>
      <c r="Q437">
        <v>0</v>
      </c>
      <c r="R437">
        <v>0</v>
      </c>
      <c r="S437">
        <v>4.4543472962535073</v>
      </c>
      <c r="T437">
        <v>89.333044733044744</v>
      </c>
      <c r="U437">
        <v>1.2554235437523662</v>
      </c>
      <c r="V437">
        <v>1.64975517953679</v>
      </c>
      <c r="W437">
        <v>2.4220969657957299</v>
      </c>
      <c r="X437">
        <v>1.68128863126442</v>
      </c>
      <c r="Y437">
        <v>2.0553398017137301</v>
      </c>
      <c r="Z437">
        <v>2.0921400018840099</v>
      </c>
      <c r="AA437">
        <v>2.0596698968962701</v>
      </c>
      <c r="AB437">
        <v>3262.71</v>
      </c>
      <c r="AC437">
        <v>0.33</v>
      </c>
      <c r="AD437">
        <v>0.66</v>
      </c>
      <c r="AE437">
        <v>1.9221838973381</v>
      </c>
      <c r="AF437">
        <v>0.249691594906156</v>
      </c>
      <c r="AG437">
        <v>-0.51212309246932097</v>
      </c>
      <c r="AH437">
        <v>0.38894444018469398</v>
      </c>
      <c r="AI437">
        <v>0.32810358179927201</v>
      </c>
      <c r="AJ437">
        <v>-0.20180590918607899</v>
      </c>
      <c r="AK437">
        <v>43.537466000000002</v>
      </c>
      <c r="AL437">
        <v>6.4627330000000001</v>
      </c>
      <c r="AM437">
        <v>43.168999999999997</v>
      </c>
      <c r="AN437">
        <v>6.2430000000000003</v>
      </c>
    </row>
    <row r="438" spans="1:40" x14ac:dyDescent="0.35">
      <c r="A438">
        <v>570</v>
      </c>
      <c r="B438">
        <v>72</v>
      </c>
      <c r="C438" t="s">
        <v>40</v>
      </c>
      <c r="D438" t="s">
        <v>52</v>
      </c>
      <c r="E438" t="s">
        <v>42</v>
      </c>
      <c r="F438" t="s">
        <v>49</v>
      </c>
      <c r="G438">
        <v>4</v>
      </c>
      <c r="H438">
        <v>16</v>
      </c>
      <c r="I438">
        <v>7</v>
      </c>
      <c r="J438" t="s">
        <v>50</v>
      </c>
      <c r="K438" t="s">
        <v>46</v>
      </c>
      <c r="L438" t="s">
        <v>62</v>
      </c>
      <c r="M438">
        <v>113.8862086855999</v>
      </c>
      <c r="N438">
        <v>137</v>
      </c>
      <c r="O438">
        <v>90</v>
      </c>
      <c r="P438">
        <v>116</v>
      </c>
      <c r="Q438">
        <v>0.69314718055994529</v>
      </c>
      <c r="R438">
        <v>3.2580965380214821</v>
      </c>
      <c r="S438">
        <v>3.2580965380214821</v>
      </c>
      <c r="T438">
        <v>95.68</v>
      </c>
      <c r="U438">
        <v>0</v>
      </c>
      <c r="V438">
        <v>1.82802042479695</v>
      </c>
      <c r="W438">
        <v>0.99424279543483596</v>
      </c>
      <c r="X438">
        <v>0.99177342203587404</v>
      </c>
      <c r="Y438">
        <v>-0.96278755162326501</v>
      </c>
      <c r="Z438">
        <v>-0.75605764486205096</v>
      </c>
      <c r="AA438">
        <v>-0.80037586101695801</v>
      </c>
      <c r="AB438">
        <v>2092.91</v>
      </c>
      <c r="AC438">
        <v>0</v>
      </c>
      <c r="AD438">
        <v>2.1</v>
      </c>
      <c r="AE438">
        <v>-1.0768626388726401</v>
      </c>
      <c r="AF438">
        <v>-0.29766383554367798</v>
      </c>
      <c r="AG438">
        <v>0.19735245612813401</v>
      </c>
      <c r="AH438">
        <v>-9.5663443713653706E-2</v>
      </c>
      <c r="AI438">
        <v>-0.71118060717896803</v>
      </c>
      <c r="AJ438">
        <v>-2.4763446491713701</v>
      </c>
      <c r="AK438">
        <v>49.042560999999999</v>
      </c>
      <c r="AL438">
        <v>3.9528660000000002</v>
      </c>
      <c r="AM438">
        <v>48.80599999999999</v>
      </c>
      <c r="AN438">
        <v>2.4380000000000002</v>
      </c>
    </row>
    <row r="439" spans="1:40" x14ac:dyDescent="0.35">
      <c r="A439">
        <v>572</v>
      </c>
      <c r="B439">
        <v>57</v>
      </c>
      <c r="C439" t="s">
        <v>48</v>
      </c>
      <c r="D439" t="s">
        <v>41</v>
      </c>
      <c r="E439" t="s">
        <v>42</v>
      </c>
      <c r="F439" t="s">
        <v>49</v>
      </c>
      <c r="G439">
        <v>5</v>
      </c>
      <c r="H439">
        <v>25</v>
      </c>
      <c r="I439">
        <v>5</v>
      </c>
      <c r="J439" t="s">
        <v>56</v>
      </c>
      <c r="K439" t="s">
        <v>46</v>
      </c>
      <c r="L439" t="s">
        <v>65</v>
      </c>
      <c r="M439">
        <v>667.23539480324757</v>
      </c>
      <c r="N439">
        <v>884</v>
      </c>
      <c r="O439">
        <v>460</v>
      </c>
      <c r="P439">
        <v>345</v>
      </c>
      <c r="Q439">
        <v>0</v>
      </c>
      <c r="R439">
        <v>0</v>
      </c>
      <c r="S439">
        <v>4.4543472962535073</v>
      </c>
      <c r="T439">
        <v>89.333044733044744</v>
      </c>
      <c r="U439">
        <v>1.2554235437523662</v>
      </c>
      <c r="V439">
        <v>1.64975517953679</v>
      </c>
      <c r="W439">
        <v>2.4220969657957299</v>
      </c>
      <c r="X439">
        <v>1.68128863126442</v>
      </c>
      <c r="Y439">
        <v>2.0553398017137301</v>
      </c>
      <c r="Z439">
        <v>2.0921400018840099</v>
      </c>
      <c r="AA439">
        <v>2.0596698968962701</v>
      </c>
      <c r="AB439">
        <v>3262.71</v>
      </c>
      <c r="AC439">
        <v>0.33</v>
      </c>
      <c r="AD439">
        <v>0.66</v>
      </c>
      <c r="AE439">
        <v>1.9221838973381</v>
      </c>
      <c r="AF439">
        <v>-1.41378177034275</v>
      </c>
      <c r="AG439">
        <v>0.15423251328695101</v>
      </c>
      <c r="AH439">
        <v>0.20144942507952501</v>
      </c>
      <c r="AI439">
        <v>0.53342576932176899</v>
      </c>
      <c r="AJ439">
        <v>1.21728144092021</v>
      </c>
      <c r="AK439">
        <v>43.537466000000002</v>
      </c>
      <c r="AL439">
        <v>6.4627330000000001</v>
      </c>
      <c r="AM439">
        <v>48.79</v>
      </c>
      <c r="AN439">
        <v>2.2869999999999999</v>
      </c>
    </row>
    <row r="440" spans="1:40" x14ac:dyDescent="0.35">
      <c r="A440">
        <v>573</v>
      </c>
      <c r="B440">
        <v>72</v>
      </c>
      <c r="C440" t="s">
        <v>48</v>
      </c>
      <c r="D440" t="s">
        <v>52</v>
      </c>
      <c r="E440" t="s">
        <v>42</v>
      </c>
      <c r="F440" t="s">
        <v>43</v>
      </c>
      <c r="G440">
        <v>5</v>
      </c>
      <c r="H440">
        <v>25</v>
      </c>
      <c r="I440">
        <v>6</v>
      </c>
      <c r="J440" t="s">
        <v>56</v>
      </c>
      <c r="K440" t="s">
        <v>46</v>
      </c>
      <c r="L440" t="s">
        <v>74</v>
      </c>
      <c r="M440">
        <v>562.52904576488675</v>
      </c>
      <c r="N440">
        <v>718</v>
      </c>
      <c r="O440">
        <v>421</v>
      </c>
      <c r="P440">
        <v>384</v>
      </c>
      <c r="Q440">
        <v>1.6094379124341003</v>
      </c>
      <c r="R440">
        <v>2.5649493574615367</v>
      </c>
      <c r="S440">
        <v>4.8202815656050371</v>
      </c>
      <c r="T440">
        <v>91.984920634920627</v>
      </c>
      <c r="U440">
        <v>1.0351430572167302</v>
      </c>
      <c r="V440">
        <v>-0.45376679124596098</v>
      </c>
      <c r="W440">
        <v>-0.56138574648679695</v>
      </c>
      <c r="X440">
        <v>-0.92192590083580195</v>
      </c>
      <c r="Y440">
        <v>-1.17232967929859</v>
      </c>
      <c r="Z440">
        <v>-0.98267194414701198</v>
      </c>
      <c r="AA440">
        <v>-0.89586780259421905</v>
      </c>
      <c r="AB440">
        <v>1270</v>
      </c>
      <c r="AC440">
        <v>3</v>
      </c>
      <c r="AD440">
        <v>1</v>
      </c>
      <c r="AE440">
        <v>-1.1438350904766701</v>
      </c>
      <c r="AF440">
        <v>-2.0637348329298599</v>
      </c>
      <c r="AG440">
        <v>-0.14949171341367201</v>
      </c>
      <c r="AH440">
        <v>-0.55710481335759299</v>
      </c>
      <c r="AI440">
        <v>0.32517482850179902</v>
      </c>
      <c r="AJ440">
        <v>-0.69904064247395203</v>
      </c>
      <c r="AK440">
        <v>46.672161000000003</v>
      </c>
      <c r="AL440">
        <v>5.558465</v>
      </c>
      <c r="AM440">
        <v>48.12</v>
      </c>
      <c r="AN440">
        <v>-1.597</v>
      </c>
    </row>
    <row r="441" spans="1:40" x14ac:dyDescent="0.35">
      <c r="A441">
        <v>574</v>
      </c>
      <c r="B441">
        <v>57</v>
      </c>
      <c r="C441" t="s">
        <v>40</v>
      </c>
      <c r="D441" t="s">
        <v>52</v>
      </c>
      <c r="E441" t="s">
        <v>42</v>
      </c>
      <c r="F441" t="s">
        <v>49</v>
      </c>
      <c r="G441">
        <v>3</v>
      </c>
      <c r="H441">
        <v>9</v>
      </c>
      <c r="I441">
        <v>5</v>
      </c>
      <c r="J441" t="s">
        <v>56</v>
      </c>
      <c r="K441" t="s">
        <v>46</v>
      </c>
      <c r="L441" t="s">
        <v>60</v>
      </c>
      <c r="M441">
        <v>567.72424155034844</v>
      </c>
      <c r="N441">
        <v>683</v>
      </c>
      <c r="O441">
        <v>421</v>
      </c>
      <c r="P441">
        <v>588</v>
      </c>
      <c r="Q441">
        <v>3.8501476017100584</v>
      </c>
      <c r="R441">
        <v>2.9957322735539909</v>
      </c>
      <c r="S441">
        <v>5.4424177105217932</v>
      </c>
      <c r="T441">
        <v>88.975873222691746</v>
      </c>
      <c r="U441">
        <v>2.5514539469641888</v>
      </c>
      <c r="V441">
        <v>2.9336799326863701</v>
      </c>
      <c r="W441">
        <v>3.3730943146768602</v>
      </c>
      <c r="X441">
        <v>3.6072071704345601</v>
      </c>
      <c r="Y441">
        <v>-0.19189497559235799</v>
      </c>
      <c r="Z441">
        <v>0.17569111512999699</v>
      </c>
      <c r="AA441">
        <v>-0.304970615080496</v>
      </c>
      <c r="AB441">
        <v>1906.836709612184</v>
      </c>
      <c r="AC441">
        <v>0.7978420820676605</v>
      </c>
      <c r="AD441">
        <v>2.1056638128240834</v>
      </c>
      <c r="AE441">
        <v>-0.25037207080954499</v>
      </c>
      <c r="AF441">
        <v>-0.41697443230501502</v>
      </c>
      <c r="AG441">
        <v>-1.1022653410816501</v>
      </c>
      <c r="AH441">
        <v>1.20117877228506</v>
      </c>
      <c r="AI441">
        <v>-0.44742245176639001</v>
      </c>
      <c r="AJ441">
        <v>-0.50606800837543198</v>
      </c>
      <c r="AK441">
        <v>44.055988999999997</v>
      </c>
      <c r="AL441">
        <v>4.8317350000000001</v>
      </c>
      <c r="AM441">
        <v>49.061999999999998</v>
      </c>
      <c r="AN441">
        <v>6.25075</v>
      </c>
    </row>
    <row r="442" spans="1:40" x14ac:dyDescent="0.35">
      <c r="A442">
        <v>575</v>
      </c>
      <c r="B442">
        <v>72</v>
      </c>
      <c r="C442" t="s">
        <v>48</v>
      </c>
      <c r="D442" t="s">
        <v>52</v>
      </c>
      <c r="E442" t="s">
        <v>68</v>
      </c>
      <c r="F442" t="s">
        <v>49</v>
      </c>
      <c r="G442">
        <v>4</v>
      </c>
      <c r="H442">
        <v>16</v>
      </c>
      <c r="I442">
        <v>7</v>
      </c>
      <c r="J442" t="s">
        <v>50</v>
      </c>
      <c r="K442" t="s">
        <v>46</v>
      </c>
      <c r="L442" t="s">
        <v>62</v>
      </c>
      <c r="M442">
        <v>185.02215271766741</v>
      </c>
      <c r="N442">
        <v>263</v>
      </c>
      <c r="O442">
        <v>231</v>
      </c>
      <c r="P442">
        <v>208</v>
      </c>
      <c r="Q442">
        <v>0.69314718055994529</v>
      </c>
      <c r="R442">
        <v>3.2580965380214821</v>
      </c>
      <c r="S442">
        <v>3.2580965380214821</v>
      </c>
      <c r="T442">
        <v>95.68</v>
      </c>
      <c r="U442">
        <v>0</v>
      </c>
      <c r="V442">
        <v>1.82802042479695</v>
      </c>
      <c r="W442">
        <v>0.99424279543483596</v>
      </c>
      <c r="X442">
        <v>0.99177342203587404</v>
      </c>
      <c r="Y442">
        <v>-0.96278755162326501</v>
      </c>
      <c r="Z442">
        <v>-0.75605764486205096</v>
      </c>
      <c r="AA442">
        <v>-0.80037586101695801</v>
      </c>
      <c r="AB442">
        <v>2092.91</v>
      </c>
      <c r="AC442">
        <v>0</v>
      </c>
      <c r="AD442">
        <v>2.1</v>
      </c>
      <c r="AE442">
        <v>-1.0768626388726401</v>
      </c>
      <c r="AF442">
        <v>0.14720998913681199</v>
      </c>
      <c r="AG442">
        <v>0.41064507460509603</v>
      </c>
      <c r="AH442">
        <v>1.11796320196988</v>
      </c>
      <c r="AI442">
        <v>-1.0210402077122324E-3</v>
      </c>
      <c r="AJ442">
        <v>0.37332735018083668</v>
      </c>
      <c r="AK442">
        <v>49.042560999999999</v>
      </c>
      <c r="AL442">
        <v>3.9528660000000002</v>
      </c>
      <c r="AM442">
        <v>50.640682937000001</v>
      </c>
      <c r="AN442">
        <v>4.6610704270000003</v>
      </c>
    </row>
    <row r="443" spans="1:40" x14ac:dyDescent="0.35">
      <c r="A443">
        <v>577</v>
      </c>
      <c r="B443">
        <v>57</v>
      </c>
      <c r="C443" t="s">
        <v>40</v>
      </c>
      <c r="D443" t="s">
        <v>66</v>
      </c>
      <c r="E443" t="s">
        <v>68</v>
      </c>
      <c r="F443" t="s">
        <v>49</v>
      </c>
      <c r="G443">
        <v>5</v>
      </c>
      <c r="H443">
        <v>25</v>
      </c>
      <c r="I443">
        <v>5</v>
      </c>
      <c r="J443" t="s">
        <v>56</v>
      </c>
      <c r="K443" t="s">
        <v>46</v>
      </c>
      <c r="L443" t="s">
        <v>74</v>
      </c>
      <c r="M443">
        <v>446.66565982479938</v>
      </c>
      <c r="N443">
        <v>610</v>
      </c>
      <c r="O443">
        <v>403</v>
      </c>
      <c r="P443">
        <v>300</v>
      </c>
      <c r="Q443">
        <v>1.6094379124341003</v>
      </c>
      <c r="R443">
        <v>2.5649493574615367</v>
      </c>
      <c r="S443">
        <v>4.8202815656050371</v>
      </c>
      <c r="T443">
        <v>91.984920634920627</v>
      </c>
      <c r="U443">
        <v>1.0351430572167302</v>
      </c>
      <c r="V443">
        <v>-0.45376679124596098</v>
      </c>
      <c r="W443">
        <v>-0.56138574648679695</v>
      </c>
      <c r="X443">
        <v>-0.92192590083580195</v>
      </c>
      <c r="Y443">
        <v>-1.17232967929859</v>
      </c>
      <c r="Z443">
        <v>-0.98267194414701198</v>
      </c>
      <c r="AA443">
        <v>-0.89586780259421905</v>
      </c>
      <c r="AB443">
        <v>1270</v>
      </c>
      <c r="AC443">
        <v>3</v>
      </c>
      <c r="AD443">
        <v>1</v>
      </c>
      <c r="AE443">
        <v>-1.1438350904766701</v>
      </c>
      <c r="AF443">
        <v>0.13475511039992899</v>
      </c>
      <c r="AG443">
        <v>-0.21442582751322201</v>
      </c>
      <c r="AH443">
        <v>-0.38532434284914302</v>
      </c>
      <c r="AI443">
        <v>-0.26661299108129299</v>
      </c>
      <c r="AJ443">
        <v>-0.18023496026851199</v>
      </c>
      <c r="AK443">
        <v>46.672161000000003</v>
      </c>
      <c r="AL443">
        <v>5.558465</v>
      </c>
      <c r="AM443">
        <v>50.640682937000001</v>
      </c>
      <c r="AN443">
        <v>4.6610704270000003</v>
      </c>
    </row>
    <row r="444" spans="1:40" x14ac:dyDescent="0.35">
      <c r="A444">
        <v>578</v>
      </c>
      <c r="B444">
        <v>72</v>
      </c>
      <c r="C444" t="s">
        <v>40</v>
      </c>
      <c r="D444" t="s">
        <v>52</v>
      </c>
      <c r="E444" t="s">
        <v>42</v>
      </c>
      <c r="F444" t="s">
        <v>49</v>
      </c>
      <c r="G444">
        <v>5</v>
      </c>
      <c r="H444">
        <v>25</v>
      </c>
      <c r="I444">
        <v>4</v>
      </c>
      <c r="J444" t="s">
        <v>56</v>
      </c>
      <c r="K444" t="s">
        <v>46</v>
      </c>
      <c r="L444" t="s">
        <v>55</v>
      </c>
      <c r="M444">
        <v>379.40698391777141</v>
      </c>
      <c r="N444">
        <v>492</v>
      </c>
      <c r="O444">
        <v>357</v>
      </c>
      <c r="P444">
        <v>146</v>
      </c>
      <c r="Q444">
        <v>2.0794415416798357</v>
      </c>
      <c r="R444">
        <v>2.3025850929940459</v>
      </c>
      <c r="S444">
        <v>3.2580965380214821</v>
      </c>
      <c r="T444">
        <v>95.12</v>
      </c>
      <c r="U444">
        <v>0</v>
      </c>
      <c r="V444">
        <v>1.89305099905856</v>
      </c>
      <c r="W444">
        <v>0.59880690621441701</v>
      </c>
      <c r="X444">
        <v>1.1856460040685599</v>
      </c>
      <c r="Y444">
        <v>-0.15565097555555901</v>
      </c>
      <c r="Z444">
        <v>-0.22748295097212001</v>
      </c>
      <c r="AA444">
        <v>1.0415013010201299</v>
      </c>
      <c r="AB444">
        <v>2939.9504036908884</v>
      </c>
      <c r="AC444">
        <v>2</v>
      </c>
      <c r="AD444">
        <v>0.42868127643214149</v>
      </c>
      <c r="AE444">
        <v>-2.40641039566141E-2</v>
      </c>
      <c r="AF444">
        <v>1.2339770563669299</v>
      </c>
      <c r="AG444">
        <v>0.23553066279255899</v>
      </c>
      <c r="AH444">
        <v>0.90920988257820901</v>
      </c>
      <c r="AI444">
        <v>1.05758150203242</v>
      </c>
      <c r="AJ444">
        <v>-0.37075427686321499</v>
      </c>
      <c r="AK444">
        <v>48.0777517</v>
      </c>
      <c r="AL444">
        <v>7.3579641000000002</v>
      </c>
      <c r="AM444">
        <v>48.856372813999997</v>
      </c>
      <c r="AN444">
        <v>2.3525296170000001</v>
      </c>
    </row>
    <row r="445" spans="1:40" x14ac:dyDescent="0.35">
      <c r="A445">
        <v>579</v>
      </c>
      <c r="B445">
        <v>72</v>
      </c>
      <c r="C445" t="s">
        <v>40</v>
      </c>
      <c r="D445" t="s">
        <v>52</v>
      </c>
      <c r="E445" t="s">
        <v>42</v>
      </c>
      <c r="F445" t="s">
        <v>43</v>
      </c>
      <c r="G445">
        <v>4</v>
      </c>
      <c r="H445">
        <v>16</v>
      </c>
      <c r="I445">
        <v>5</v>
      </c>
      <c r="J445" t="s">
        <v>50</v>
      </c>
      <c r="K445" t="s">
        <v>46</v>
      </c>
      <c r="L445" t="s">
        <v>70</v>
      </c>
      <c r="M445">
        <v>47.141568591822633</v>
      </c>
      <c r="N445">
        <v>49</v>
      </c>
      <c r="O445">
        <v>40</v>
      </c>
      <c r="P445">
        <v>32</v>
      </c>
      <c r="Q445">
        <v>0</v>
      </c>
      <c r="R445">
        <v>0</v>
      </c>
      <c r="S445">
        <v>5.3230099791384085</v>
      </c>
      <c r="T445">
        <v>90.615999999999985</v>
      </c>
      <c r="U445">
        <v>1.11573792223403</v>
      </c>
      <c r="V445">
        <v>0.80288722813325297</v>
      </c>
      <c r="W445">
        <v>0.52082154240315903</v>
      </c>
      <c r="X445">
        <v>0.61908815691345198</v>
      </c>
      <c r="Y445">
        <v>1.5007680231051199</v>
      </c>
      <c r="Z445">
        <v>0.24292628533916899</v>
      </c>
      <c r="AA445">
        <v>8.5217386942517098E-2</v>
      </c>
      <c r="AB445">
        <v>3943</v>
      </c>
      <c r="AC445">
        <v>0</v>
      </c>
      <c r="AD445">
        <v>1</v>
      </c>
      <c r="AE445">
        <v>1.1088815174583</v>
      </c>
      <c r="AF445">
        <v>8.6660053328305606E-2</v>
      </c>
      <c r="AG445">
        <v>-0.96174527578190605</v>
      </c>
      <c r="AH445">
        <v>0.13506237963217799</v>
      </c>
      <c r="AI445">
        <v>0.168478007655958</v>
      </c>
      <c r="AJ445">
        <v>0.34125101119521301</v>
      </c>
      <c r="AK445">
        <v>46.098678999999997</v>
      </c>
      <c r="AL445">
        <v>4.7359530000000003</v>
      </c>
      <c r="AM445">
        <v>45.701999999999998</v>
      </c>
      <c r="AN445">
        <v>4.9489999999999998</v>
      </c>
    </row>
    <row r="446" spans="1:40" x14ac:dyDescent="0.35">
      <c r="A446">
        <v>580</v>
      </c>
      <c r="B446">
        <v>57</v>
      </c>
      <c r="C446" t="s">
        <v>40</v>
      </c>
      <c r="D446" t="s">
        <v>41</v>
      </c>
      <c r="E446" t="s">
        <v>42</v>
      </c>
      <c r="F446" t="s">
        <v>49</v>
      </c>
      <c r="G446">
        <v>6</v>
      </c>
      <c r="H446">
        <v>36</v>
      </c>
      <c r="I446">
        <v>5</v>
      </c>
      <c r="J446" t="s">
        <v>50</v>
      </c>
      <c r="K446" t="s">
        <v>46</v>
      </c>
      <c r="L446" t="s">
        <v>62</v>
      </c>
      <c r="M446">
        <v>122.3628674297512</v>
      </c>
      <c r="N446">
        <v>167</v>
      </c>
      <c r="O446">
        <v>120</v>
      </c>
      <c r="P446">
        <v>109</v>
      </c>
      <c r="Q446">
        <v>0.69314718055994529</v>
      </c>
      <c r="R446">
        <v>3.2580965380214821</v>
      </c>
      <c r="S446">
        <v>3.2580965380214821</v>
      </c>
      <c r="T446">
        <v>95.68</v>
      </c>
      <c r="U446">
        <v>0</v>
      </c>
      <c r="V446">
        <v>1.82802042479695</v>
      </c>
      <c r="W446">
        <v>0.99424279543483596</v>
      </c>
      <c r="X446">
        <v>0.99177342203587404</v>
      </c>
      <c r="Y446">
        <v>-0.96278755162326501</v>
      </c>
      <c r="Z446">
        <v>-0.75605764486205096</v>
      </c>
      <c r="AA446">
        <v>-0.80037586101695801</v>
      </c>
      <c r="AB446">
        <v>2092.91</v>
      </c>
      <c r="AC446">
        <v>0</v>
      </c>
      <c r="AD446">
        <v>2.1</v>
      </c>
      <c r="AE446">
        <v>-1.0768626388726401</v>
      </c>
      <c r="AF446">
        <v>0.73217501378092897</v>
      </c>
      <c r="AG446">
        <v>0.51116858096601603</v>
      </c>
      <c r="AH446">
        <v>0.99104073866477904</v>
      </c>
      <c r="AI446">
        <v>1.4836044289928401</v>
      </c>
      <c r="AJ446">
        <v>0.76193534118230599</v>
      </c>
      <c r="AK446">
        <v>49.042560999999999</v>
      </c>
      <c r="AL446">
        <v>3.9528660000000002</v>
      </c>
      <c r="AM446">
        <v>48.814999999999998</v>
      </c>
      <c r="AN446">
        <v>2.3159999999999998</v>
      </c>
    </row>
    <row r="447" spans="1:40" x14ac:dyDescent="0.35">
      <c r="A447">
        <v>581</v>
      </c>
      <c r="B447">
        <v>57</v>
      </c>
      <c r="C447" t="s">
        <v>40</v>
      </c>
      <c r="D447" t="s">
        <v>52</v>
      </c>
      <c r="E447" t="s">
        <v>42</v>
      </c>
      <c r="F447" t="s">
        <v>49</v>
      </c>
      <c r="G447">
        <v>5</v>
      </c>
      <c r="H447">
        <v>25</v>
      </c>
      <c r="I447">
        <v>6</v>
      </c>
      <c r="J447" t="s">
        <v>56</v>
      </c>
      <c r="K447" t="s">
        <v>46</v>
      </c>
      <c r="L447" t="s">
        <v>75</v>
      </c>
      <c r="M447">
        <v>54.583591616052111</v>
      </c>
      <c r="N447">
        <v>126</v>
      </c>
      <c r="O447">
        <v>96</v>
      </c>
      <c r="P447">
        <v>252</v>
      </c>
      <c r="Q447">
        <v>0</v>
      </c>
      <c r="R447">
        <v>0</v>
      </c>
      <c r="S447">
        <v>3.5553480614894135</v>
      </c>
      <c r="T447">
        <v>87.721111111111114</v>
      </c>
      <c r="U447">
        <v>1.8185946276597997</v>
      </c>
      <c r="V447">
        <v>-1.01058566247205</v>
      </c>
      <c r="W447">
        <v>-0.72487722485772399</v>
      </c>
      <c r="X447">
        <v>-0.83814251792544203</v>
      </c>
      <c r="Y447">
        <v>0.643019057251217</v>
      </c>
      <c r="Z447">
        <v>0.97010361819212798</v>
      </c>
      <c r="AA447">
        <v>-1.0557286875948499</v>
      </c>
      <c r="AB447">
        <v>4179</v>
      </c>
      <c r="AC447">
        <v>0</v>
      </c>
      <c r="AD447">
        <v>0</v>
      </c>
      <c r="AE447">
        <v>0.59808311135132897</v>
      </c>
      <c r="AF447">
        <v>-0.61425139817374397</v>
      </c>
      <c r="AG447">
        <v>0.70573133530960597</v>
      </c>
      <c r="AH447">
        <v>-2.25841954332607E-2</v>
      </c>
      <c r="AI447">
        <v>7.8416020599589601E-4</v>
      </c>
      <c r="AJ447">
        <v>-1.8766568043365299</v>
      </c>
      <c r="AK447">
        <v>47.087721999999999</v>
      </c>
      <c r="AL447">
        <v>-1.2817419999999999</v>
      </c>
      <c r="AM447">
        <v>46.94</v>
      </c>
      <c r="AN447">
        <v>-0.59599999999999997</v>
      </c>
    </row>
    <row r="448" spans="1:40" x14ac:dyDescent="0.35">
      <c r="A448">
        <v>582</v>
      </c>
      <c r="B448">
        <v>72</v>
      </c>
      <c r="C448" t="s">
        <v>40</v>
      </c>
      <c r="D448" t="s">
        <v>52</v>
      </c>
      <c r="E448" t="s">
        <v>68</v>
      </c>
      <c r="F448" t="s">
        <v>49</v>
      </c>
      <c r="G448">
        <v>6</v>
      </c>
      <c r="H448">
        <v>36</v>
      </c>
      <c r="I448">
        <v>5</v>
      </c>
      <c r="J448" t="s">
        <v>56</v>
      </c>
      <c r="K448" t="s">
        <v>46</v>
      </c>
      <c r="L448" t="s">
        <v>76</v>
      </c>
      <c r="M448">
        <v>391.73869447982781</v>
      </c>
      <c r="N448">
        <v>510</v>
      </c>
      <c r="O448">
        <v>310</v>
      </c>
      <c r="P448">
        <v>305</v>
      </c>
      <c r="Q448">
        <v>0</v>
      </c>
      <c r="R448">
        <v>1.0986122886681098</v>
      </c>
      <c r="S448">
        <v>4.1588830833596715</v>
      </c>
      <c r="T448">
        <v>91.226666666666674</v>
      </c>
      <c r="U448">
        <v>1.418823059726001</v>
      </c>
      <c r="V448">
        <v>-0.39095273818515502</v>
      </c>
      <c r="W448">
        <v>-0.53446083104759001</v>
      </c>
      <c r="X448">
        <v>-0.40804429067029002</v>
      </c>
      <c r="Y448">
        <v>-0.56789545922357498</v>
      </c>
      <c r="Z448">
        <v>-0.94760790482486201</v>
      </c>
      <c r="AA448">
        <v>-1.0848673571571601</v>
      </c>
      <c r="AB448">
        <v>1770.5103102717287</v>
      </c>
      <c r="AC448">
        <v>0.28213528618230871</v>
      </c>
      <c r="AD448">
        <v>1.7130468298323378</v>
      </c>
      <c r="AE448">
        <v>-1.13486126839574</v>
      </c>
      <c r="AF448">
        <v>0.24385212153785599</v>
      </c>
      <c r="AG448">
        <v>-2.3094273257472202</v>
      </c>
      <c r="AH448">
        <v>1.36884938781119</v>
      </c>
      <c r="AI448">
        <v>0.17173861140157204</v>
      </c>
      <c r="AJ448">
        <v>-0.85824761330051047</v>
      </c>
      <c r="AK448">
        <v>47.330690599999997</v>
      </c>
      <c r="AL448">
        <v>2.8390453999999998</v>
      </c>
      <c r="AM448">
        <v>50.640682937000001</v>
      </c>
      <c r="AN448">
        <v>4.6610704270000003</v>
      </c>
    </row>
    <row r="449" spans="1:40" x14ac:dyDescent="0.35">
      <c r="A449">
        <v>583</v>
      </c>
      <c r="B449">
        <v>72</v>
      </c>
      <c r="C449" t="s">
        <v>48</v>
      </c>
      <c r="D449" t="s">
        <v>52</v>
      </c>
      <c r="E449" t="s">
        <v>42</v>
      </c>
      <c r="F449" t="s">
        <v>49</v>
      </c>
      <c r="G449">
        <v>5</v>
      </c>
      <c r="H449">
        <v>25</v>
      </c>
      <c r="I449">
        <v>5</v>
      </c>
      <c r="J449" t="s">
        <v>50</v>
      </c>
      <c r="K449" t="s">
        <v>46</v>
      </c>
      <c r="L449" t="s">
        <v>57</v>
      </c>
      <c r="M449">
        <v>275.59205740706722</v>
      </c>
      <c r="N449">
        <v>311</v>
      </c>
      <c r="O449">
        <v>230</v>
      </c>
      <c r="P449">
        <v>136</v>
      </c>
      <c r="Q449">
        <v>0.69314718055994529</v>
      </c>
      <c r="R449">
        <v>3.6109179126442243</v>
      </c>
      <c r="S449">
        <v>5.8833223884882786</v>
      </c>
      <c r="T449">
        <v>90.922105263157903</v>
      </c>
      <c r="U449">
        <v>2.3923758041545438</v>
      </c>
      <c r="V449">
        <v>-0.399596989308249</v>
      </c>
      <c r="W449">
        <v>-0.58810405700346202</v>
      </c>
      <c r="X449">
        <v>-0.29041857108635599</v>
      </c>
      <c r="Y449">
        <v>-0.846122564821426</v>
      </c>
      <c r="Z449">
        <v>-0.92679578564836795</v>
      </c>
      <c r="AA449">
        <v>0.86332342905974202</v>
      </c>
      <c r="AB449">
        <v>2050</v>
      </c>
      <c r="AC449">
        <v>1</v>
      </c>
      <c r="AD449">
        <v>2</v>
      </c>
      <c r="AE449">
        <v>-0.51011828243844404</v>
      </c>
      <c r="AF449">
        <v>-0.2625928647093666</v>
      </c>
      <c r="AG449">
        <v>0.61257551030665158</v>
      </c>
      <c r="AH449">
        <v>0.640130138829344</v>
      </c>
      <c r="AI449">
        <v>1.0472121347671863</v>
      </c>
      <c r="AJ449">
        <v>9.3830685760895052E-2</v>
      </c>
      <c r="AK449">
        <v>47.023905999999997</v>
      </c>
      <c r="AL449">
        <v>4.8380429999999999</v>
      </c>
      <c r="AM449">
        <v>48.856372813999997</v>
      </c>
      <c r="AN449">
        <v>2.3525296170000001</v>
      </c>
    </row>
    <row r="450" spans="1:40" x14ac:dyDescent="0.35">
      <c r="A450">
        <v>585</v>
      </c>
      <c r="B450">
        <v>72</v>
      </c>
      <c r="C450" t="s">
        <v>48</v>
      </c>
      <c r="D450" t="s">
        <v>52</v>
      </c>
      <c r="E450" t="s">
        <v>42</v>
      </c>
      <c r="F450" t="s">
        <v>43</v>
      </c>
      <c r="G450">
        <v>5</v>
      </c>
      <c r="H450">
        <v>25</v>
      </c>
      <c r="I450">
        <v>6</v>
      </c>
      <c r="J450" t="s">
        <v>56</v>
      </c>
      <c r="K450" t="s">
        <v>46</v>
      </c>
      <c r="L450" t="s">
        <v>57</v>
      </c>
      <c r="M450">
        <v>275.59205740706722</v>
      </c>
      <c r="N450">
        <v>311</v>
      </c>
      <c r="O450">
        <v>230</v>
      </c>
      <c r="P450">
        <v>136</v>
      </c>
      <c r="Q450">
        <v>0.69314718055994529</v>
      </c>
      <c r="R450">
        <v>3.6109179126442243</v>
      </c>
      <c r="S450">
        <v>5.8833223884882786</v>
      </c>
      <c r="T450">
        <v>90.922105263157903</v>
      </c>
      <c r="U450">
        <v>2.3923758041545438</v>
      </c>
      <c r="V450">
        <v>-0.399596989308249</v>
      </c>
      <c r="W450">
        <v>-0.58810405700346202</v>
      </c>
      <c r="X450">
        <v>-0.29041857108635599</v>
      </c>
      <c r="Y450">
        <v>-0.846122564821426</v>
      </c>
      <c r="Z450">
        <v>-0.92679578564836795</v>
      </c>
      <c r="AA450">
        <v>0.86332342905974202</v>
      </c>
      <c r="AB450">
        <v>2050</v>
      </c>
      <c r="AC450">
        <v>1</v>
      </c>
      <c r="AD450">
        <v>2</v>
      </c>
      <c r="AE450">
        <v>-0.51011828243844404</v>
      </c>
      <c r="AF450">
        <v>-0.24940354936567499</v>
      </c>
      <c r="AG450">
        <v>1.3849836820783601</v>
      </c>
      <c r="AH450">
        <v>-3.8707150169532301</v>
      </c>
      <c r="AI450">
        <v>0.582739056635594</v>
      </c>
      <c r="AJ450">
        <v>1.23224658641041</v>
      </c>
      <c r="AK450">
        <v>47.023905999999997</v>
      </c>
      <c r="AL450">
        <v>4.8380429999999999</v>
      </c>
      <c r="AM450">
        <v>48.856372813999997</v>
      </c>
      <c r="AN450">
        <v>2.3525296170000001</v>
      </c>
    </row>
    <row r="451" spans="1:40" x14ac:dyDescent="0.35">
      <c r="A451">
        <v>586</v>
      </c>
      <c r="B451">
        <v>57</v>
      </c>
      <c r="C451" t="s">
        <v>40</v>
      </c>
      <c r="D451" t="s">
        <v>66</v>
      </c>
      <c r="E451" t="s">
        <v>42</v>
      </c>
      <c r="F451" t="s">
        <v>49</v>
      </c>
      <c r="G451">
        <v>5</v>
      </c>
      <c r="H451">
        <v>25</v>
      </c>
      <c r="I451">
        <v>6</v>
      </c>
      <c r="J451" t="s">
        <v>56</v>
      </c>
      <c r="K451" t="s">
        <v>46</v>
      </c>
      <c r="L451" t="s">
        <v>55</v>
      </c>
      <c r="M451">
        <v>425.06432161837768</v>
      </c>
      <c r="N451">
        <v>554</v>
      </c>
      <c r="O451">
        <v>374</v>
      </c>
      <c r="P451">
        <v>249</v>
      </c>
      <c r="Q451">
        <v>2.0794415416798357</v>
      </c>
      <c r="R451">
        <v>2.3025850929940459</v>
      </c>
      <c r="S451">
        <v>3.2580965380214821</v>
      </c>
      <c r="T451">
        <v>95.12</v>
      </c>
      <c r="U451">
        <v>0</v>
      </c>
      <c r="V451">
        <v>1.89305099905856</v>
      </c>
      <c r="W451">
        <v>0.59880690621441701</v>
      </c>
      <c r="X451">
        <v>1.1856460040685599</v>
      </c>
      <c r="Y451">
        <v>-0.15565097555555901</v>
      </c>
      <c r="Z451">
        <v>-0.22748295097212001</v>
      </c>
      <c r="AA451">
        <v>1.0415013010201299</v>
      </c>
      <c r="AB451">
        <v>2939.9504036908884</v>
      </c>
      <c r="AC451">
        <v>2</v>
      </c>
      <c r="AD451">
        <v>0.42868127643214149</v>
      </c>
      <c r="AE451">
        <v>-2.40641039566141E-2</v>
      </c>
      <c r="AF451">
        <v>-1.19898654930499</v>
      </c>
      <c r="AG451">
        <v>-1.87367481512669</v>
      </c>
      <c r="AH451">
        <v>-0.143660057741227</v>
      </c>
      <c r="AI451">
        <v>1.00226115035508</v>
      </c>
      <c r="AJ451">
        <v>1.0620802629074</v>
      </c>
      <c r="AK451">
        <v>48.0777517</v>
      </c>
      <c r="AL451">
        <v>7.3579641000000002</v>
      </c>
      <c r="AM451">
        <v>50.652000000000008</v>
      </c>
      <c r="AN451">
        <v>3.0249999999999999</v>
      </c>
    </row>
    <row r="452" spans="1:40" x14ac:dyDescent="0.35">
      <c r="A452">
        <v>587</v>
      </c>
      <c r="B452">
        <v>72</v>
      </c>
      <c r="C452" t="s">
        <v>40</v>
      </c>
      <c r="D452" t="s">
        <v>52</v>
      </c>
      <c r="E452" t="s">
        <v>42</v>
      </c>
      <c r="F452" t="s">
        <v>49</v>
      </c>
      <c r="G452">
        <v>6</v>
      </c>
      <c r="H452">
        <v>36</v>
      </c>
      <c r="I452">
        <v>7</v>
      </c>
      <c r="J452" t="s">
        <v>50</v>
      </c>
      <c r="K452" t="s">
        <v>46</v>
      </c>
      <c r="L452" t="s">
        <v>72</v>
      </c>
      <c r="M452">
        <v>186.66771059888779</v>
      </c>
      <c r="N452">
        <v>306</v>
      </c>
      <c r="O452">
        <v>203</v>
      </c>
      <c r="P452">
        <v>254</v>
      </c>
      <c r="Q452">
        <v>0.69314718055994529</v>
      </c>
      <c r="R452">
        <v>1.3862943611198906</v>
      </c>
      <c r="S452">
        <v>4.5538768916005408</v>
      </c>
      <c r="T452">
        <v>89.340161030595823</v>
      </c>
      <c r="U452">
        <v>1.4712304197281412</v>
      </c>
      <c r="V452">
        <v>0.59716251398508702</v>
      </c>
      <c r="W452">
        <v>0.91068296986709796</v>
      </c>
      <c r="X452">
        <v>1.2273243988355</v>
      </c>
      <c r="Y452">
        <v>-0.4121809470949</v>
      </c>
      <c r="Z452">
        <v>-0.86472582726521097</v>
      </c>
      <c r="AA452">
        <v>-1.0172779374790899</v>
      </c>
      <c r="AB452">
        <v>1828.1689246701658</v>
      </c>
      <c r="AC452">
        <v>1.1127464888636687</v>
      </c>
      <c r="AD452">
        <v>1.8630656830756136</v>
      </c>
      <c r="AE452">
        <v>-0.53926882203722504</v>
      </c>
      <c r="AF452">
        <v>-1.1115322086416299</v>
      </c>
      <c r="AG452">
        <v>0.398251687002661</v>
      </c>
      <c r="AH452">
        <v>-0.60790755757285397</v>
      </c>
      <c r="AI452">
        <v>-0.86513986526581499</v>
      </c>
      <c r="AJ452">
        <v>-0.483430996999964</v>
      </c>
      <c r="AK452">
        <v>44.503641999999999</v>
      </c>
      <c r="AL452">
        <v>1.1863669999999999</v>
      </c>
      <c r="AM452">
        <v>43.267857142857146</v>
      </c>
      <c r="AN452">
        <v>-0.38642857142857145</v>
      </c>
    </row>
    <row r="453" spans="1:40" x14ac:dyDescent="0.35">
      <c r="A453">
        <v>590</v>
      </c>
      <c r="B453">
        <v>72</v>
      </c>
      <c r="C453" t="s">
        <v>48</v>
      </c>
      <c r="D453" t="s">
        <v>52</v>
      </c>
      <c r="E453" t="s">
        <v>42</v>
      </c>
      <c r="F453" t="s">
        <v>49</v>
      </c>
      <c r="G453">
        <v>6</v>
      </c>
      <c r="H453">
        <v>36</v>
      </c>
      <c r="I453">
        <v>5</v>
      </c>
      <c r="J453" t="s">
        <v>50</v>
      </c>
      <c r="K453" t="s">
        <v>46</v>
      </c>
      <c r="L453" t="s">
        <v>72</v>
      </c>
      <c r="M453">
        <v>22.956400161214731</v>
      </c>
      <c r="N453">
        <v>0</v>
      </c>
      <c r="O453">
        <v>0</v>
      </c>
      <c r="P453">
        <v>0</v>
      </c>
      <c r="Q453">
        <v>0.69314718055994529</v>
      </c>
      <c r="R453">
        <v>1.3862943611198906</v>
      </c>
      <c r="S453">
        <v>4.5538768916005408</v>
      </c>
      <c r="T453">
        <v>89.340161030595823</v>
      </c>
      <c r="U453">
        <v>1.4712304197281412</v>
      </c>
      <c r="V453">
        <v>0.59716251398508702</v>
      </c>
      <c r="W453">
        <v>0.91068296986709796</v>
      </c>
      <c r="X453">
        <v>1.2273243988355</v>
      </c>
      <c r="Y453">
        <v>-0.4121809470949</v>
      </c>
      <c r="Z453">
        <v>-0.86472582726521097</v>
      </c>
      <c r="AA453">
        <v>-1.0172779374790899</v>
      </c>
      <c r="AB453">
        <v>1828.1689246701658</v>
      </c>
      <c r="AC453">
        <v>1.1127464888636687</v>
      </c>
      <c r="AD453">
        <v>1.8630656830756136</v>
      </c>
      <c r="AE453">
        <v>-0.53926882203722504</v>
      </c>
      <c r="AF453">
        <v>0.81023210054428296</v>
      </c>
      <c r="AG453">
        <v>0.366864813531455</v>
      </c>
      <c r="AH453">
        <v>0.96557878437403499</v>
      </c>
      <c r="AI453">
        <v>1.5797183492339799</v>
      </c>
      <c r="AJ453">
        <v>-1.1763850694504201</v>
      </c>
      <c r="AK453">
        <v>44.503641999999999</v>
      </c>
      <c r="AL453">
        <v>1.1863669999999999</v>
      </c>
      <c r="AM453">
        <v>44.460833333333341</v>
      </c>
      <c r="AN453">
        <v>1.469111111111111</v>
      </c>
    </row>
    <row r="454" spans="1:40" x14ac:dyDescent="0.35">
      <c r="A454">
        <v>592</v>
      </c>
      <c r="B454">
        <v>57</v>
      </c>
      <c r="C454" t="s">
        <v>48</v>
      </c>
      <c r="D454" t="s">
        <v>41</v>
      </c>
      <c r="E454" t="s">
        <v>42</v>
      </c>
      <c r="F454" t="s">
        <v>49</v>
      </c>
      <c r="G454">
        <v>4</v>
      </c>
      <c r="H454">
        <v>16</v>
      </c>
      <c r="I454">
        <v>5</v>
      </c>
      <c r="J454" t="s">
        <v>50</v>
      </c>
      <c r="K454" t="s">
        <v>46</v>
      </c>
      <c r="L454" t="s">
        <v>59</v>
      </c>
      <c r="M454">
        <v>346.71895580679609</v>
      </c>
      <c r="N454">
        <v>471</v>
      </c>
      <c r="O454">
        <v>284</v>
      </c>
      <c r="P454">
        <v>258</v>
      </c>
      <c r="Q454">
        <v>1.3862943611198906</v>
      </c>
      <c r="R454">
        <v>1.3862943611198906</v>
      </c>
      <c r="S454">
        <v>4.9972122737641147</v>
      </c>
      <c r="T454">
        <v>90.035146103896111</v>
      </c>
      <c r="U454">
        <v>1.418823059726001</v>
      </c>
      <c r="V454">
        <v>-0.52223564926899602</v>
      </c>
      <c r="W454">
        <v>-0.46072710968150399</v>
      </c>
      <c r="X454">
        <v>-0.361786268345754</v>
      </c>
      <c r="Y454">
        <v>-0.552694479448822</v>
      </c>
      <c r="Z454">
        <v>2.1676297177028899E-2</v>
      </c>
      <c r="AA454">
        <v>0.625223797005378</v>
      </c>
      <c r="AB454">
        <v>2234.6992515788952</v>
      </c>
      <c r="AC454">
        <v>0</v>
      </c>
      <c r="AD454">
        <v>0.12112735591028891</v>
      </c>
      <c r="AE454">
        <v>-0.60610368582010199</v>
      </c>
      <c r="AF454">
        <v>-0.25601161102485498</v>
      </c>
      <c r="AG454">
        <v>0.76040520201658401</v>
      </c>
      <c r="AH454">
        <v>-2.1273933153983502</v>
      </c>
      <c r="AI454">
        <v>-1.28689750672903</v>
      </c>
      <c r="AJ454">
        <v>-0.832043365523774</v>
      </c>
      <c r="AK454">
        <v>47.411035099999999</v>
      </c>
      <c r="AL454">
        <v>0.98369799999999996</v>
      </c>
      <c r="AM454">
        <v>45.767306300000001</v>
      </c>
      <c r="AN454">
        <v>4.8343065000000003</v>
      </c>
    </row>
    <row r="455" spans="1:40" x14ac:dyDescent="0.35">
      <c r="A455">
        <v>593</v>
      </c>
      <c r="B455">
        <v>72</v>
      </c>
      <c r="C455" t="s">
        <v>48</v>
      </c>
      <c r="D455" t="s">
        <v>66</v>
      </c>
      <c r="E455" t="s">
        <v>42</v>
      </c>
      <c r="F455" t="s">
        <v>49</v>
      </c>
      <c r="G455">
        <v>5</v>
      </c>
      <c r="H455">
        <v>25</v>
      </c>
      <c r="I455">
        <v>7</v>
      </c>
      <c r="J455" t="s">
        <v>56</v>
      </c>
      <c r="K455" t="s">
        <v>46</v>
      </c>
      <c r="L455" t="s">
        <v>54</v>
      </c>
      <c r="M455">
        <v>481.17801157807128</v>
      </c>
      <c r="N455">
        <v>605</v>
      </c>
      <c r="O455">
        <v>385</v>
      </c>
      <c r="P455">
        <v>261</v>
      </c>
      <c r="Q455">
        <v>3.9889840465642745</v>
      </c>
      <c r="R455">
        <v>3.0910424533583161</v>
      </c>
      <c r="S455">
        <v>4.1271343850450917</v>
      </c>
      <c r="T455">
        <v>92.826666666666668</v>
      </c>
      <c r="U455">
        <v>2.9827057067926286</v>
      </c>
      <c r="V455">
        <v>-0.16604708794949699</v>
      </c>
      <c r="W455">
        <v>-0.150727876652859</v>
      </c>
      <c r="X455">
        <v>-0.19602043866096</v>
      </c>
      <c r="Y455">
        <v>1.4483117406157899</v>
      </c>
      <c r="Z455">
        <v>1.7680602694732599</v>
      </c>
      <c r="AA455">
        <v>0.26366440732357699</v>
      </c>
      <c r="AB455">
        <v>4236</v>
      </c>
      <c r="AC455">
        <v>0</v>
      </c>
      <c r="AD455">
        <v>4</v>
      </c>
      <c r="AE455">
        <v>1.6751267091712101</v>
      </c>
      <c r="AF455">
        <v>1.1021219272413501</v>
      </c>
      <c r="AG455">
        <v>1.1873095055782601</v>
      </c>
      <c r="AH455">
        <v>-2.2841304202379402</v>
      </c>
      <c r="AI455">
        <v>1.3890354345445199</v>
      </c>
      <c r="AJ455">
        <v>0.11109967634550599</v>
      </c>
      <c r="AK455">
        <v>44.917983300000003</v>
      </c>
      <c r="AL455">
        <v>-0.22352169999999999</v>
      </c>
      <c r="AM455">
        <v>49.194782608695654</v>
      </c>
      <c r="AN455">
        <v>0.69756521739130439</v>
      </c>
    </row>
    <row r="456" spans="1:40" x14ac:dyDescent="0.35">
      <c r="A456">
        <v>594</v>
      </c>
      <c r="B456">
        <v>57</v>
      </c>
      <c r="C456" t="s">
        <v>40</v>
      </c>
      <c r="D456" t="s">
        <v>52</v>
      </c>
      <c r="E456" t="s">
        <v>42</v>
      </c>
      <c r="F456" t="s">
        <v>49</v>
      </c>
      <c r="G456">
        <v>4</v>
      </c>
      <c r="H456">
        <v>16</v>
      </c>
      <c r="I456">
        <v>6</v>
      </c>
      <c r="J456" t="s">
        <v>50</v>
      </c>
      <c r="K456" t="s">
        <v>46</v>
      </c>
      <c r="L456" t="s">
        <v>62</v>
      </c>
      <c r="M456">
        <v>168.6228483710135</v>
      </c>
      <c r="N456">
        <v>200</v>
      </c>
      <c r="O456">
        <v>110</v>
      </c>
      <c r="P456">
        <v>160</v>
      </c>
      <c r="Q456">
        <v>0.69314718055994529</v>
      </c>
      <c r="R456">
        <v>3.2580965380214821</v>
      </c>
      <c r="S456">
        <v>3.2580965380214821</v>
      </c>
      <c r="T456">
        <v>95.68</v>
      </c>
      <c r="U456">
        <v>0</v>
      </c>
      <c r="V456">
        <v>1.82802042479695</v>
      </c>
      <c r="W456">
        <v>0.99424279543483596</v>
      </c>
      <c r="X456">
        <v>0.99177342203587404</v>
      </c>
      <c r="Y456">
        <v>-0.96278755162326501</v>
      </c>
      <c r="Z456">
        <v>-0.75605764486205096</v>
      </c>
      <c r="AA456">
        <v>-0.80037586101695801</v>
      </c>
      <c r="AB456">
        <v>2092.91</v>
      </c>
      <c r="AC456">
        <v>0</v>
      </c>
      <c r="AD456">
        <v>2.1</v>
      </c>
      <c r="AE456">
        <v>-1.0768626388726401</v>
      </c>
      <c r="AF456">
        <v>0.50983741007064598</v>
      </c>
      <c r="AG456">
        <v>0.155860804746384</v>
      </c>
      <c r="AH456">
        <v>0.14376976841303901</v>
      </c>
      <c r="AI456">
        <v>0.95169153584800603</v>
      </c>
      <c r="AJ456">
        <v>6.2989766610649506E-2</v>
      </c>
      <c r="AK456">
        <v>49.042560999999999</v>
      </c>
      <c r="AL456">
        <v>3.9528660000000002</v>
      </c>
      <c r="AM456">
        <v>50.435000000000002</v>
      </c>
      <c r="AN456">
        <v>3.03</v>
      </c>
    </row>
    <row r="457" spans="1:40" x14ac:dyDescent="0.35">
      <c r="A457">
        <v>595</v>
      </c>
      <c r="B457">
        <v>72</v>
      </c>
      <c r="C457" t="s">
        <v>40</v>
      </c>
      <c r="D457" t="s">
        <v>52</v>
      </c>
      <c r="E457" t="s">
        <v>42</v>
      </c>
      <c r="F457" t="s">
        <v>49</v>
      </c>
      <c r="G457">
        <v>5</v>
      </c>
      <c r="H457">
        <v>25</v>
      </c>
      <c r="I457">
        <v>6</v>
      </c>
      <c r="J457" t="s">
        <v>45</v>
      </c>
      <c r="K457" t="s">
        <v>46</v>
      </c>
      <c r="L457" t="s">
        <v>76</v>
      </c>
      <c r="M457">
        <v>351.65225679897839</v>
      </c>
      <c r="N457">
        <v>375</v>
      </c>
      <c r="O457">
        <v>252</v>
      </c>
      <c r="P457">
        <v>272</v>
      </c>
      <c r="Q457">
        <v>0</v>
      </c>
      <c r="R457">
        <v>1.0986122886681098</v>
      </c>
      <c r="S457">
        <v>4.1588830833596715</v>
      </c>
      <c r="T457">
        <v>91.226666666666674</v>
      </c>
      <c r="U457">
        <v>1.418823059726001</v>
      </c>
      <c r="V457">
        <v>-0.39095273818515502</v>
      </c>
      <c r="W457">
        <v>-0.53446083104759001</v>
      </c>
      <c r="X457">
        <v>-0.40804429067029002</v>
      </c>
      <c r="Y457">
        <v>-0.56789545922357498</v>
      </c>
      <c r="Z457">
        <v>-0.94760790482486201</v>
      </c>
      <c r="AA457">
        <v>-1.0848673571571601</v>
      </c>
      <c r="AB457">
        <v>1770.5103102717287</v>
      </c>
      <c r="AC457">
        <v>0.28213528618230871</v>
      </c>
      <c r="AD457">
        <v>1.7130468298323378</v>
      </c>
      <c r="AE457">
        <v>-1.13486126839574</v>
      </c>
      <c r="AF457">
        <v>0.32456601628966097</v>
      </c>
      <c r="AG457">
        <v>0.28825143552087401</v>
      </c>
      <c r="AH457">
        <v>-1.86976450683656</v>
      </c>
      <c r="AI457">
        <v>-1.4844766117659001</v>
      </c>
      <c r="AJ457">
        <v>0.90281406399331199</v>
      </c>
      <c r="AK457">
        <v>47.330690599999997</v>
      </c>
      <c r="AL457">
        <v>2.8390453999999998</v>
      </c>
      <c r="AM457">
        <v>50.489000000000004</v>
      </c>
      <c r="AN457">
        <v>2.7425000000000002</v>
      </c>
    </row>
    <row r="458" spans="1:40" x14ac:dyDescent="0.35">
      <c r="A458">
        <v>596</v>
      </c>
      <c r="B458">
        <v>42</v>
      </c>
      <c r="C458" t="s">
        <v>40</v>
      </c>
      <c r="D458" t="s">
        <v>66</v>
      </c>
      <c r="E458" t="s">
        <v>42</v>
      </c>
      <c r="F458" t="s">
        <v>61</v>
      </c>
      <c r="G458">
        <v>7</v>
      </c>
      <c r="H458">
        <v>49</v>
      </c>
      <c r="I458">
        <v>6</v>
      </c>
      <c r="J458" t="s">
        <v>50</v>
      </c>
      <c r="K458" t="s">
        <v>46</v>
      </c>
      <c r="L458" t="s">
        <v>80</v>
      </c>
      <c r="M458">
        <v>53.992463702599842</v>
      </c>
      <c r="N458">
        <v>54</v>
      </c>
      <c r="O458">
        <v>57</v>
      </c>
      <c r="P458">
        <v>29</v>
      </c>
      <c r="Q458">
        <v>0</v>
      </c>
      <c r="R458">
        <v>0</v>
      </c>
      <c r="S458">
        <v>2.3978952727983707</v>
      </c>
      <c r="T458">
        <v>89.244444444444454</v>
      </c>
      <c r="U458">
        <v>2.8365341397427142</v>
      </c>
      <c r="V458">
        <v>-0.913094936359653</v>
      </c>
      <c r="W458">
        <v>-0.65053416903877104</v>
      </c>
      <c r="X458">
        <v>-0.84161646442580296</v>
      </c>
      <c r="Y458">
        <v>-0.417210198705049</v>
      </c>
      <c r="Z458">
        <v>-0.72387803684780205</v>
      </c>
      <c r="AA458">
        <v>-1.2864028892777799</v>
      </c>
      <c r="AB458">
        <v>1649.4284274193549</v>
      </c>
      <c r="AC458">
        <v>3.0423387096774195</v>
      </c>
      <c r="AD458">
        <v>1.344758064516129</v>
      </c>
      <c r="AE458">
        <v>-0.93842607425381097</v>
      </c>
      <c r="AF458">
        <v>-1.38577871396657</v>
      </c>
      <c r="AG458">
        <v>0.25613745053908499</v>
      </c>
      <c r="AH458">
        <v>1.43395452402277</v>
      </c>
      <c r="AI458">
        <v>0.72942259138381504</v>
      </c>
      <c r="AJ458">
        <v>0.29301667207443799</v>
      </c>
      <c r="AK458">
        <v>46.124017000000002</v>
      </c>
      <c r="AL458">
        <v>3.420366</v>
      </c>
      <c r="AM458">
        <v>45.673000000000002</v>
      </c>
      <c r="AN458">
        <v>3.1640000000000001</v>
      </c>
    </row>
    <row r="459" spans="1:40" x14ac:dyDescent="0.35">
      <c r="A459">
        <v>599</v>
      </c>
      <c r="B459">
        <v>72</v>
      </c>
      <c r="C459" t="s">
        <v>40</v>
      </c>
      <c r="D459" t="s">
        <v>52</v>
      </c>
      <c r="E459" t="s">
        <v>42</v>
      </c>
      <c r="F459" t="s">
        <v>49</v>
      </c>
      <c r="G459">
        <v>6</v>
      </c>
      <c r="H459">
        <v>36</v>
      </c>
      <c r="I459">
        <v>5</v>
      </c>
      <c r="J459" t="s">
        <v>50</v>
      </c>
      <c r="K459" t="s">
        <v>46</v>
      </c>
      <c r="L459" t="s">
        <v>77</v>
      </c>
      <c r="M459">
        <v>242.0485721628155</v>
      </c>
      <c r="N459">
        <v>327</v>
      </c>
      <c r="O459">
        <v>202</v>
      </c>
      <c r="P459">
        <v>166</v>
      </c>
      <c r="Q459">
        <v>0</v>
      </c>
      <c r="R459">
        <v>2.3978952727983707</v>
      </c>
      <c r="S459">
        <v>5.1416635565026603</v>
      </c>
      <c r="T459">
        <v>90.472417453603512</v>
      </c>
      <c r="U459">
        <v>2.7735735584863375</v>
      </c>
      <c r="V459">
        <v>-0.15231437986527399</v>
      </c>
      <c r="W459">
        <v>3.49635939345109E-2</v>
      </c>
      <c r="X459">
        <v>-0.19627808847033801</v>
      </c>
      <c r="Y459">
        <v>-0.57382446736590997</v>
      </c>
      <c r="Z459">
        <v>-0.74335605457542497</v>
      </c>
      <c r="AA459">
        <v>-0.53588051656191904</v>
      </c>
      <c r="AB459">
        <v>3937</v>
      </c>
      <c r="AC459">
        <v>0</v>
      </c>
      <c r="AD459">
        <v>1</v>
      </c>
      <c r="AE459">
        <v>-0.72244456620022002</v>
      </c>
      <c r="AF459">
        <v>1.05373842720349</v>
      </c>
      <c r="AG459">
        <v>-1.56623735204993</v>
      </c>
      <c r="AH459">
        <v>0.84433258687621005</v>
      </c>
      <c r="AI459">
        <v>1.1216415089614</v>
      </c>
      <c r="AJ459">
        <v>-0.107145449545879</v>
      </c>
      <c r="AK459">
        <v>47.259622</v>
      </c>
      <c r="AL459">
        <v>-7.8518000000000004E-2</v>
      </c>
      <c r="AM459">
        <v>48.768000000000001</v>
      </c>
      <c r="AN459">
        <v>2.2629999999999999</v>
      </c>
    </row>
    <row r="460" spans="1:40" x14ac:dyDescent="0.35">
      <c r="A460">
        <v>600</v>
      </c>
      <c r="B460">
        <v>72</v>
      </c>
      <c r="C460" t="s">
        <v>40</v>
      </c>
      <c r="D460" t="s">
        <v>52</v>
      </c>
      <c r="E460" t="s">
        <v>42</v>
      </c>
      <c r="F460" t="s">
        <v>49</v>
      </c>
      <c r="G460">
        <v>6</v>
      </c>
      <c r="H460">
        <v>36</v>
      </c>
      <c r="I460">
        <v>6</v>
      </c>
      <c r="J460" t="s">
        <v>50</v>
      </c>
      <c r="K460" t="s">
        <v>46</v>
      </c>
      <c r="L460" t="s">
        <v>69</v>
      </c>
      <c r="M460">
        <v>239.4294356734535</v>
      </c>
      <c r="N460">
        <v>330</v>
      </c>
      <c r="O460">
        <v>170</v>
      </c>
      <c r="P460">
        <v>258</v>
      </c>
      <c r="Q460">
        <v>2.3978952727983707</v>
      </c>
      <c r="R460">
        <v>4.5538768916005408</v>
      </c>
      <c r="S460">
        <v>5.4847969334906548</v>
      </c>
      <c r="T460">
        <v>93.296000000000006</v>
      </c>
      <c r="U460">
        <v>2.2325431437911538</v>
      </c>
      <c r="V460">
        <v>-0.44922684044461197</v>
      </c>
      <c r="W460">
        <v>-0.76855194782346203</v>
      </c>
      <c r="X460">
        <v>-0.44700324392789598</v>
      </c>
      <c r="Y460">
        <v>-0.846122564821426</v>
      </c>
      <c r="Z460">
        <v>-0.92679578564836795</v>
      </c>
      <c r="AA460">
        <v>0.86332342905974202</v>
      </c>
      <c r="AB460">
        <v>2050</v>
      </c>
      <c r="AC460">
        <v>1</v>
      </c>
      <c r="AD460">
        <v>2</v>
      </c>
      <c r="AE460">
        <v>-0.51011828243844404</v>
      </c>
      <c r="AF460">
        <v>0.91974592830334101</v>
      </c>
      <c r="AG460">
        <v>0.24354436928986001</v>
      </c>
      <c r="AH460">
        <v>1.0439948449612999</v>
      </c>
      <c r="AI460">
        <v>1.4836044289928401</v>
      </c>
      <c r="AJ460">
        <v>0.76193534118230599</v>
      </c>
      <c r="AK460">
        <v>47.177235000000003</v>
      </c>
      <c r="AL460">
        <v>4.964315</v>
      </c>
      <c r="AM460">
        <v>47.839454199999999</v>
      </c>
      <c r="AN460">
        <v>1.9345859999999999</v>
      </c>
    </row>
    <row r="461" spans="1:40" x14ac:dyDescent="0.35">
      <c r="A461">
        <v>601</v>
      </c>
      <c r="B461">
        <v>57</v>
      </c>
      <c r="C461" t="s">
        <v>40</v>
      </c>
      <c r="D461" t="s">
        <v>52</v>
      </c>
      <c r="E461" t="s">
        <v>42</v>
      </c>
      <c r="F461" t="s">
        <v>49</v>
      </c>
      <c r="G461">
        <v>3</v>
      </c>
      <c r="H461">
        <v>9</v>
      </c>
      <c r="I461">
        <v>5</v>
      </c>
      <c r="J461" t="s">
        <v>56</v>
      </c>
      <c r="K461" t="s">
        <v>46</v>
      </c>
      <c r="L461" t="s">
        <v>47</v>
      </c>
      <c r="M461">
        <v>559.32421524963797</v>
      </c>
      <c r="N461">
        <v>711</v>
      </c>
      <c r="O461">
        <v>448</v>
      </c>
      <c r="P461">
        <v>333</v>
      </c>
      <c r="Q461">
        <v>5.9107966440405271</v>
      </c>
      <c r="R461">
        <v>6.4997870406558542</v>
      </c>
      <c r="S461">
        <v>8.6415324656718457</v>
      </c>
      <c r="T461">
        <v>89.265350482850479</v>
      </c>
      <c r="U461">
        <v>1.4417786561042019</v>
      </c>
      <c r="V461">
        <v>-0.22886708829074301</v>
      </c>
      <c r="W461">
        <v>0.28745285629339301</v>
      </c>
      <c r="X461">
        <v>-0.15627425222847</v>
      </c>
      <c r="Y461">
        <v>1.45226138127617</v>
      </c>
      <c r="Z461">
        <v>0.98247225355557</v>
      </c>
      <c r="AA461">
        <v>0.627775520474398</v>
      </c>
      <c r="AB461">
        <v>3362.2959371744532</v>
      </c>
      <c r="AC461">
        <v>2.8998317172850387</v>
      </c>
      <c r="AD461">
        <v>2.9499158586425196</v>
      </c>
      <c r="AE461">
        <v>1.06273170356322</v>
      </c>
      <c r="AF461">
        <v>1.0548505456025301</v>
      </c>
      <c r="AG461">
        <v>-0.37843272803192002</v>
      </c>
      <c r="AH461">
        <v>-0.14945990487438801</v>
      </c>
      <c r="AI461">
        <v>0.44129572422462399</v>
      </c>
      <c r="AJ461">
        <v>1.1921210758224501</v>
      </c>
      <c r="AK461">
        <v>43.3535629403058</v>
      </c>
      <c r="AL461">
        <v>3.21615314793977</v>
      </c>
      <c r="AM461">
        <v>48.375416666666666</v>
      </c>
      <c r="AN461">
        <v>2.9819166666666668</v>
      </c>
    </row>
    <row r="462" spans="1:40" x14ac:dyDescent="0.35">
      <c r="A462">
        <v>602</v>
      </c>
      <c r="B462">
        <v>57</v>
      </c>
      <c r="C462" t="s">
        <v>40</v>
      </c>
      <c r="D462" t="s">
        <v>52</v>
      </c>
      <c r="E462" t="s">
        <v>42</v>
      </c>
      <c r="F462" t="s">
        <v>49</v>
      </c>
      <c r="G462">
        <v>5</v>
      </c>
      <c r="H462">
        <v>25</v>
      </c>
      <c r="I462">
        <v>4</v>
      </c>
      <c r="J462" t="s">
        <v>56</v>
      </c>
      <c r="K462" t="s">
        <v>46</v>
      </c>
      <c r="L462" t="s">
        <v>65</v>
      </c>
      <c r="M462">
        <v>53.839055317928228</v>
      </c>
      <c r="N462">
        <v>88</v>
      </c>
      <c r="O462">
        <v>65</v>
      </c>
      <c r="P462">
        <v>125</v>
      </c>
      <c r="Q462">
        <v>0</v>
      </c>
      <c r="R462">
        <v>0</v>
      </c>
      <c r="S462">
        <v>4.4543472962535073</v>
      </c>
      <c r="T462">
        <v>89.333044733044744</v>
      </c>
      <c r="U462">
        <v>1.2554235437523662</v>
      </c>
      <c r="V462">
        <v>1.64975517953679</v>
      </c>
      <c r="W462">
        <v>2.4220969657957299</v>
      </c>
      <c r="X462">
        <v>1.68128863126442</v>
      </c>
      <c r="Y462">
        <v>2.0553398017137301</v>
      </c>
      <c r="Z462">
        <v>2.0921400018840099</v>
      </c>
      <c r="AA462">
        <v>2.0596698968962701</v>
      </c>
      <c r="AB462">
        <v>3262.71</v>
      </c>
      <c r="AC462">
        <v>0.33</v>
      </c>
      <c r="AD462">
        <v>0.66</v>
      </c>
      <c r="AE462">
        <v>1.9221838973381</v>
      </c>
      <c r="AF462">
        <v>-0.21859784443258901</v>
      </c>
      <c r="AG462">
        <v>-1.91728104683453</v>
      </c>
      <c r="AH462">
        <v>1.0171837733037099</v>
      </c>
      <c r="AI462">
        <v>0.422291297089674</v>
      </c>
      <c r="AJ462">
        <v>1.33229489365211</v>
      </c>
      <c r="AK462">
        <v>43.537466000000002</v>
      </c>
      <c r="AL462">
        <v>6.4627330000000001</v>
      </c>
      <c r="AM462">
        <v>43.686999999999998</v>
      </c>
      <c r="AN462">
        <v>7.0979999999999999</v>
      </c>
    </row>
    <row r="463" spans="1:40" x14ac:dyDescent="0.35">
      <c r="A463">
        <v>603</v>
      </c>
      <c r="B463">
        <v>72</v>
      </c>
      <c r="C463" t="s">
        <v>40</v>
      </c>
      <c r="D463" t="s">
        <v>52</v>
      </c>
      <c r="E463" t="s">
        <v>42</v>
      </c>
      <c r="F463" t="s">
        <v>49</v>
      </c>
      <c r="G463">
        <v>5</v>
      </c>
      <c r="H463">
        <v>25</v>
      </c>
      <c r="I463">
        <v>7</v>
      </c>
      <c r="J463" t="s">
        <v>56</v>
      </c>
      <c r="K463" t="s">
        <v>46</v>
      </c>
      <c r="L463" t="s">
        <v>60</v>
      </c>
      <c r="M463">
        <v>39.391520177421242</v>
      </c>
      <c r="N463">
        <v>109</v>
      </c>
      <c r="O463">
        <v>82</v>
      </c>
      <c r="P463">
        <v>333</v>
      </c>
      <c r="Q463">
        <v>3.8501476017100584</v>
      </c>
      <c r="R463">
        <v>2.9957322735539909</v>
      </c>
      <c r="S463">
        <v>5.4424177105217932</v>
      </c>
      <c r="T463">
        <v>88.975873222691746</v>
      </c>
      <c r="U463">
        <v>2.5514539469641888</v>
      </c>
      <c r="V463">
        <v>2.9336799326863701</v>
      </c>
      <c r="W463">
        <v>3.3730943146768602</v>
      </c>
      <c r="X463">
        <v>3.6072071704345601</v>
      </c>
      <c r="Y463">
        <v>-0.19189497559235799</v>
      </c>
      <c r="Z463">
        <v>0.17569111512999699</v>
      </c>
      <c r="AA463">
        <v>-0.304970615080496</v>
      </c>
      <c r="AB463">
        <v>1906.836709612184</v>
      </c>
      <c r="AC463">
        <v>0.7978420820676605</v>
      </c>
      <c r="AD463">
        <v>2.1056638128240834</v>
      </c>
      <c r="AE463">
        <v>-0.25037207080954499</v>
      </c>
      <c r="AF463">
        <v>-0.351019562966988</v>
      </c>
      <c r="AG463">
        <v>2.33471040340309E-2</v>
      </c>
      <c r="AH463">
        <v>-1.4426692805746699</v>
      </c>
      <c r="AI463">
        <v>-0.90545231969192819</v>
      </c>
      <c r="AJ463">
        <v>-1.2933428097881507</v>
      </c>
      <c r="AK463">
        <v>44.055988999999997</v>
      </c>
      <c r="AL463">
        <v>4.8317350000000001</v>
      </c>
      <c r="AM463">
        <v>44.356142857142856</v>
      </c>
      <c r="AN463">
        <v>4.5702857142857143</v>
      </c>
    </row>
    <row r="464" spans="1:40" x14ac:dyDescent="0.35">
      <c r="A464">
        <v>604</v>
      </c>
      <c r="B464">
        <v>57</v>
      </c>
      <c r="C464" t="s">
        <v>40</v>
      </c>
      <c r="D464" t="s">
        <v>52</v>
      </c>
      <c r="E464" t="s">
        <v>42</v>
      </c>
      <c r="F464" t="s">
        <v>49</v>
      </c>
      <c r="G464">
        <v>3</v>
      </c>
      <c r="H464">
        <v>9</v>
      </c>
      <c r="I464">
        <v>5</v>
      </c>
      <c r="J464" t="s">
        <v>45</v>
      </c>
      <c r="K464" t="s">
        <v>46</v>
      </c>
      <c r="L464" t="s">
        <v>83</v>
      </c>
      <c r="M464">
        <v>392.90944371192978</v>
      </c>
      <c r="N464">
        <v>441</v>
      </c>
      <c r="O464">
        <v>287</v>
      </c>
      <c r="P464">
        <v>251</v>
      </c>
      <c r="Q464">
        <v>0</v>
      </c>
      <c r="R464">
        <v>0</v>
      </c>
      <c r="S464">
        <v>4.4886363697321396</v>
      </c>
      <c r="T464">
        <v>90.115111111111119</v>
      </c>
      <c r="U464">
        <v>1.2513404171152498</v>
      </c>
      <c r="V464">
        <v>-0.46152060700845399</v>
      </c>
      <c r="W464">
        <v>-0.57121975163865102</v>
      </c>
      <c r="X464">
        <v>-0.33135740862223101</v>
      </c>
      <c r="Y464">
        <v>-0.77598924050104101</v>
      </c>
      <c r="Z464">
        <v>0.47668876811384397</v>
      </c>
      <c r="AA464">
        <v>0.85617757356637403</v>
      </c>
      <c r="AB464">
        <v>2565</v>
      </c>
      <c r="AC464">
        <v>1</v>
      </c>
      <c r="AD464">
        <v>0</v>
      </c>
      <c r="AE464">
        <v>-0.72514205471140702</v>
      </c>
      <c r="AF464">
        <v>-0.85650105118142705</v>
      </c>
      <c r="AG464">
        <v>0.87341537096087796</v>
      </c>
      <c r="AH464">
        <v>-0.96598512082485899</v>
      </c>
      <c r="AI464">
        <v>-0.13279456498866701</v>
      </c>
      <c r="AJ464">
        <v>-2.0877294366444898</v>
      </c>
      <c r="AK464">
        <v>46.839658</v>
      </c>
      <c r="AL464">
        <v>4.7189269999999999</v>
      </c>
      <c r="AM464">
        <v>43.392000000000003</v>
      </c>
      <c r="AN464">
        <v>3.6469999999999998</v>
      </c>
    </row>
    <row r="465" spans="1:40" x14ac:dyDescent="0.35">
      <c r="A465">
        <v>605</v>
      </c>
      <c r="B465">
        <v>42</v>
      </c>
      <c r="C465" t="s">
        <v>48</v>
      </c>
      <c r="D465" t="s">
        <v>66</v>
      </c>
      <c r="E465" t="s">
        <v>42</v>
      </c>
      <c r="F465" t="s">
        <v>43</v>
      </c>
      <c r="G465">
        <v>1</v>
      </c>
      <c r="H465">
        <v>1</v>
      </c>
      <c r="I465">
        <v>3</v>
      </c>
      <c r="J465" t="s">
        <v>56</v>
      </c>
      <c r="K465" t="s">
        <v>44</v>
      </c>
      <c r="L465" t="s">
        <v>74</v>
      </c>
      <c r="M465">
        <v>266.62777822288501</v>
      </c>
      <c r="N465">
        <v>355</v>
      </c>
      <c r="O465">
        <v>229</v>
      </c>
      <c r="P465">
        <v>220</v>
      </c>
      <c r="Q465">
        <v>1.6094379124341003</v>
      </c>
      <c r="R465">
        <v>2.5649493574615367</v>
      </c>
      <c r="S465">
        <v>4.8202815656050371</v>
      </c>
      <c r="T465">
        <v>91.984920634920627</v>
      </c>
      <c r="U465">
        <v>1.0351430572167302</v>
      </c>
      <c r="V465">
        <v>-0.45376679124596098</v>
      </c>
      <c r="W465">
        <v>-0.56138574648679695</v>
      </c>
      <c r="X465">
        <v>-0.92192590083580195</v>
      </c>
      <c r="Y465">
        <v>-1.17232967929859</v>
      </c>
      <c r="Z465">
        <v>-0.98267194414701198</v>
      </c>
      <c r="AA465">
        <v>-0.89586780259421905</v>
      </c>
      <c r="AB465">
        <v>1270</v>
      </c>
      <c r="AC465">
        <v>3</v>
      </c>
      <c r="AD465">
        <v>1</v>
      </c>
      <c r="AE465">
        <v>-1.1438350904766701</v>
      </c>
      <c r="AF465">
        <v>1.78963315233391</v>
      </c>
      <c r="AG465">
        <v>1.1383466291697999</v>
      </c>
      <c r="AH465">
        <v>-0.56486890565658898</v>
      </c>
      <c r="AI465">
        <v>-6.6282889584525398E-2</v>
      </c>
      <c r="AJ465">
        <v>-1.5799891870918901</v>
      </c>
      <c r="AK465">
        <v>46.672161000000003</v>
      </c>
      <c r="AL465">
        <v>5.558465</v>
      </c>
      <c r="AM465">
        <v>48.581966299999998</v>
      </c>
      <c r="AN465">
        <v>7.7037747999999997</v>
      </c>
    </row>
    <row r="466" spans="1:40" x14ac:dyDescent="0.35">
      <c r="A466">
        <v>606</v>
      </c>
      <c r="B466">
        <v>72</v>
      </c>
      <c r="C466" t="s">
        <v>40</v>
      </c>
      <c r="D466" t="s">
        <v>52</v>
      </c>
      <c r="E466" t="s">
        <v>42</v>
      </c>
      <c r="F466" t="s">
        <v>49</v>
      </c>
      <c r="G466">
        <v>4</v>
      </c>
      <c r="H466">
        <v>16</v>
      </c>
      <c r="I466">
        <v>3</v>
      </c>
      <c r="J466" t="s">
        <v>56</v>
      </c>
      <c r="K466" t="s">
        <v>46</v>
      </c>
      <c r="L466" t="s">
        <v>54</v>
      </c>
      <c r="M466">
        <v>16.704794226738379</v>
      </c>
      <c r="N466">
        <v>36</v>
      </c>
      <c r="O466">
        <v>49</v>
      </c>
      <c r="P466">
        <v>22</v>
      </c>
      <c r="Q466">
        <v>3.9889840465642745</v>
      </c>
      <c r="R466">
        <v>3.0910424533583161</v>
      </c>
      <c r="S466">
        <v>4.1271343850450917</v>
      </c>
      <c r="T466">
        <v>92.826666666666668</v>
      </c>
      <c r="U466">
        <v>2.9827057067926286</v>
      </c>
      <c r="V466">
        <v>-0.16604708794949699</v>
      </c>
      <c r="W466">
        <v>-0.150727876652859</v>
      </c>
      <c r="X466">
        <v>-0.19602043866096</v>
      </c>
      <c r="Y466">
        <v>1.4483117406157899</v>
      </c>
      <c r="Z466">
        <v>1.7680602694732599</v>
      </c>
      <c r="AA466">
        <v>0.26366440732357699</v>
      </c>
      <c r="AB466">
        <v>4236</v>
      </c>
      <c r="AC466">
        <v>0</v>
      </c>
      <c r="AD466">
        <v>4</v>
      </c>
      <c r="AE466">
        <v>1.6751267091712101</v>
      </c>
      <c r="AF466">
        <v>-1.5134802908426026</v>
      </c>
      <c r="AG466">
        <v>2.0825779862164153</v>
      </c>
      <c r="AH466">
        <v>-1.2288684901674733</v>
      </c>
      <c r="AI466">
        <v>-1.5277508151708226</v>
      </c>
      <c r="AJ466">
        <v>-0.8228209058145276</v>
      </c>
      <c r="AK466">
        <v>44.917983300000003</v>
      </c>
      <c r="AL466">
        <v>-0.22352169999999999</v>
      </c>
      <c r="AM466">
        <v>44.840749999999993</v>
      </c>
      <c r="AN466">
        <v>-4.1950000000000001E-2</v>
      </c>
    </row>
    <row r="467" spans="1:40" x14ac:dyDescent="0.35">
      <c r="A467">
        <v>608</v>
      </c>
      <c r="B467">
        <v>72</v>
      </c>
      <c r="C467" t="s">
        <v>40</v>
      </c>
      <c r="D467" t="s">
        <v>52</v>
      </c>
      <c r="E467" t="s">
        <v>42</v>
      </c>
      <c r="F467" t="s">
        <v>43</v>
      </c>
      <c r="G467">
        <v>4</v>
      </c>
      <c r="H467">
        <v>16</v>
      </c>
      <c r="I467">
        <v>7</v>
      </c>
      <c r="J467" t="s">
        <v>56</v>
      </c>
      <c r="K467" t="s">
        <v>46</v>
      </c>
      <c r="L467" t="s">
        <v>47</v>
      </c>
      <c r="M467">
        <v>255.39392893577849</v>
      </c>
      <c r="N467">
        <v>347</v>
      </c>
      <c r="O467">
        <v>226</v>
      </c>
      <c r="P467">
        <v>347</v>
      </c>
      <c r="Q467">
        <v>5.9107966440405271</v>
      </c>
      <c r="R467">
        <v>6.4997870406558542</v>
      </c>
      <c r="S467">
        <v>8.6415324656718457</v>
      </c>
      <c r="T467">
        <v>89.265350482850479</v>
      </c>
      <c r="U467">
        <v>1.4417786561042019</v>
      </c>
      <c r="V467">
        <v>-0.22886708829074301</v>
      </c>
      <c r="W467">
        <v>0.28745285629339301</v>
      </c>
      <c r="X467">
        <v>-0.15627425222847</v>
      </c>
      <c r="Y467">
        <v>1.45226138127617</v>
      </c>
      <c r="Z467">
        <v>0.98247225355557</v>
      </c>
      <c r="AA467">
        <v>0.627775520474398</v>
      </c>
      <c r="AB467">
        <v>3362.2959371744532</v>
      </c>
      <c r="AC467">
        <v>2.8998317172850387</v>
      </c>
      <c r="AD467">
        <v>2.9499158586425196</v>
      </c>
      <c r="AE467">
        <v>1.06273170356322</v>
      </c>
      <c r="AF467">
        <v>-0.18505993210885999</v>
      </c>
      <c r="AG467">
        <v>0.66257164649653999</v>
      </c>
      <c r="AH467">
        <v>1.13781988348356</v>
      </c>
      <c r="AI467">
        <v>-0.48844102930079297</v>
      </c>
      <c r="AJ467">
        <v>1.3760656963362601</v>
      </c>
      <c r="AK467">
        <v>43.3535629403058</v>
      </c>
      <c r="AL467">
        <v>3.21615314793977</v>
      </c>
      <c r="AM467">
        <v>45.647300000000001</v>
      </c>
      <c r="AN467">
        <v>3.2837000000000005</v>
      </c>
    </row>
    <row r="468" spans="1:40" x14ac:dyDescent="0.35">
      <c r="A468">
        <v>610</v>
      </c>
      <c r="B468">
        <v>72</v>
      </c>
      <c r="C468" t="s">
        <v>48</v>
      </c>
      <c r="D468" t="s">
        <v>52</v>
      </c>
      <c r="E468" t="s">
        <v>42</v>
      </c>
      <c r="F468" t="s">
        <v>43</v>
      </c>
      <c r="G468">
        <v>5</v>
      </c>
      <c r="H468">
        <v>25</v>
      </c>
      <c r="I468">
        <v>7</v>
      </c>
      <c r="J468" t="s">
        <v>50</v>
      </c>
      <c r="K468" t="s">
        <v>46</v>
      </c>
      <c r="L468" t="s">
        <v>65</v>
      </c>
      <c r="M468">
        <v>63.055800816715049</v>
      </c>
      <c r="N468">
        <v>85</v>
      </c>
      <c r="O468">
        <v>55</v>
      </c>
      <c r="P468">
        <v>80</v>
      </c>
      <c r="Q468">
        <v>0</v>
      </c>
      <c r="R468">
        <v>0</v>
      </c>
      <c r="S468">
        <v>4.4543472962535073</v>
      </c>
      <c r="T468">
        <v>89.333044733044744</v>
      </c>
      <c r="U468">
        <v>1.2554235437523662</v>
      </c>
      <c r="V468">
        <v>1.64975517953679</v>
      </c>
      <c r="W468">
        <v>2.4220969657957299</v>
      </c>
      <c r="X468">
        <v>1.68128863126442</v>
      </c>
      <c r="Y468">
        <v>2.0553398017137301</v>
      </c>
      <c r="Z468">
        <v>2.0921400018840099</v>
      </c>
      <c r="AA468">
        <v>2.0596698968962701</v>
      </c>
      <c r="AB468">
        <v>3262.71</v>
      </c>
      <c r="AC468">
        <v>0.33</v>
      </c>
      <c r="AD468">
        <v>0.66</v>
      </c>
      <c r="AE468">
        <v>1.9221838973381</v>
      </c>
      <c r="AF468">
        <v>-0.248340001607912</v>
      </c>
      <c r="AG468">
        <v>-1.01224880103847</v>
      </c>
      <c r="AH468">
        <v>5.7630587580392002E-2</v>
      </c>
      <c r="AI468">
        <v>-0.41216769894765498</v>
      </c>
      <c r="AJ468">
        <v>-0.35914515307681899</v>
      </c>
      <c r="AK468">
        <v>43.537466000000002</v>
      </c>
      <c r="AL468">
        <v>6.4627330000000001</v>
      </c>
      <c r="AM468">
        <v>43.147599999999997</v>
      </c>
      <c r="AN468">
        <v>5.8977000000000004</v>
      </c>
    </row>
    <row r="469" spans="1:40" x14ac:dyDescent="0.35">
      <c r="A469">
        <v>611</v>
      </c>
      <c r="B469">
        <v>72</v>
      </c>
      <c r="C469" t="s">
        <v>40</v>
      </c>
      <c r="D469" t="s">
        <v>52</v>
      </c>
      <c r="E469" t="s">
        <v>42</v>
      </c>
      <c r="F469" t="s">
        <v>49</v>
      </c>
      <c r="G469">
        <v>5</v>
      </c>
      <c r="H469">
        <v>25</v>
      </c>
      <c r="I469">
        <v>7</v>
      </c>
      <c r="J469" t="s">
        <v>50</v>
      </c>
      <c r="K469" t="s">
        <v>46</v>
      </c>
      <c r="L469" t="s">
        <v>55</v>
      </c>
      <c r="M469">
        <v>379.40698391777141</v>
      </c>
      <c r="N469">
        <v>492</v>
      </c>
      <c r="O469">
        <v>357</v>
      </c>
      <c r="P469">
        <v>146</v>
      </c>
      <c r="Q469">
        <v>2.0794415416798357</v>
      </c>
      <c r="R469">
        <v>2.3025850929940459</v>
      </c>
      <c r="S469">
        <v>3.2580965380214821</v>
      </c>
      <c r="T469">
        <v>95.12</v>
      </c>
      <c r="U469">
        <v>0</v>
      </c>
      <c r="V469">
        <v>1.89305099905856</v>
      </c>
      <c r="W469">
        <v>0.59880690621441701</v>
      </c>
      <c r="X469">
        <v>1.1856460040685599</v>
      </c>
      <c r="Y469">
        <v>-0.15565097555555901</v>
      </c>
      <c r="Z469">
        <v>-0.22748295097212001</v>
      </c>
      <c r="AA469">
        <v>1.0415013010201299</v>
      </c>
      <c r="AB469">
        <v>2939.9504036908884</v>
      </c>
      <c r="AC469">
        <v>2</v>
      </c>
      <c r="AD469">
        <v>0.42868127643214149</v>
      </c>
      <c r="AE469">
        <v>-2.40641039566141E-2</v>
      </c>
      <c r="AF469">
        <v>0.1114962941342473</v>
      </c>
      <c r="AG469">
        <v>0.89217323427355655</v>
      </c>
      <c r="AH469">
        <v>-0.56744489247615626</v>
      </c>
      <c r="AI469">
        <v>0.22714180632468656</v>
      </c>
      <c r="AJ469">
        <v>1.4104045604451898</v>
      </c>
      <c r="AK469">
        <v>48.0777517</v>
      </c>
      <c r="AL469">
        <v>7.3579641000000002</v>
      </c>
      <c r="AM469">
        <v>48.856372813999997</v>
      </c>
      <c r="AN469">
        <v>2.3525296170000001</v>
      </c>
    </row>
    <row r="470" spans="1:40" x14ac:dyDescent="0.35">
      <c r="A470">
        <v>612</v>
      </c>
      <c r="B470">
        <v>21.5</v>
      </c>
      <c r="C470" t="s">
        <v>40</v>
      </c>
      <c r="D470" t="s">
        <v>66</v>
      </c>
      <c r="E470" t="s">
        <v>42</v>
      </c>
      <c r="F470" t="s">
        <v>43</v>
      </c>
      <c r="G470">
        <v>5</v>
      </c>
      <c r="H470">
        <v>25</v>
      </c>
      <c r="I470">
        <v>4</v>
      </c>
      <c r="J470" t="s">
        <v>50</v>
      </c>
      <c r="K470" t="s">
        <v>46</v>
      </c>
      <c r="L470" t="s">
        <v>59</v>
      </c>
      <c r="M470">
        <v>83.279033320701217</v>
      </c>
      <c r="N470">
        <v>162</v>
      </c>
      <c r="O470">
        <v>118</v>
      </c>
      <c r="P470">
        <v>81</v>
      </c>
      <c r="Q470">
        <v>1.3862943611198906</v>
      </c>
      <c r="R470">
        <v>1.3862943611198906</v>
      </c>
      <c r="S470">
        <v>4.9972122737641147</v>
      </c>
      <c r="T470">
        <v>90.035146103896111</v>
      </c>
      <c r="U470">
        <v>1.418823059726001</v>
      </c>
      <c r="V470">
        <v>-0.52223564926899602</v>
      </c>
      <c r="W470">
        <v>-0.46072710968150399</v>
      </c>
      <c r="X470">
        <v>-0.361786268345754</v>
      </c>
      <c r="Y470">
        <v>-0.552694479448822</v>
      </c>
      <c r="Z470">
        <v>2.1676297177028899E-2</v>
      </c>
      <c r="AA470">
        <v>0.625223797005378</v>
      </c>
      <c r="AB470">
        <v>2234.6992515788952</v>
      </c>
      <c r="AC470">
        <v>0</v>
      </c>
      <c r="AD470">
        <v>0.12112735591028891</v>
      </c>
      <c r="AE470">
        <v>-0.60610368582010199</v>
      </c>
      <c r="AF470">
        <v>-1.0069804727227001</v>
      </c>
      <c r="AG470">
        <v>0.54963519025239005</v>
      </c>
      <c r="AH470">
        <v>1.2939782970603799</v>
      </c>
      <c r="AI470">
        <v>1.05031811047565</v>
      </c>
      <c r="AJ470">
        <v>9.2920057591039495E-2</v>
      </c>
      <c r="AK470">
        <v>47.411035099999999</v>
      </c>
      <c r="AL470">
        <v>0.98369799999999996</v>
      </c>
      <c r="AM470">
        <v>47.23962499999999</v>
      </c>
      <c r="AN470">
        <v>-9.0624999999999997E-2</v>
      </c>
    </row>
    <row r="471" spans="1:40" x14ac:dyDescent="0.35">
      <c r="A471">
        <v>613</v>
      </c>
      <c r="B471">
        <v>42</v>
      </c>
      <c r="C471" t="s">
        <v>40</v>
      </c>
      <c r="D471" t="s">
        <v>41</v>
      </c>
      <c r="E471" t="s">
        <v>42</v>
      </c>
      <c r="F471" t="s">
        <v>61</v>
      </c>
      <c r="G471">
        <v>3</v>
      </c>
      <c r="H471">
        <v>9</v>
      </c>
      <c r="I471">
        <v>3</v>
      </c>
      <c r="J471" t="s">
        <v>56</v>
      </c>
      <c r="K471" t="s">
        <v>46</v>
      </c>
      <c r="L471" t="s">
        <v>74</v>
      </c>
      <c r="M471">
        <v>340.84257961386459</v>
      </c>
      <c r="N471">
        <v>431</v>
      </c>
      <c r="O471">
        <v>270</v>
      </c>
      <c r="P471">
        <v>183</v>
      </c>
      <c r="Q471">
        <v>1.6094379124341003</v>
      </c>
      <c r="R471">
        <v>2.5649493574615367</v>
      </c>
      <c r="S471">
        <v>4.8202815656050371</v>
      </c>
      <c r="T471">
        <v>91.984920634920627</v>
      </c>
      <c r="U471">
        <v>1.0351430572167302</v>
      </c>
      <c r="V471">
        <v>-0.45376679124596098</v>
      </c>
      <c r="W471">
        <v>-0.56138574648679695</v>
      </c>
      <c r="X471">
        <v>-0.92192590083580195</v>
      </c>
      <c r="Y471">
        <v>-1.17232967929859</v>
      </c>
      <c r="Z471">
        <v>-0.98267194414701198</v>
      </c>
      <c r="AA471">
        <v>-0.89586780259421905</v>
      </c>
      <c r="AB471">
        <v>1270</v>
      </c>
      <c r="AC471">
        <v>3</v>
      </c>
      <c r="AD471">
        <v>1</v>
      </c>
      <c r="AE471">
        <v>-1.1438350904766701</v>
      </c>
      <c r="AF471">
        <v>-0.63537296251130104</v>
      </c>
      <c r="AG471">
        <v>0.61499586318529897</v>
      </c>
      <c r="AH471">
        <v>-1.8218878950855399</v>
      </c>
      <c r="AI471">
        <v>-1.0084680829033199</v>
      </c>
      <c r="AJ471">
        <v>0.32125563911233701</v>
      </c>
      <c r="AK471">
        <v>46.672161000000003</v>
      </c>
      <c r="AL471">
        <v>5.558465</v>
      </c>
      <c r="AM471">
        <v>48.802999999999997</v>
      </c>
      <c r="AN471">
        <v>2.2879999999999998</v>
      </c>
    </row>
    <row r="472" spans="1:40" x14ac:dyDescent="0.35">
      <c r="A472">
        <v>614</v>
      </c>
      <c r="B472">
        <v>42</v>
      </c>
      <c r="C472" t="s">
        <v>40</v>
      </c>
      <c r="D472" t="s">
        <v>66</v>
      </c>
      <c r="E472" t="s">
        <v>42</v>
      </c>
      <c r="F472" t="s">
        <v>61</v>
      </c>
      <c r="G472">
        <v>3</v>
      </c>
      <c r="H472">
        <v>9</v>
      </c>
      <c r="I472">
        <v>4</v>
      </c>
      <c r="J472" t="s">
        <v>56</v>
      </c>
      <c r="K472" t="s">
        <v>46</v>
      </c>
      <c r="L472" t="s">
        <v>79</v>
      </c>
      <c r="M472">
        <v>275.32777194547327</v>
      </c>
      <c r="N472">
        <v>283</v>
      </c>
      <c r="O472">
        <v>183</v>
      </c>
      <c r="P472">
        <v>223</v>
      </c>
      <c r="Q472">
        <v>0</v>
      </c>
      <c r="R472">
        <v>1.0986122886681098</v>
      </c>
      <c r="S472">
        <v>4.4659081186545837</v>
      </c>
      <c r="T472">
        <v>90.88000000000001</v>
      </c>
      <c r="U472">
        <v>0.63076672920079646</v>
      </c>
      <c r="V472">
        <v>-0.66459185691613598</v>
      </c>
      <c r="W472">
        <v>-0.11297510960708999</v>
      </c>
      <c r="X472">
        <v>-0.19037106594949799</v>
      </c>
      <c r="Y472">
        <v>-0.374020329094302</v>
      </c>
      <c r="Z472">
        <v>-0.78642831806525804</v>
      </c>
      <c r="AA472">
        <v>-1.3830773108541501</v>
      </c>
      <c r="AB472">
        <v>1910</v>
      </c>
      <c r="AC472">
        <v>4</v>
      </c>
      <c r="AD472">
        <v>0</v>
      </c>
      <c r="AE472">
        <v>3.4620335695619099E-2</v>
      </c>
      <c r="AF472">
        <v>1.9014514077439</v>
      </c>
      <c r="AG472">
        <v>0.50838645351994904</v>
      </c>
      <c r="AH472">
        <v>-2.8287674228156998</v>
      </c>
      <c r="AI472">
        <v>0.27129288847849697</v>
      </c>
      <c r="AJ472">
        <v>-6.2125583689376103E-2</v>
      </c>
      <c r="AK472">
        <v>42.698529999999998</v>
      </c>
      <c r="AL472">
        <v>2.8953120000000001</v>
      </c>
      <c r="AM472">
        <v>43.773499999999999</v>
      </c>
      <c r="AN472">
        <v>-0.16250000000000001</v>
      </c>
    </row>
    <row r="473" spans="1:40" x14ac:dyDescent="0.35">
      <c r="A473">
        <v>615</v>
      </c>
      <c r="B473">
        <v>72</v>
      </c>
      <c r="C473" t="s">
        <v>40</v>
      </c>
      <c r="D473" t="s">
        <v>52</v>
      </c>
      <c r="E473" t="s">
        <v>68</v>
      </c>
      <c r="F473" t="s">
        <v>49</v>
      </c>
      <c r="G473">
        <v>7</v>
      </c>
      <c r="H473">
        <v>49</v>
      </c>
      <c r="I473">
        <v>6</v>
      </c>
      <c r="J473" t="s">
        <v>50</v>
      </c>
      <c r="K473" t="s">
        <v>46</v>
      </c>
      <c r="L473" t="s">
        <v>76</v>
      </c>
      <c r="M473">
        <v>391.73869447982781</v>
      </c>
      <c r="N473">
        <v>510</v>
      </c>
      <c r="O473">
        <v>310</v>
      </c>
      <c r="P473">
        <v>305</v>
      </c>
      <c r="Q473">
        <v>0</v>
      </c>
      <c r="R473">
        <v>1.0986122886681098</v>
      </c>
      <c r="S473">
        <v>4.1588830833596715</v>
      </c>
      <c r="T473">
        <v>91.226666666666674</v>
      </c>
      <c r="U473">
        <v>1.418823059726001</v>
      </c>
      <c r="V473">
        <v>-0.39095273818515502</v>
      </c>
      <c r="W473">
        <v>-0.53446083104759001</v>
      </c>
      <c r="X473">
        <v>-0.40804429067029002</v>
      </c>
      <c r="Y473">
        <v>-0.56789545922357498</v>
      </c>
      <c r="Z473">
        <v>-0.94760790482486201</v>
      </c>
      <c r="AA473">
        <v>-1.0848673571571601</v>
      </c>
      <c r="AB473">
        <v>1770.5103102717287</v>
      </c>
      <c r="AC473">
        <v>0.28213528618230871</v>
      </c>
      <c r="AD473">
        <v>1.7130468298323378</v>
      </c>
      <c r="AE473">
        <v>-1.13486126839574</v>
      </c>
      <c r="AF473">
        <v>0.79851086291669005</v>
      </c>
      <c r="AG473">
        <v>0.83069871870730705</v>
      </c>
      <c r="AH473">
        <v>0.55565279206225304</v>
      </c>
      <c r="AI473">
        <v>-0.22779849010095901</v>
      </c>
      <c r="AJ473">
        <v>1.3623185066719401</v>
      </c>
      <c r="AK473">
        <v>47.330690599999997</v>
      </c>
      <c r="AL473">
        <v>2.8390453999999998</v>
      </c>
      <c r="AM473">
        <v>50.640682937000001</v>
      </c>
      <c r="AN473">
        <v>4.6610704270000003</v>
      </c>
    </row>
    <row r="474" spans="1:40" x14ac:dyDescent="0.35">
      <c r="A474">
        <v>616</v>
      </c>
      <c r="B474">
        <v>57</v>
      </c>
      <c r="C474" t="s">
        <v>48</v>
      </c>
      <c r="D474" t="s">
        <v>41</v>
      </c>
      <c r="E474" t="s">
        <v>42</v>
      </c>
      <c r="F474" t="s">
        <v>49</v>
      </c>
      <c r="G474">
        <v>3</v>
      </c>
      <c r="H474">
        <v>9</v>
      </c>
      <c r="I474">
        <v>6</v>
      </c>
      <c r="J474" t="s">
        <v>56</v>
      </c>
      <c r="K474" t="s">
        <v>46</v>
      </c>
      <c r="L474" t="s">
        <v>47</v>
      </c>
      <c r="M474">
        <v>718.46184922954455</v>
      </c>
      <c r="N474">
        <v>876</v>
      </c>
      <c r="O474">
        <v>539</v>
      </c>
      <c r="P474">
        <v>362</v>
      </c>
      <c r="Q474">
        <v>5.9107966440405271</v>
      </c>
      <c r="R474">
        <v>6.4997870406558542</v>
      </c>
      <c r="S474">
        <v>8.6415324656718457</v>
      </c>
      <c r="T474">
        <v>89.265350482850479</v>
      </c>
      <c r="U474">
        <v>1.4417786561042019</v>
      </c>
      <c r="V474">
        <v>-0.22886708829074301</v>
      </c>
      <c r="W474">
        <v>0.28745285629339301</v>
      </c>
      <c r="X474">
        <v>-0.15627425222847</v>
      </c>
      <c r="Y474">
        <v>1.45226138127617</v>
      </c>
      <c r="Z474">
        <v>0.98247225355557</v>
      </c>
      <c r="AA474">
        <v>0.627775520474398</v>
      </c>
      <c r="AB474">
        <v>3362.2959371744532</v>
      </c>
      <c r="AC474">
        <v>2.8998317172850387</v>
      </c>
      <c r="AD474">
        <v>2.9499158586425196</v>
      </c>
      <c r="AE474">
        <v>1.06273170356322</v>
      </c>
      <c r="AF474">
        <v>-0.89933477623117097</v>
      </c>
      <c r="AG474">
        <v>-0.83171336944660101</v>
      </c>
      <c r="AH474">
        <v>-1.28843976376139</v>
      </c>
      <c r="AI474">
        <v>-1.55292182652607</v>
      </c>
      <c r="AJ474">
        <v>-1.0742427216180599</v>
      </c>
      <c r="AK474">
        <v>43.3535629403058</v>
      </c>
      <c r="AL474">
        <v>3.21615314793977</v>
      </c>
      <c r="AM474">
        <v>49.672058823529412</v>
      </c>
      <c r="AN474">
        <v>1.2998823529411765</v>
      </c>
    </row>
    <row r="475" spans="1:40" x14ac:dyDescent="0.35">
      <c r="A475">
        <v>617</v>
      </c>
      <c r="B475">
        <v>72</v>
      </c>
      <c r="C475" t="s">
        <v>40</v>
      </c>
      <c r="D475" t="s">
        <v>52</v>
      </c>
      <c r="E475" t="s">
        <v>42</v>
      </c>
      <c r="F475" t="s">
        <v>49</v>
      </c>
      <c r="G475">
        <v>6</v>
      </c>
      <c r="H475">
        <v>36</v>
      </c>
      <c r="I475">
        <v>5</v>
      </c>
      <c r="J475" t="s">
        <v>50</v>
      </c>
      <c r="K475" t="s">
        <v>46</v>
      </c>
      <c r="L475" t="s">
        <v>47</v>
      </c>
      <c r="M475">
        <v>81.179227955371033</v>
      </c>
      <c r="N475">
        <v>85</v>
      </c>
      <c r="O475">
        <v>70</v>
      </c>
      <c r="P475">
        <v>45</v>
      </c>
      <c r="Q475">
        <v>5.9107966440405271</v>
      </c>
      <c r="R475">
        <v>6.4997870406558542</v>
      </c>
      <c r="S475">
        <v>8.6415324656718457</v>
      </c>
      <c r="T475">
        <v>89.265350482850479</v>
      </c>
      <c r="U475">
        <v>1.4417786561042019</v>
      </c>
      <c r="V475">
        <v>-0.22886708829074301</v>
      </c>
      <c r="W475">
        <v>0.28745285629339301</v>
      </c>
      <c r="X475">
        <v>-0.15627425222847</v>
      </c>
      <c r="Y475">
        <v>1.45226138127617</v>
      </c>
      <c r="Z475">
        <v>0.98247225355557</v>
      </c>
      <c r="AA475">
        <v>0.627775520474398</v>
      </c>
      <c r="AB475">
        <v>3362.2959371744532</v>
      </c>
      <c r="AC475">
        <v>2.8998317172850387</v>
      </c>
      <c r="AD475">
        <v>2.9499158586425196</v>
      </c>
      <c r="AE475">
        <v>1.06273170356322</v>
      </c>
      <c r="AF475">
        <v>0.59494487343209801</v>
      </c>
      <c r="AG475">
        <v>-0.34534491007163698</v>
      </c>
      <c r="AH475">
        <v>0.24678253281328799</v>
      </c>
      <c r="AI475">
        <v>0.76219124331646404</v>
      </c>
      <c r="AJ475">
        <v>0.99202446133905398</v>
      </c>
      <c r="AK475">
        <v>43.3535629403058</v>
      </c>
      <c r="AL475">
        <v>3.21615314793977</v>
      </c>
      <c r="AM475">
        <v>43.627000000000002</v>
      </c>
      <c r="AN475">
        <v>4.1479999999999997</v>
      </c>
    </row>
    <row r="476" spans="1:40" x14ac:dyDescent="0.35">
      <c r="A476">
        <v>618</v>
      </c>
      <c r="B476">
        <v>72</v>
      </c>
      <c r="C476" t="s">
        <v>40</v>
      </c>
      <c r="D476" t="s">
        <v>52</v>
      </c>
      <c r="E476" t="s">
        <v>42</v>
      </c>
      <c r="F476" t="s">
        <v>49</v>
      </c>
      <c r="G476">
        <v>5</v>
      </c>
      <c r="H476">
        <v>25</v>
      </c>
      <c r="I476">
        <v>7</v>
      </c>
      <c r="J476" t="s">
        <v>50</v>
      </c>
      <c r="K476" t="s">
        <v>46</v>
      </c>
      <c r="L476" t="s">
        <v>72</v>
      </c>
      <c r="M476">
        <v>269.2425012334761</v>
      </c>
      <c r="N476">
        <v>442</v>
      </c>
      <c r="O476">
        <v>292</v>
      </c>
      <c r="P476">
        <v>305</v>
      </c>
      <c r="Q476">
        <v>0.69314718055994529</v>
      </c>
      <c r="R476">
        <v>1.3862943611198906</v>
      </c>
      <c r="S476">
        <v>4.5538768916005408</v>
      </c>
      <c r="T476">
        <v>89.340161030595823</v>
      </c>
      <c r="U476">
        <v>1.4712304197281412</v>
      </c>
      <c r="V476">
        <v>0.59716251398508702</v>
      </c>
      <c r="W476">
        <v>0.91068296986709796</v>
      </c>
      <c r="X476">
        <v>1.2273243988355</v>
      </c>
      <c r="Y476">
        <v>-0.4121809470949</v>
      </c>
      <c r="Z476">
        <v>-0.86472582726521097</v>
      </c>
      <c r="AA476">
        <v>-1.0172779374790899</v>
      </c>
      <c r="AB476">
        <v>1828.1689246701658</v>
      </c>
      <c r="AC476">
        <v>1.1127464888636687</v>
      </c>
      <c r="AD476">
        <v>1.8630656830756136</v>
      </c>
      <c r="AE476">
        <v>-0.53926882203722504</v>
      </c>
      <c r="AF476">
        <v>0.26709662003258355</v>
      </c>
      <c r="AG476">
        <v>-0.18537341522957224</v>
      </c>
      <c r="AH476">
        <v>-1.6974772691701718</v>
      </c>
      <c r="AI476">
        <v>-1.5403057276803658</v>
      </c>
      <c r="AJ476">
        <v>0.88661025769959911</v>
      </c>
      <c r="AK476">
        <v>44.853456999999999</v>
      </c>
      <c r="AL476">
        <v>0.48753099999999999</v>
      </c>
      <c r="AM476">
        <v>47.216999999999999</v>
      </c>
      <c r="AN476">
        <v>-0.25214285714285711</v>
      </c>
    </row>
    <row r="477" spans="1:40" x14ac:dyDescent="0.35">
      <c r="A477">
        <v>619</v>
      </c>
      <c r="B477">
        <v>42</v>
      </c>
      <c r="C477" t="s">
        <v>40</v>
      </c>
      <c r="D477" t="s">
        <v>41</v>
      </c>
      <c r="E477" t="s">
        <v>42</v>
      </c>
      <c r="F477" t="s">
        <v>61</v>
      </c>
      <c r="G477">
        <v>4</v>
      </c>
      <c r="H477">
        <v>16</v>
      </c>
      <c r="I477">
        <v>5</v>
      </c>
      <c r="J477" t="s">
        <v>56</v>
      </c>
      <c r="K477" t="s">
        <v>46</v>
      </c>
      <c r="L477" t="s">
        <v>55</v>
      </c>
      <c r="M477">
        <v>52.558779392618142</v>
      </c>
      <c r="N477">
        <v>0</v>
      </c>
      <c r="O477">
        <v>0</v>
      </c>
      <c r="P477">
        <v>0</v>
      </c>
      <c r="Q477">
        <v>2.0794415416798357</v>
      </c>
      <c r="R477">
        <v>2.3025850929940459</v>
      </c>
      <c r="S477">
        <v>3.2580965380214821</v>
      </c>
      <c r="T477">
        <v>95.12</v>
      </c>
      <c r="U477">
        <v>0</v>
      </c>
      <c r="V477">
        <v>1.89305099905856</v>
      </c>
      <c r="W477">
        <v>0.59880690621441701</v>
      </c>
      <c r="X477">
        <v>1.1856460040685599</v>
      </c>
      <c r="Y477">
        <v>-0.15565097555555901</v>
      </c>
      <c r="Z477">
        <v>-0.22748295097212001</v>
      </c>
      <c r="AA477">
        <v>1.0415013010201299</v>
      </c>
      <c r="AB477">
        <v>2939.9504036908884</v>
      </c>
      <c r="AC477">
        <v>2</v>
      </c>
      <c r="AD477">
        <v>0.42868127643214149</v>
      </c>
      <c r="AE477">
        <v>-2.40641039566141E-2</v>
      </c>
      <c r="AF477">
        <v>0.42918136225064102</v>
      </c>
      <c r="AG477">
        <v>-0.77664309357604999</v>
      </c>
      <c r="AH477">
        <v>-0.66652726374950799</v>
      </c>
      <c r="AI477">
        <v>0.39637072667615098</v>
      </c>
      <c r="AJ477">
        <v>-3.0013716075617101</v>
      </c>
      <c r="AK477">
        <v>48.0777517</v>
      </c>
      <c r="AL477">
        <v>7.3579641000000002</v>
      </c>
      <c r="AM477">
        <v>47.624499999999998</v>
      </c>
      <c r="AN477">
        <v>7.5549999999999997</v>
      </c>
    </row>
    <row r="478" spans="1:40" x14ac:dyDescent="0.35">
      <c r="A478">
        <v>620</v>
      </c>
      <c r="B478">
        <v>72</v>
      </c>
      <c r="C478" t="s">
        <v>48</v>
      </c>
      <c r="D478" t="s">
        <v>52</v>
      </c>
      <c r="E478" t="s">
        <v>42</v>
      </c>
      <c r="F478" t="s">
        <v>49</v>
      </c>
      <c r="G478">
        <v>3</v>
      </c>
      <c r="H478">
        <v>9</v>
      </c>
      <c r="I478">
        <v>5</v>
      </c>
      <c r="J478" t="s">
        <v>50</v>
      </c>
      <c r="K478" t="s">
        <v>46</v>
      </c>
      <c r="L478" t="s">
        <v>72</v>
      </c>
      <c r="M478">
        <v>505.43195714944437</v>
      </c>
      <c r="N478">
        <v>568</v>
      </c>
      <c r="O478">
        <v>346</v>
      </c>
      <c r="P478">
        <v>347</v>
      </c>
      <c r="Q478">
        <v>0.69314718055994529</v>
      </c>
      <c r="R478">
        <v>1.3862943611198906</v>
      </c>
      <c r="S478">
        <v>4.5538768916005408</v>
      </c>
      <c r="T478">
        <v>89.340161030595823</v>
      </c>
      <c r="U478">
        <v>1.4712304197281412</v>
      </c>
      <c r="V478">
        <v>0.59716251398508702</v>
      </c>
      <c r="W478">
        <v>0.91068296986709796</v>
      </c>
      <c r="X478">
        <v>1.2273243988355</v>
      </c>
      <c r="Y478">
        <v>-0.4121809470949</v>
      </c>
      <c r="Z478">
        <v>-0.86472582726521097</v>
      </c>
      <c r="AA478">
        <v>-1.0172779374790899</v>
      </c>
      <c r="AB478">
        <v>1828.1689246701658</v>
      </c>
      <c r="AC478">
        <v>1.1127464888636687</v>
      </c>
      <c r="AD478">
        <v>1.8630656830756136</v>
      </c>
      <c r="AE478">
        <v>-0.53926882203722504</v>
      </c>
      <c r="AF478">
        <v>1.4515211047952601</v>
      </c>
      <c r="AG478">
        <v>0.37306670121233199</v>
      </c>
      <c r="AH478">
        <v>0.89657908315467905</v>
      </c>
      <c r="AI478">
        <v>1.5878567888260799</v>
      </c>
      <c r="AJ478">
        <v>0.227331084903274</v>
      </c>
      <c r="AK478">
        <v>44.503641999999999</v>
      </c>
      <c r="AL478">
        <v>1.1863669999999999</v>
      </c>
      <c r="AM478">
        <v>49.024727272727269</v>
      </c>
      <c r="AN478">
        <v>1.7973636363636367</v>
      </c>
    </row>
    <row r="479" spans="1:40" x14ac:dyDescent="0.35">
      <c r="A479">
        <v>621</v>
      </c>
      <c r="B479">
        <v>72</v>
      </c>
      <c r="C479" t="s">
        <v>48</v>
      </c>
      <c r="D479" t="s">
        <v>52</v>
      </c>
      <c r="E479" t="s">
        <v>42</v>
      </c>
      <c r="F479" t="s">
        <v>49</v>
      </c>
      <c r="G479">
        <v>6</v>
      </c>
      <c r="H479">
        <v>36</v>
      </c>
      <c r="I479">
        <v>7</v>
      </c>
      <c r="J479" t="s">
        <v>50</v>
      </c>
      <c r="K479" t="s">
        <v>46</v>
      </c>
      <c r="L479" t="s">
        <v>76</v>
      </c>
      <c r="M479">
        <v>134.8767961323218</v>
      </c>
      <c r="N479">
        <v>151</v>
      </c>
      <c r="O479">
        <v>112</v>
      </c>
      <c r="P479">
        <v>140</v>
      </c>
      <c r="Q479">
        <v>0</v>
      </c>
      <c r="R479">
        <v>1.0986122886681098</v>
      </c>
      <c r="S479">
        <v>4.1588830833596715</v>
      </c>
      <c r="T479">
        <v>91.226666666666674</v>
      </c>
      <c r="U479">
        <v>1.418823059726001</v>
      </c>
      <c r="V479">
        <v>-0.39095273818515502</v>
      </c>
      <c r="W479">
        <v>-0.53446083104759001</v>
      </c>
      <c r="X479">
        <v>-0.40804429067029002</v>
      </c>
      <c r="Y479">
        <v>-0.56789545922357498</v>
      </c>
      <c r="Z479">
        <v>-0.94760790482486201</v>
      </c>
      <c r="AA479">
        <v>-1.0848673571571601</v>
      </c>
      <c r="AB479">
        <v>1770.5103102717287</v>
      </c>
      <c r="AC479">
        <v>0.28213528618230871</v>
      </c>
      <c r="AD479">
        <v>1.7130468298323378</v>
      </c>
      <c r="AE479">
        <v>-1.13486126839574</v>
      </c>
      <c r="AF479">
        <v>-0.58529526971940005</v>
      </c>
      <c r="AG479">
        <v>-2.2636202259828599</v>
      </c>
      <c r="AH479">
        <v>-9.4440120445406006E-2</v>
      </c>
      <c r="AI479">
        <v>0.582739056635594</v>
      </c>
      <c r="AJ479">
        <v>1.23224658641041</v>
      </c>
      <c r="AK479">
        <v>47.330690599999997</v>
      </c>
      <c r="AL479">
        <v>2.8390453999999998</v>
      </c>
      <c r="AM479">
        <v>48.532666666666664</v>
      </c>
      <c r="AN479">
        <v>2.6113333333333331</v>
      </c>
    </row>
    <row r="480" spans="1:40" x14ac:dyDescent="0.35">
      <c r="A480">
        <v>624</v>
      </c>
      <c r="B480">
        <v>72</v>
      </c>
      <c r="C480" t="s">
        <v>48</v>
      </c>
      <c r="D480" t="s">
        <v>52</v>
      </c>
      <c r="E480" t="s">
        <v>42</v>
      </c>
      <c r="F480" t="s">
        <v>49</v>
      </c>
      <c r="G480">
        <v>1</v>
      </c>
      <c r="H480">
        <v>1</v>
      </c>
      <c r="I480">
        <v>1</v>
      </c>
      <c r="J480" t="s">
        <v>50</v>
      </c>
      <c r="K480" t="s">
        <v>46</v>
      </c>
      <c r="L480" t="s">
        <v>58</v>
      </c>
      <c r="M480">
        <v>599.23489191876092</v>
      </c>
      <c r="N480">
        <v>756</v>
      </c>
      <c r="O480">
        <v>526</v>
      </c>
      <c r="P480">
        <v>499</v>
      </c>
      <c r="Q480">
        <v>3.2580965380214821</v>
      </c>
      <c r="R480">
        <v>2.8903717578961645</v>
      </c>
      <c r="S480">
        <v>4.7535901911063645</v>
      </c>
      <c r="T480">
        <v>90.794285714285706</v>
      </c>
      <c r="U480">
        <v>0</v>
      </c>
      <c r="V480">
        <v>0.63905639120027702</v>
      </c>
      <c r="W480">
        <v>0.692565001186083</v>
      </c>
      <c r="X480">
        <v>0.56469097254324596</v>
      </c>
      <c r="Y480">
        <v>1.4483117406157899</v>
      </c>
      <c r="Z480">
        <v>1.7680602694732599</v>
      </c>
      <c r="AA480">
        <v>0.26366440732357699</v>
      </c>
      <c r="AB480">
        <v>4236</v>
      </c>
      <c r="AC480">
        <v>0</v>
      </c>
      <c r="AD480">
        <v>4</v>
      </c>
      <c r="AE480">
        <v>1.6751267091712101</v>
      </c>
      <c r="AF480">
        <v>-1.73857001071936</v>
      </c>
      <c r="AG480">
        <v>1.82015930770221</v>
      </c>
      <c r="AH480">
        <v>1.33653619524932</v>
      </c>
      <c r="AI480">
        <v>1.8766467470276</v>
      </c>
      <c r="AJ480">
        <v>-3.6579463032915398</v>
      </c>
      <c r="AK480">
        <v>45.198478000000001</v>
      </c>
      <c r="AL480">
        <v>-0.74874399999999997</v>
      </c>
      <c r="AM480">
        <v>48.763566666666669</v>
      </c>
      <c r="AN480">
        <v>5.1686666666666667</v>
      </c>
    </row>
    <row r="481" spans="1:40" x14ac:dyDescent="0.35">
      <c r="A481">
        <v>625</v>
      </c>
      <c r="B481">
        <v>72</v>
      </c>
      <c r="C481" t="s">
        <v>40</v>
      </c>
      <c r="D481" t="s">
        <v>52</v>
      </c>
      <c r="E481" t="s">
        <v>42</v>
      </c>
      <c r="F481" t="s">
        <v>49</v>
      </c>
      <c r="G481">
        <v>3</v>
      </c>
      <c r="H481">
        <v>9</v>
      </c>
      <c r="I481">
        <v>5</v>
      </c>
      <c r="J481" t="s">
        <v>56</v>
      </c>
      <c r="K481" t="s">
        <v>46</v>
      </c>
      <c r="L481" t="s">
        <v>74</v>
      </c>
      <c r="M481">
        <v>160.30191742140769</v>
      </c>
      <c r="N481">
        <v>232</v>
      </c>
      <c r="O481">
        <v>156</v>
      </c>
      <c r="P481">
        <v>188</v>
      </c>
      <c r="Q481">
        <v>1.6094379124341003</v>
      </c>
      <c r="R481">
        <v>2.5649493574615367</v>
      </c>
      <c r="S481">
        <v>4.8202815656050371</v>
      </c>
      <c r="T481">
        <v>91.984920634920627</v>
      </c>
      <c r="U481">
        <v>1.0351430572167302</v>
      </c>
      <c r="V481">
        <v>-0.45376679124596098</v>
      </c>
      <c r="W481">
        <v>-0.56138574648679695</v>
      </c>
      <c r="X481">
        <v>-0.92192590083580195</v>
      </c>
      <c r="Y481">
        <v>-1.17232967929859</v>
      </c>
      <c r="Z481">
        <v>-0.98267194414701198</v>
      </c>
      <c r="AA481">
        <v>-0.89586780259421905</v>
      </c>
      <c r="AB481">
        <v>1270</v>
      </c>
      <c r="AC481">
        <v>3</v>
      </c>
      <c r="AD481">
        <v>1</v>
      </c>
      <c r="AE481">
        <v>-1.1438350904766701</v>
      </c>
      <c r="AF481">
        <v>-1.5417774632527299</v>
      </c>
      <c r="AG481">
        <v>-0.35071577810619903</v>
      </c>
      <c r="AH481">
        <v>-0.47994361179095901</v>
      </c>
      <c r="AI481">
        <v>-1.55181183139721</v>
      </c>
      <c r="AJ481">
        <v>0.43748481106564202</v>
      </c>
      <c r="AK481">
        <v>46.672161000000003</v>
      </c>
      <c r="AL481">
        <v>5.558465</v>
      </c>
      <c r="AM481">
        <v>45.244</v>
      </c>
      <c r="AN481">
        <v>5.8237500000000004</v>
      </c>
    </row>
    <row r="482" spans="1:40" x14ac:dyDescent="0.35">
      <c r="A482">
        <v>627</v>
      </c>
      <c r="B482">
        <v>72</v>
      </c>
      <c r="C482" t="s">
        <v>40</v>
      </c>
      <c r="D482" t="s">
        <v>52</v>
      </c>
      <c r="E482" t="s">
        <v>42</v>
      </c>
      <c r="F482" t="s">
        <v>49</v>
      </c>
      <c r="G482">
        <v>5</v>
      </c>
      <c r="H482">
        <v>25</v>
      </c>
      <c r="I482">
        <v>4</v>
      </c>
      <c r="J482" t="s">
        <v>56</v>
      </c>
      <c r="K482" t="s">
        <v>46</v>
      </c>
      <c r="L482" t="s">
        <v>55</v>
      </c>
      <c r="M482">
        <v>405.78879828545843</v>
      </c>
      <c r="N482">
        <v>529</v>
      </c>
      <c r="O482">
        <v>374</v>
      </c>
      <c r="P482">
        <v>212</v>
      </c>
      <c r="Q482">
        <v>2.0794415416798357</v>
      </c>
      <c r="R482">
        <v>2.3025850929940459</v>
      </c>
      <c r="S482">
        <v>3.2580965380214821</v>
      </c>
      <c r="T482">
        <v>95.12</v>
      </c>
      <c r="U482">
        <v>0</v>
      </c>
      <c r="V482">
        <v>1.89305099905856</v>
      </c>
      <c r="W482">
        <v>0.59880690621441701</v>
      </c>
      <c r="X482">
        <v>1.1856460040685599</v>
      </c>
      <c r="Y482">
        <v>-0.15565097555555901</v>
      </c>
      <c r="Z482">
        <v>-0.22748295097212001</v>
      </c>
      <c r="AA482">
        <v>1.0415013010201299</v>
      </c>
      <c r="AB482">
        <v>2939.9504036908884</v>
      </c>
      <c r="AC482">
        <v>2</v>
      </c>
      <c r="AD482">
        <v>0.42868127643214149</v>
      </c>
      <c r="AE482">
        <v>-2.40641039566141E-2</v>
      </c>
      <c r="AF482">
        <v>0.818975081000343</v>
      </c>
      <c r="AG482">
        <v>0.99767590106091197</v>
      </c>
      <c r="AH482">
        <v>0.87868853248676204</v>
      </c>
      <c r="AI482">
        <v>0.79456614053933605</v>
      </c>
      <c r="AJ482">
        <v>-0.813001734242355</v>
      </c>
      <c r="AK482">
        <v>48.0777517</v>
      </c>
      <c r="AL482">
        <v>7.3579641000000002</v>
      </c>
      <c r="AM482">
        <v>49.011000000000003</v>
      </c>
      <c r="AN482">
        <v>2.0339999999999998</v>
      </c>
    </row>
    <row r="483" spans="1:40" x14ac:dyDescent="0.35">
      <c r="A483">
        <v>628</v>
      </c>
      <c r="B483">
        <v>72</v>
      </c>
      <c r="C483" t="s">
        <v>40</v>
      </c>
      <c r="D483" t="s">
        <v>52</v>
      </c>
      <c r="E483" t="s">
        <v>42</v>
      </c>
      <c r="F483" t="s">
        <v>49</v>
      </c>
      <c r="G483">
        <v>3</v>
      </c>
      <c r="H483">
        <v>9</v>
      </c>
      <c r="I483">
        <v>4</v>
      </c>
      <c r="J483" t="s">
        <v>56</v>
      </c>
      <c r="K483" t="s">
        <v>46</v>
      </c>
      <c r="L483" t="s">
        <v>47</v>
      </c>
      <c r="M483">
        <v>412.72654280620873</v>
      </c>
      <c r="N483">
        <v>603</v>
      </c>
      <c r="O483">
        <v>353</v>
      </c>
      <c r="P483">
        <v>737</v>
      </c>
      <c r="Q483">
        <v>5.9107966440405271</v>
      </c>
      <c r="R483">
        <v>6.4997870406558542</v>
      </c>
      <c r="S483">
        <v>8.6415324656718457</v>
      </c>
      <c r="T483">
        <v>89.265350482850479</v>
      </c>
      <c r="U483">
        <v>1.4417786561042019</v>
      </c>
      <c r="V483">
        <v>-0.22886708829074301</v>
      </c>
      <c r="W483">
        <v>0.28745285629339301</v>
      </c>
      <c r="X483">
        <v>-0.15627425222847</v>
      </c>
      <c r="Y483">
        <v>1.45226138127617</v>
      </c>
      <c r="Z483">
        <v>0.98247225355557</v>
      </c>
      <c r="AA483">
        <v>0.627775520474398</v>
      </c>
      <c r="AB483">
        <v>3362.2959371744532</v>
      </c>
      <c r="AC483">
        <v>2.8998317172850387</v>
      </c>
      <c r="AD483">
        <v>2.9499158586425196</v>
      </c>
      <c r="AE483">
        <v>1.06273170356322</v>
      </c>
      <c r="AF483">
        <v>-1.4567632769257</v>
      </c>
      <c r="AG483">
        <v>1.0140315974899701</v>
      </c>
      <c r="AH483">
        <v>1.1852719260967901</v>
      </c>
      <c r="AI483">
        <v>0.11053647680372999</v>
      </c>
      <c r="AJ483">
        <v>-0.94898972219751598</v>
      </c>
      <c r="AK483">
        <v>43.3535629403058</v>
      </c>
      <c r="AL483">
        <v>3.21615314793977</v>
      </c>
      <c r="AM483">
        <v>46.123235294117649</v>
      </c>
      <c r="AN483">
        <v>-0.25535294117647062</v>
      </c>
    </row>
    <row r="484" spans="1:40" x14ac:dyDescent="0.35">
      <c r="A484">
        <v>629</v>
      </c>
      <c r="B484">
        <v>72</v>
      </c>
      <c r="C484" t="s">
        <v>40</v>
      </c>
      <c r="D484" t="s">
        <v>52</v>
      </c>
      <c r="E484" t="s">
        <v>42</v>
      </c>
      <c r="F484" t="s">
        <v>49</v>
      </c>
      <c r="G484">
        <v>5</v>
      </c>
      <c r="H484">
        <v>25</v>
      </c>
      <c r="I484">
        <v>5</v>
      </c>
      <c r="J484" t="s">
        <v>56</v>
      </c>
      <c r="K484" t="s">
        <v>46</v>
      </c>
      <c r="L484" t="s">
        <v>62</v>
      </c>
      <c r="M484">
        <v>210.93153448348201</v>
      </c>
      <c r="N484">
        <v>195</v>
      </c>
      <c r="O484">
        <v>110</v>
      </c>
      <c r="P484">
        <v>190</v>
      </c>
      <c r="Q484">
        <v>0.69314718055994529</v>
      </c>
      <c r="R484">
        <v>3.2580965380214821</v>
      </c>
      <c r="S484">
        <v>3.2580965380214821</v>
      </c>
      <c r="T484">
        <v>95.68</v>
      </c>
      <c r="U484">
        <v>0</v>
      </c>
      <c r="V484">
        <v>1.82802042479695</v>
      </c>
      <c r="W484">
        <v>0.99424279543483596</v>
      </c>
      <c r="X484">
        <v>0.99177342203587404</v>
      </c>
      <c r="Y484">
        <v>-0.96278755162326501</v>
      </c>
      <c r="Z484">
        <v>-0.75605764486205096</v>
      </c>
      <c r="AA484">
        <v>-0.80037586101695801</v>
      </c>
      <c r="AB484">
        <v>2092.91</v>
      </c>
      <c r="AC484">
        <v>0</v>
      </c>
      <c r="AD484">
        <v>2.1</v>
      </c>
      <c r="AE484">
        <v>-1.0768626388726401</v>
      </c>
      <c r="AF484">
        <v>0.91102920138148802</v>
      </c>
      <c r="AG484">
        <v>0.324242667510236</v>
      </c>
      <c r="AH484">
        <v>0.52265453821594299</v>
      </c>
      <c r="AI484">
        <v>1.31410186209528</v>
      </c>
      <c r="AJ484">
        <v>0.21848607203301601</v>
      </c>
      <c r="AK484">
        <v>49.042560999999999</v>
      </c>
      <c r="AL484">
        <v>3.9528660000000002</v>
      </c>
      <c r="AM484">
        <v>50.086799999999997</v>
      </c>
      <c r="AN484">
        <v>1.5148000000000001</v>
      </c>
    </row>
    <row r="485" spans="1:40" x14ac:dyDescent="0.35">
      <c r="A485">
        <v>630</v>
      </c>
      <c r="B485">
        <v>72</v>
      </c>
      <c r="C485" t="s">
        <v>48</v>
      </c>
      <c r="D485" t="s">
        <v>52</v>
      </c>
      <c r="E485" t="s">
        <v>42</v>
      </c>
      <c r="F485" t="s">
        <v>53</v>
      </c>
      <c r="G485">
        <v>3</v>
      </c>
      <c r="H485">
        <v>9</v>
      </c>
      <c r="I485">
        <v>6</v>
      </c>
      <c r="J485" t="s">
        <v>56</v>
      </c>
      <c r="K485" t="s">
        <v>46</v>
      </c>
      <c r="L485" t="s">
        <v>60</v>
      </c>
      <c r="M485">
        <v>566.05544346039756</v>
      </c>
      <c r="N485">
        <v>704</v>
      </c>
      <c r="O485">
        <v>480</v>
      </c>
      <c r="P485">
        <v>291</v>
      </c>
      <c r="Q485">
        <v>3.8501476017100584</v>
      </c>
      <c r="R485">
        <v>2.9957322735539909</v>
      </c>
      <c r="S485">
        <v>5.4424177105217932</v>
      </c>
      <c r="T485">
        <v>88.975873222691746</v>
      </c>
      <c r="U485">
        <v>2.5514539469641888</v>
      </c>
      <c r="V485">
        <v>2.9336799326863701</v>
      </c>
      <c r="W485">
        <v>3.3730943146768602</v>
      </c>
      <c r="X485">
        <v>3.6072071704345601</v>
      </c>
      <c r="Y485">
        <v>-0.19189497559235799</v>
      </c>
      <c r="Z485">
        <v>0.17569111512999699</v>
      </c>
      <c r="AA485">
        <v>-0.304970615080496</v>
      </c>
      <c r="AB485">
        <v>1906.836709612184</v>
      </c>
      <c r="AC485">
        <v>0.7978420820676605</v>
      </c>
      <c r="AD485">
        <v>2.1056638128240834</v>
      </c>
      <c r="AE485">
        <v>-0.25037207080954499</v>
      </c>
      <c r="AF485">
        <v>1.5460613518814501</v>
      </c>
      <c r="AG485">
        <v>1.0797383975188599</v>
      </c>
      <c r="AH485">
        <v>0.82580291285532803</v>
      </c>
      <c r="AI485">
        <v>1.4836044289928401</v>
      </c>
      <c r="AJ485">
        <v>0.76193534118230599</v>
      </c>
      <c r="AK485">
        <v>44.055988999999997</v>
      </c>
      <c r="AL485">
        <v>4.8317350000000001</v>
      </c>
      <c r="AM485">
        <v>48.824000000000005</v>
      </c>
      <c r="AN485">
        <v>2.2639999999999998</v>
      </c>
    </row>
    <row r="486" spans="1:40" x14ac:dyDescent="0.35">
      <c r="A486">
        <v>631</v>
      </c>
      <c r="B486">
        <v>42</v>
      </c>
      <c r="C486" t="s">
        <v>40</v>
      </c>
      <c r="D486" t="s">
        <v>41</v>
      </c>
      <c r="E486" t="s">
        <v>42</v>
      </c>
      <c r="F486" t="s">
        <v>61</v>
      </c>
      <c r="G486">
        <v>3</v>
      </c>
      <c r="H486">
        <v>9</v>
      </c>
      <c r="I486">
        <v>3</v>
      </c>
      <c r="J486" t="s">
        <v>56</v>
      </c>
      <c r="K486" t="s">
        <v>46</v>
      </c>
      <c r="L486" t="s">
        <v>72</v>
      </c>
      <c r="M486">
        <v>695.7147120795446</v>
      </c>
      <c r="N486">
        <v>790</v>
      </c>
      <c r="O486">
        <v>490</v>
      </c>
      <c r="P486">
        <v>471</v>
      </c>
      <c r="Q486">
        <v>0.69314718055994529</v>
      </c>
      <c r="R486">
        <v>1.3862943611198906</v>
      </c>
      <c r="S486">
        <v>4.5538768916005408</v>
      </c>
      <c r="T486">
        <v>89.340161030595823</v>
      </c>
      <c r="U486">
        <v>1.4712304197281412</v>
      </c>
      <c r="V486">
        <v>0.59716251398508702</v>
      </c>
      <c r="W486">
        <v>0.91068296986709796</v>
      </c>
      <c r="X486">
        <v>1.2273243988355</v>
      </c>
      <c r="Y486">
        <v>-0.4121809470949</v>
      </c>
      <c r="Z486">
        <v>-0.86472582726521097</v>
      </c>
      <c r="AA486">
        <v>-1.0172779374790899</v>
      </c>
      <c r="AB486">
        <v>1828.1689246701658</v>
      </c>
      <c r="AC486">
        <v>1.1127464888636687</v>
      </c>
      <c r="AD486">
        <v>1.8630656830756136</v>
      </c>
      <c r="AE486">
        <v>-0.53926882203722504</v>
      </c>
      <c r="AF486">
        <v>0.65655425599986195</v>
      </c>
      <c r="AG486">
        <v>0.46799927064136498</v>
      </c>
      <c r="AH486">
        <v>-1.15161024817827</v>
      </c>
      <c r="AI486">
        <v>-0.37848267925547002</v>
      </c>
      <c r="AJ486">
        <v>-0.42035594177491198</v>
      </c>
      <c r="AK486">
        <v>44.503641999999999</v>
      </c>
      <c r="AL486">
        <v>1.1863669999999999</v>
      </c>
      <c r="AM486">
        <v>50.621499999999997</v>
      </c>
      <c r="AN486">
        <v>3.0829999999999997</v>
      </c>
    </row>
    <row r="487" spans="1:40" x14ac:dyDescent="0.35">
      <c r="A487">
        <v>632</v>
      </c>
      <c r="B487">
        <v>57</v>
      </c>
      <c r="C487" t="s">
        <v>40</v>
      </c>
      <c r="D487" t="s">
        <v>41</v>
      </c>
      <c r="E487" t="s">
        <v>42</v>
      </c>
      <c r="F487" t="s">
        <v>49</v>
      </c>
      <c r="G487">
        <v>4</v>
      </c>
      <c r="H487">
        <v>16</v>
      </c>
      <c r="I487">
        <v>7</v>
      </c>
      <c r="J487" t="s">
        <v>56</v>
      </c>
      <c r="K487" t="s">
        <v>46</v>
      </c>
      <c r="L487" t="s">
        <v>65</v>
      </c>
      <c r="M487">
        <v>890.30569109918235</v>
      </c>
      <c r="N487">
        <v>1191</v>
      </c>
      <c r="O487">
        <v>600</v>
      </c>
      <c r="P487">
        <v>541</v>
      </c>
      <c r="Q487">
        <v>0</v>
      </c>
      <c r="R487">
        <v>0</v>
      </c>
      <c r="S487">
        <v>4.4543472962535073</v>
      </c>
      <c r="T487">
        <v>89.333044733044744</v>
      </c>
      <c r="U487">
        <v>1.2554235437523662</v>
      </c>
      <c r="V487">
        <v>1.64975517953679</v>
      </c>
      <c r="W487">
        <v>2.4220969657957299</v>
      </c>
      <c r="X487">
        <v>1.68128863126442</v>
      </c>
      <c r="Y487">
        <v>2.0553398017137301</v>
      </c>
      <c r="Z487">
        <v>2.0921400018840099</v>
      </c>
      <c r="AA487">
        <v>2.0596698968962701</v>
      </c>
      <c r="AB487">
        <v>3262.71</v>
      </c>
      <c r="AC487">
        <v>0.33</v>
      </c>
      <c r="AD487">
        <v>0.66</v>
      </c>
      <c r="AE487">
        <v>1.9221838973381</v>
      </c>
      <c r="AF487">
        <v>0.13770135428859001</v>
      </c>
      <c r="AG487">
        <v>-1.1811731385795801</v>
      </c>
      <c r="AH487">
        <v>1.26232265697511</v>
      </c>
      <c r="AI487">
        <v>-1.36873376949682</v>
      </c>
      <c r="AJ487">
        <v>1.76257395033169</v>
      </c>
      <c r="AK487">
        <v>43.537466000000002</v>
      </c>
      <c r="AL487">
        <v>6.4627330000000001</v>
      </c>
      <c r="AM487">
        <v>47.718000000000004</v>
      </c>
      <c r="AN487">
        <v>-3.302</v>
      </c>
    </row>
    <row r="488" spans="1:40" x14ac:dyDescent="0.35">
      <c r="A488">
        <v>633</v>
      </c>
      <c r="B488">
        <v>57</v>
      </c>
      <c r="C488" t="s">
        <v>40</v>
      </c>
      <c r="D488" t="s">
        <v>41</v>
      </c>
      <c r="E488" t="s">
        <v>42</v>
      </c>
      <c r="F488" t="s">
        <v>53</v>
      </c>
      <c r="G488">
        <v>5</v>
      </c>
      <c r="H488">
        <v>25</v>
      </c>
      <c r="I488">
        <v>3</v>
      </c>
      <c r="J488" t="s">
        <v>50</v>
      </c>
      <c r="K488" t="s">
        <v>46</v>
      </c>
      <c r="L488" t="s">
        <v>63</v>
      </c>
      <c r="M488">
        <v>28.056252495093009</v>
      </c>
      <c r="N488">
        <v>51</v>
      </c>
      <c r="O488">
        <v>75</v>
      </c>
      <c r="P488">
        <v>30</v>
      </c>
      <c r="Q488">
        <v>0</v>
      </c>
      <c r="R488">
        <v>0</v>
      </c>
      <c r="S488">
        <v>2.1972245773362196</v>
      </c>
      <c r="T488">
        <v>88.571764705882345</v>
      </c>
      <c r="U488">
        <v>1.0581645007873905</v>
      </c>
      <c r="V488">
        <v>-0.86345913794285001</v>
      </c>
      <c r="W488">
        <v>-0.82100750411685597</v>
      </c>
      <c r="X488">
        <v>-0.74332398245148801</v>
      </c>
      <c r="Y488">
        <v>1.4483117406157899</v>
      </c>
      <c r="Z488">
        <v>1.7680602694732599</v>
      </c>
      <c r="AA488">
        <v>0.26366440732357699</v>
      </c>
      <c r="AB488">
        <v>4236</v>
      </c>
      <c r="AC488">
        <v>0</v>
      </c>
      <c r="AD488">
        <v>4</v>
      </c>
      <c r="AE488">
        <v>1.6751267091712101</v>
      </c>
      <c r="AF488">
        <v>-1.6669809284875501</v>
      </c>
      <c r="AG488">
        <v>-0.68597890266140704</v>
      </c>
      <c r="AH488">
        <v>-1.2422661819887999E-2</v>
      </c>
      <c r="AI488">
        <v>-1.1538416389522299</v>
      </c>
      <c r="AJ488">
        <v>-0.97300756589697202</v>
      </c>
      <c r="AK488">
        <v>45.086143999999997</v>
      </c>
      <c r="AL488">
        <v>-0.60531999999999997</v>
      </c>
      <c r="AM488">
        <v>44.834995499999998</v>
      </c>
      <c r="AN488">
        <v>-0.57549519999999998</v>
      </c>
    </row>
    <row r="489" spans="1:40" x14ac:dyDescent="0.35">
      <c r="A489">
        <v>634</v>
      </c>
      <c r="B489">
        <v>57</v>
      </c>
      <c r="C489" t="s">
        <v>40</v>
      </c>
      <c r="D489" t="s">
        <v>52</v>
      </c>
      <c r="E489" t="s">
        <v>68</v>
      </c>
      <c r="F489" t="s">
        <v>49</v>
      </c>
      <c r="G489">
        <v>5</v>
      </c>
      <c r="H489">
        <v>25</v>
      </c>
      <c r="I489">
        <v>5</v>
      </c>
      <c r="J489" t="s">
        <v>50</v>
      </c>
      <c r="K489" t="s">
        <v>46</v>
      </c>
      <c r="L489" t="s">
        <v>55</v>
      </c>
      <c r="M489">
        <v>345.8268988977585</v>
      </c>
      <c r="N489">
        <v>504</v>
      </c>
      <c r="O489">
        <v>336</v>
      </c>
      <c r="P489">
        <v>293</v>
      </c>
      <c r="Q489">
        <v>2.0794415416798357</v>
      </c>
      <c r="R489">
        <v>2.3025850929940459</v>
      </c>
      <c r="S489">
        <v>3.2580965380214821</v>
      </c>
      <c r="T489">
        <v>95.12</v>
      </c>
      <c r="U489">
        <v>0</v>
      </c>
      <c r="V489">
        <v>1.89305099905856</v>
      </c>
      <c r="W489">
        <v>0.59880690621441701</v>
      </c>
      <c r="X489">
        <v>1.1856460040685599</v>
      </c>
      <c r="Y489">
        <v>-0.15565097555555901</v>
      </c>
      <c r="Z489">
        <v>-0.22748295097212001</v>
      </c>
      <c r="AA489">
        <v>1.0415013010201299</v>
      </c>
      <c r="AB489">
        <v>2939.9504036908884</v>
      </c>
      <c r="AC489">
        <v>2</v>
      </c>
      <c r="AD489">
        <v>0.42868127643214149</v>
      </c>
      <c r="AE489">
        <v>-2.40641039566141E-2</v>
      </c>
      <c r="AF489">
        <v>0.70791194207878305</v>
      </c>
      <c r="AG489">
        <v>-1.33079268383574</v>
      </c>
      <c r="AH489">
        <v>-0.39109260424976999</v>
      </c>
      <c r="AI489">
        <v>0.43042729985094003</v>
      </c>
      <c r="AJ489">
        <v>8.6776721450198199E-3</v>
      </c>
      <c r="AK489">
        <v>48.0777517</v>
      </c>
      <c r="AL489">
        <v>7.3579641000000002</v>
      </c>
      <c r="AM489">
        <v>50.640682937000001</v>
      </c>
      <c r="AN489">
        <v>4.6610704270000003</v>
      </c>
    </row>
    <row r="490" spans="1:40" x14ac:dyDescent="0.35">
      <c r="A490">
        <v>635</v>
      </c>
      <c r="B490">
        <v>57</v>
      </c>
      <c r="C490" t="s">
        <v>40</v>
      </c>
      <c r="D490" t="s">
        <v>41</v>
      </c>
      <c r="E490" t="s">
        <v>42</v>
      </c>
      <c r="F490" t="s">
        <v>49</v>
      </c>
      <c r="G490">
        <v>5</v>
      </c>
      <c r="H490">
        <v>25</v>
      </c>
      <c r="I490">
        <v>5</v>
      </c>
      <c r="J490" t="s">
        <v>50</v>
      </c>
      <c r="K490" t="s">
        <v>46</v>
      </c>
      <c r="L490" t="s">
        <v>65</v>
      </c>
      <c r="M490">
        <v>250.8778108472583</v>
      </c>
      <c r="N490">
        <v>400</v>
      </c>
      <c r="O490">
        <v>210</v>
      </c>
      <c r="P490">
        <v>308</v>
      </c>
      <c r="Q490">
        <v>0</v>
      </c>
      <c r="R490">
        <v>0</v>
      </c>
      <c r="S490">
        <v>4.4543472962535073</v>
      </c>
      <c r="T490">
        <v>89.333044733044744</v>
      </c>
      <c r="U490">
        <v>1.2554235437523662</v>
      </c>
      <c r="V490">
        <v>1.64975517953679</v>
      </c>
      <c r="W490">
        <v>2.4220969657957299</v>
      </c>
      <c r="X490">
        <v>1.68128863126442</v>
      </c>
      <c r="Y490">
        <v>2.0553398017137301</v>
      </c>
      <c r="Z490">
        <v>2.0921400018840099</v>
      </c>
      <c r="AA490">
        <v>2.0596698968962701</v>
      </c>
      <c r="AB490">
        <v>3262.71</v>
      </c>
      <c r="AC490">
        <v>0.33</v>
      </c>
      <c r="AD490">
        <v>0.66</v>
      </c>
      <c r="AE490">
        <v>1.9221838973381</v>
      </c>
      <c r="AF490">
        <v>0.410035830962581</v>
      </c>
      <c r="AG490">
        <v>0.406998400578645</v>
      </c>
      <c r="AH490">
        <v>1.05738730413024</v>
      </c>
      <c r="AI490">
        <v>0.26222481670166897</v>
      </c>
      <c r="AJ490">
        <v>0.54907806289241901</v>
      </c>
      <c r="AK490">
        <v>43.537466000000002</v>
      </c>
      <c r="AL490">
        <v>6.4627330000000001</v>
      </c>
      <c r="AM490">
        <v>45.527799999999999</v>
      </c>
      <c r="AN490">
        <v>4.9794</v>
      </c>
    </row>
    <row r="491" spans="1:40" x14ac:dyDescent="0.35">
      <c r="A491">
        <v>636</v>
      </c>
      <c r="B491">
        <v>57</v>
      </c>
      <c r="C491" t="s">
        <v>48</v>
      </c>
      <c r="D491" t="s">
        <v>52</v>
      </c>
      <c r="E491" t="s">
        <v>42</v>
      </c>
      <c r="F491" t="s">
        <v>49</v>
      </c>
      <c r="G491">
        <v>5</v>
      </c>
      <c r="H491">
        <v>25</v>
      </c>
      <c r="I491">
        <v>4</v>
      </c>
      <c r="J491" t="s">
        <v>56</v>
      </c>
      <c r="K491" t="s">
        <v>46</v>
      </c>
      <c r="L491" t="s">
        <v>47</v>
      </c>
      <c r="M491">
        <v>35.124919271006227</v>
      </c>
      <c r="N491">
        <v>85</v>
      </c>
      <c r="O491">
        <v>70</v>
      </c>
      <c r="P491">
        <v>45</v>
      </c>
      <c r="Q491">
        <v>5.9107966440405271</v>
      </c>
      <c r="R491">
        <v>6.4997870406558542</v>
      </c>
      <c r="S491">
        <v>8.6415324656718457</v>
      </c>
      <c r="T491">
        <v>89.265350482850479</v>
      </c>
      <c r="U491">
        <v>1.4417786561042019</v>
      </c>
      <c r="V491">
        <v>-0.22886708829074301</v>
      </c>
      <c r="W491">
        <v>0.28745285629339301</v>
      </c>
      <c r="X491">
        <v>-0.15627425222847</v>
      </c>
      <c r="Y491">
        <v>1.45226138127617</v>
      </c>
      <c r="Z491">
        <v>0.98247225355557</v>
      </c>
      <c r="AA491">
        <v>0.627775520474398</v>
      </c>
      <c r="AB491">
        <v>3362.2959371744532</v>
      </c>
      <c r="AC491">
        <v>2.8998317172850387</v>
      </c>
      <c r="AD491">
        <v>2.9499158586425196</v>
      </c>
      <c r="AE491">
        <v>1.06273170356322</v>
      </c>
      <c r="AF491">
        <v>1.2618546266547299</v>
      </c>
      <c r="AG491">
        <v>0.52075765127384999</v>
      </c>
      <c r="AH491">
        <v>-0.50915995855375096</v>
      </c>
      <c r="AI491">
        <v>1.6186130552208</v>
      </c>
      <c r="AJ491">
        <v>-0.33111443708269001</v>
      </c>
      <c r="AK491">
        <v>43.3535629403058</v>
      </c>
      <c r="AL491">
        <v>3.21615314793977</v>
      </c>
      <c r="AM491">
        <v>43.392000000000003</v>
      </c>
      <c r="AN491">
        <v>3.6469999999999998</v>
      </c>
    </row>
    <row r="492" spans="1:40" x14ac:dyDescent="0.35">
      <c r="A492">
        <v>637</v>
      </c>
      <c r="B492">
        <v>72</v>
      </c>
      <c r="C492" t="s">
        <v>48</v>
      </c>
      <c r="D492" t="s">
        <v>52</v>
      </c>
      <c r="E492" t="s">
        <v>42</v>
      </c>
      <c r="F492" t="s">
        <v>43</v>
      </c>
      <c r="G492">
        <v>1</v>
      </c>
      <c r="H492">
        <v>1</v>
      </c>
      <c r="I492">
        <v>2</v>
      </c>
      <c r="J492" t="s">
        <v>56</v>
      </c>
      <c r="K492" t="s">
        <v>44</v>
      </c>
      <c r="L492" t="s">
        <v>62</v>
      </c>
      <c r="M492">
        <v>140.4750490826184</v>
      </c>
      <c r="N492">
        <v>166</v>
      </c>
      <c r="O492">
        <v>140</v>
      </c>
      <c r="P492">
        <v>165</v>
      </c>
      <c r="Q492">
        <v>0.69314718055994529</v>
      </c>
      <c r="R492">
        <v>3.2580965380214821</v>
      </c>
      <c r="S492">
        <v>3.2580965380214821</v>
      </c>
      <c r="T492">
        <v>95.68</v>
      </c>
      <c r="U492">
        <v>0</v>
      </c>
      <c r="V492">
        <v>1.82802042479695</v>
      </c>
      <c r="W492">
        <v>0.99424279543483596</v>
      </c>
      <c r="X492">
        <v>0.99177342203587404</v>
      </c>
      <c r="Y492">
        <v>-0.96278755162326501</v>
      </c>
      <c r="Z492">
        <v>-0.75605764486205096</v>
      </c>
      <c r="AA492">
        <v>-0.80037586101695801</v>
      </c>
      <c r="AB492">
        <v>2092.91</v>
      </c>
      <c r="AC492">
        <v>0</v>
      </c>
      <c r="AD492">
        <v>2.1</v>
      </c>
      <c r="AE492">
        <v>-1.0768626388726401</v>
      </c>
      <c r="AF492">
        <v>-2.5431449687020802</v>
      </c>
      <c r="AG492">
        <v>0.52103713805499396</v>
      </c>
      <c r="AH492">
        <v>1.17368435752643</v>
      </c>
      <c r="AI492">
        <v>1.2387008299009299</v>
      </c>
      <c r="AJ492">
        <v>-3.5207369189995799</v>
      </c>
      <c r="AK492">
        <v>49.042560999999999</v>
      </c>
      <c r="AL492">
        <v>3.9528660000000002</v>
      </c>
      <c r="AM492">
        <v>48.807000000000002</v>
      </c>
      <c r="AN492">
        <v>2.0659999999999998</v>
      </c>
    </row>
    <row r="493" spans="1:40" x14ac:dyDescent="0.35">
      <c r="A493">
        <v>638</v>
      </c>
      <c r="B493">
        <v>72</v>
      </c>
      <c r="C493" t="s">
        <v>40</v>
      </c>
      <c r="D493" t="s">
        <v>52</v>
      </c>
      <c r="E493" t="s">
        <v>42</v>
      </c>
      <c r="F493" t="s">
        <v>49</v>
      </c>
      <c r="G493">
        <v>5</v>
      </c>
      <c r="H493">
        <v>25</v>
      </c>
      <c r="I493">
        <v>7</v>
      </c>
      <c r="J493" t="s">
        <v>56</v>
      </c>
      <c r="K493" t="s">
        <v>46</v>
      </c>
      <c r="L493" t="s">
        <v>77</v>
      </c>
      <c r="M493">
        <v>10.34314991253664</v>
      </c>
      <c r="N493">
        <v>69</v>
      </c>
      <c r="O493">
        <v>56</v>
      </c>
      <c r="P493">
        <v>20</v>
      </c>
      <c r="Q493">
        <v>0</v>
      </c>
      <c r="R493">
        <v>2.3978952727983707</v>
      </c>
      <c r="S493">
        <v>5.1416635565026603</v>
      </c>
      <c r="T493">
        <v>90.472417453603512</v>
      </c>
      <c r="U493">
        <v>2.7735735584863375</v>
      </c>
      <c r="V493">
        <v>-0.15231437986527399</v>
      </c>
      <c r="W493">
        <v>3.49635939345109E-2</v>
      </c>
      <c r="X493">
        <v>-0.19627808847033801</v>
      </c>
      <c r="Y493">
        <v>-0.57382446736590997</v>
      </c>
      <c r="Z493">
        <v>-0.74335605457542497</v>
      </c>
      <c r="AA493">
        <v>-0.53588051656191904</v>
      </c>
      <c r="AB493">
        <v>3937</v>
      </c>
      <c r="AC493">
        <v>0</v>
      </c>
      <c r="AD493">
        <v>1</v>
      </c>
      <c r="AE493">
        <v>-0.72244456620022002</v>
      </c>
      <c r="AF493">
        <v>-1.94375939578852</v>
      </c>
      <c r="AG493">
        <v>-0.59804304698529298</v>
      </c>
      <c r="AH493">
        <v>-0.90846538631427498</v>
      </c>
      <c r="AI493">
        <v>-1.05508756401319</v>
      </c>
      <c r="AJ493">
        <v>1.1591881830342601</v>
      </c>
      <c r="AK493">
        <v>47.259622</v>
      </c>
      <c r="AL493">
        <v>-7.8518000000000004E-2</v>
      </c>
      <c r="AM493">
        <v>47.305</v>
      </c>
      <c r="AN493">
        <v>4.0999999999999995E-2</v>
      </c>
    </row>
    <row r="494" spans="1:40" x14ac:dyDescent="0.35">
      <c r="A494">
        <v>639</v>
      </c>
      <c r="B494">
        <v>72</v>
      </c>
      <c r="C494" t="s">
        <v>40</v>
      </c>
      <c r="D494" t="s">
        <v>52</v>
      </c>
      <c r="E494" t="s">
        <v>42</v>
      </c>
      <c r="F494" t="s">
        <v>49</v>
      </c>
      <c r="G494">
        <v>5</v>
      </c>
      <c r="H494">
        <v>25</v>
      </c>
      <c r="I494">
        <v>6</v>
      </c>
      <c r="J494" t="s">
        <v>56</v>
      </c>
      <c r="K494" t="s">
        <v>46</v>
      </c>
      <c r="L494" t="s">
        <v>58</v>
      </c>
      <c r="M494">
        <v>220.4863431987784</v>
      </c>
      <c r="N494">
        <v>269</v>
      </c>
      <c r="O494">
        <v>195</v>
      </c>
      <c r="P494">
        <v>216</v>
      </c>
      <c r="Q494">
        <v>3.2580965380214821</v>
      </c>
      <c r="R494">
        <v>2.8903717578961645</v>
      </c>
      <c r="S494">
        <v>4.7535901911063645</v>
      </c>
      <c r="T494">
        <v>90.794285714285706</v>
      </c>
      <c r="U494">
        <v>0</v>
      </c>
      <c r="V494">
        <v>0.63905639120027702</v>
      </c>
      <c r="W494">
        <v>0.692565001186083</v>
      </c>
      <c r="X494">
        <v>0.56469097254324596</v>
      </c>
      <c r="Y494">
        <v>1.4483117406157899</v>
      </c>
      <c r="Z494">
        <v>1.7680602694732599</v>
      </c>
      <c r="AA494">
        <v>0.26366440732357699</v>
      </c>
      <c r="AB494">
        <v>4236</v>
      </c>
      <c r="AC494">
        <v>0</v>
      </c>
      <c r="AD494">
        <v>4</v>
      </c>
      <c r="AE494">
        <v>1.6751267091712101</v>
      </c>
      <c r="AF494">
        <v>-1.22526521265452</v>
      </c>
      <c r="AG494">
        <v>1.7763274805539</v>
      </c>
      <c r="AH494">
        <v>0.33169797374749599</v>
      </c>
      <c r="AI494">
        <v>0.79124377630208598</v>
      </c>
      <c r="AJ494">
        <v>0.163038073852348</v>
      </c>
      <c r="AK494">
        <v>45.198478000000001</v>
      </c>
      <c r="AL494">
        <v>-0.74874399999999997</v>
      </c>
      <c r="AM494">
        <v>43.346666666666664</v>
      </c>
      <c r="AN494">
        <v>-1.7303333333333333</v>
      </c>
    </row>
    <row r="495" spans="1:40" x14ac:dyDescent="0.35">
      <c r="A495">
        <v>640</v>
      </c>
      <c r="B495">
        <v>42</v>
      </c>
      <c r="C495" t="s">
        <v>40</v>
      </c>
      <c r="D495" t="s">
        <v>41</v>
      </c>
      <c r="E495" t="s">
        <v>42</v>
      </c>
      <c r="F495" t="s">
        <v>61</v>
      </c>
      <c r="G495">
        <v>4</v>
      </c>
      <c r="H495">
        <v>16</v>
      </c>
      <c r="I495">
        <v>5</v>
      </c>
      <c r="J495" t="s">
        <v>56</v>
      </c>
      <c r="K495" t="s">
        <v>46</v>
      </c>
      <c r="L495" t="s">
        <v>51</v>
      </c>
      <c r="M495">
        <v>160.384072201793</v>
      </c>
      <c r="N495">
        <v>190</v>
      </c>
      <c r="O495">
        <v>151</v>
      </c>
      <c r="P495">
        <v>242</v>
      </c>
      <c r="Q495">
        <v>0</v>
      </c>
      <c r="R495">
        <v>1.3862943611198906</v>
      </c>
      <c r="S495">
        <v>4.3438054218536841</v>
      </c>
      <c r="T495">
        <v>91.16</v>
      </c>
      <c r="U495">
        <v>2.3174698847378039</v>
      </c>
      <c r="V495">
        <v>-0.58471966768986094</v>
      </c>
      <c r="W495">
        <v>-0.55557078097057</v>
      </c>
      <c r="X495">
        <v>-0.47566183223429498</v>
      </c>
      <c r="Y495">
        <v>-0.95884680312505799</v>
      </c>
      <c r="Z495">
        <v>-0.76521334103430205</v>
      </c>
      <c r="AA495">
        <v>-0.77245900699560299</v>
      </c>
      <c r="AB495">
        <v>1376</v>
      </c>
      <c r="AC495">
        <v>0</v>
      </c>
      <c r="AD495">
        <v>2</v>
      </c>
      <c r="AE495">
        <v>-1.2769936012368599</v>
      </c>
      <c r="AF495">
        <v>-2.1613728677561999</v>
      </c>
      <c r="AG495">
        <v>1.39292528764946</v>
      </c>
      <c r="AH495">
        <v>1.18728844486284</v>
      </c>
      <c r="AI495">
        <v>6.0328377058231797E-2</v>
      </c>
      <c r="AJ495">
        <v>0.46321410292392601</v>
      </c>
      <c r="AK495">
        <v>47.815207299999997</v>
      </c>
      <c r="AL495">
        <v>3.8001657</v>
      </c>
      <c r="AM495">
        <v>48.783999999999999</v>
      </c>
      <c r="AN495">
        <v>2.1970000000000001</v>
      </c>
    </row>
    <row r="496" spans="1:40" x14ac:dyDescent="0.35">
      <c r="A496">
        <v>641</v>
      </c>
      <c r="B496">
        <v>57</v>
      </c>
      <c r="C496" t="s">
        <v>48</v>
      </c>
      <c r="D496" t="s">
        <v>66</v>
      </c>
      <c r="E496" t="s">
        <v>42</v>
      </c>
      <c r="F496" t="s">
        <v>49</v>
      </c>
      <c r="G496">
        <v>6</v>
      </c>
      <c r="H496">
        <v>36</v>
      </c>
      <c r="I496">
        <v>5</v>
      </c>
      <c r="J496" t="s">
        <v>50</v>
      </c>
      <c r="K496" t="s">
        <v>46</v>
      </c>
      <c r="L496" t="s">
        <v>59</v>
      </c>
      <c r="M496">
        <v>244.9638353630161</v>
      </c>
      <c r="N496">
        <v>379</v>
      </c>
      <c r="O496">
        <v>245</v>
      </c>
      <c r="P496">
        <v>270</v>
      </c>
      <c r="Q496">
        <v>1.3862943611198906</v>
      </c>
      <c r="R496">
        <v>1.3862943611198906</v>
      </c>
      <c r="S496">
        <v>4.9972122737641147</v>
      </c>
      <c r="T496">
        <v>90.035146103896111</v>
      </c>
      <c r="U496">
        <v>1.418823059726001</v>
      </c>
      <c r="V496">
        <v>-0.52223564926899602</v>
      </c>
      <c r="W496">
        <v>-0.46072710968150399</v>
      </c>
      <c r="X496">
        <v>-0.361786268345754</v>
      </c>
      <c r="Y496">
        <v>-0.552694479448822</v>
      </c>
      <c r="Z496">
        <v>2.1676297177028899E-2</v>
      </c>
      <c r="AA496">
        <v>0.625223797005378</v>
      </c>
      <c r="AB496">
        <v>2234.6992515788952</v>
      </c>
      <c r="AC496">
        <v>0</v>
      </c>
      <c r="AD496">
        <v>0.12112735591028891</v>
      </c>
      <c r="AE496">
        <v>-0.60610368582010199</v>
      </c>
      <c r="AF496">
        <v>-1.18737615353398</v>
      </c>
      <c r="AG496">
        <v>1.50626627597838</v>
      </c>
      <c r="AH496">
        <v>0.88599015754812205</v>
      </c>
      <c r="AI496">
        <v>0.26058721035050098</v>
      </c>
      <c r="AJ496">
        <v>0.44821785008725201</v>
      </c>
      <c r="AK496">
        <v>47.411035099999999</v>
      </c>
      <c r="AL496">
        <v>0.98369799999999996</v>
      </c>
      <c r="AM496">
        <v>48.311999999999998</v>
      </c>
      <c r="AN496">
        <v>-2.0089999999999999</v>
      </c>
    </row>
    <row r="497" spans="1:40" x14ac:dyDescent="0.35">
      <c r="A497">
        <v>642</v>
      </c>
      <c r="B497">
        <v>72</v>
      </c>
      <c r="C497" t="s">
        <v>48</v>
      </c>
      <c r="D497" t="s">
        <v>52</v>
      </c>
      <c r="E497" t="s">
        <v>42</v>
      </c>
      <c r="F497" t="s">
        <v>49</v>
      </c>
      <c r="G497">
        <v>4</v>
      </c>
      <c r="H497">
        <v>16</v>
      </c>
      <c r="I497">
        <v>7</v>
      </c>
      <c r="J497" t="s">
        <v>56</v>
      </c>
      <c r="K497" t="s">
        <v>46</v>
      </c>
      <c r="L497" t="s">
        <v>51</v>
      </c>
      <c r="M497">
        <v>135.57501530292589</v>
      </c>
      <c r="N497">
        <v>219</v>
      </c>
      <c r="O497">
        <v>142</v>
      </c>
      <c r="P497">
        <v>593</v>
      </c>
      <c r="Q497">
        <v>0</v>
      </c>
      <c r="R497">
        <v>1.3862943611198906</v>
      </c>
      <c r="S497">
        <v>4.3438054218536841</v>
      </c>
      <c r="T497">
        <v>91.16</v>
      </c>
      <c r="U497">
        <v>2.3174698847378039</v>
      </c>
      <c r="V497">
        <v>-0.58471966768986094</v>
      </c>
      <c r="W497">
        <v>-0.55557078097057</v>
      </c>
      <c r="X497">
        <v>-0.47566183223429498</v>
      </c>
      <c r="Y497">
        <v>-0.95884680312505799</v>
      </c>
      <c r="Z497">
        <v>-0.76521334103430205</v>
      </c>
      <c r="AA497">
        <v>-0.77245900699560299</v>
      </c>
      <c r="AB497">
        <v>1376</v>
      </c>
      <c r="AC497">
        <v>0</v>
      </c>
      <c r="AD497">
        <v>2</v>
      </c>
      <c r="AE497">
        <v>-1.2769936012368599</v>
      </c>
      <c r="AF497">
        <v>-0.53523852119379201</v>
      </c>
      <c r="AG497">
        <v>-8.7840716294143497E-4</v>
      </c>
      <c r="AH497">
        <v>-0.96322438320937998</v>
      </c>
      <c r="AI497">
        <v>-0.37730655706869698</v>
      </c>
      <c r="AJ497">
        <v>1.2610522436043601</v>
      </c>
      <c r="AK497">
        <v>47.815207299999997</v>
      </c>
      <c r="AL497">
        <v>3.8001657</v>
      </c>
      <c r="AM497">
        <v>46.878500000000003</v>
      </c>
      <c r="AN497">
        <v>4.9489999999999998</v>
      </c>
    </row>
    <row r="498" spans="1:40" x14ac:dyDescent="0.35">
      <c r="A498">
        <v>643</v>
      </c>
      <c r="B498">
        <v>42</v>
      </c>
      <c r="C498" t="s">
        <v>40</v>
      </c>
      <c r="D498" t="s">
        <v>41</v>
      </c>
      <c r="E498" t="s">
        <v>42</v>
      </c>
      <c r="F498" t="s">
        <v>61</v>
      </c>
      <c r="G498">
        <v>5</v>
      </c>
      <c r="H498">
        <v>25</v>
      </c>
      <c r="I498">
        <v>6</v>
      </c>
      <c r="J498" t="s">
        <v>56</v>
      </c>
      <c r="K498" t="s">
        <v>46</v>
      </c>
      <c r="L498" t="s">
        <v>76</v>
      </c>
      <c r="M498">
        <v>173.64663678342501</v>
      </c>
      <c r="N498">
        <v>199</v>
      </c>
      <c r="O498">
        <v>141</v>
      </c>
      <c r="P498">
        <v>113</v>
      </c>
      <c r="Q498">
        <v>0</v>
      </c>
      <c r="R498">
        <v>1.0986122886681098</v>
      </c>
      <c r="S498">
        <v>4.1588830833596715</v>
      </c>
      <c r="T498">
        <v>91.226666666666674</v>
      </c>
      <c r="U498">
        <v>1.418823059726001</v>
      </c>
      <c r="V498">
        <v>-0.39095273818515502</v>
      </c>
      <c r="W498">
        <v>-0.53446083104759001</v>
      </c>
      <c r="X498">
        <v>-0.40804429067029002</v>
      </c>
      <c r="Y498">
        <v>-0.56789545922357498</v>
      </c>
      <c r="Z498">
        <v>-0.94760790482486201</v>
      </c>
      <c r="AA498">
        <v>-1.0848673571571601</v>
      </c>
      <c r="AB498">
        <v>1770.5103102717287</v>
      </c>
      <c r="AC498">
        <v>0.28213528618230871</v>
      </c>
      <c r="AD498">
        <v>1.7130468298323378</v>
      </c>
      <c r="AE498">
        <v>-1.13486126839574</v>
      </c>
      <c r="AF498">
        <v>0.70762380792472601</v>
      </c>
      <c r="AG498">
        <v>-1.16191271210245</v>
      </c>
      <c r="AH498">
        <v>0.83980621733099503</v>
      </c>
      <c r="AI498">
        <v>0.31842021641434298</v>
      </c>
      <c r="AJ498">
        <v>0.98363401192975197</v>
      </c>
      <c r="AK498">
        <v>47.330690599999997</v>
      </c>
      <c r="AL498">
        <v>2.8390453999999998</v>
      </c>
      <c r="AM498">
        <v>48.856372813999997</v>
      </c>
      <c r="AN498">
        <v>2.3525296170000001</v>
      </c>
    </row>
    <row r="499" spans="1:40" x14ac:dyDescent="0.35">
      <c r="A499">
        <v>644</v>
      </c>
      <c r="B499">
        <v>57</v>
      </c>
      <c r="C499" t="s">
        <v>40</v>
      </c>
      <c r="D499" t="s">
        <v>41</v>
      </c>
      <c r="E499" t="s">
        <v>42</v>
      </c>
      <c r="F499" t="s">
        <v>49</v>
      </c>
      <c r="G499">
        <v>4</v>
      </c>
      <c r="H499">
        <v>16</v>
      </c>
      <c r="I499">
        <v>6</v>
      </c>
      <c r="J499" t="s">
        <v>45</v>
      </c>
      <c r="K499" t="s">
        <v>46</v>
      </c>
      <c r="L499" t="s">
        <v>70</v>
      </c>
      <c r="M499">
        <v>350.00433149668402</v>
      </c>
      <c r="N499">
        <v>421</v>
      </c>
      <c r="O499">
        <v>220</v>
      </c>
      <c r="P499">
        <v>187</v>
      </c>
      <c r="Q499">
        <v>0</v>
      </c>
      <c r="R499">
        <v>0</v>
      </c>
      <c r="S499">
        <v>5.3230099791384085</v>
      </c>
      <c r="T499">
        <v>90.615999999999985</v>
      </c>
      <c r="U499">
        <v>1.11573792223403</v>
      </c>
      <c r="V499">
        <v>0.80288722813325297</v>
      </c>
      <c r="W499">
        <v>0.52082154240315903</v>
      </c>
      <c r="X499">
        <v>0.61908815691345198</v>
      </c>
      <c r="Y499">
        <v>1.5007680231051199</v>
      </c>
      <c r="Z499">
        <v>0.24292628533916899</v>
      </c>
      <c r="AA499">
        <v>8.5217386942517098E-2</v>
      </c>
      <c r="AB499">
        <v>3943</v>
      </c>
      <c r="AC499">
        <v>0</v>
      </c>
      <c r="AD499">
        <v>1</v>
      </c>
      <c r="AE499">
        <v>1.1088815174583</v>
      </c>
      <c r="AF499">
        <v>-0.66498698067356399</v>
      </c>
      <c r="AG499">
        <v>0.55660832432322305</v>
      </c>
      <c r="AH499">
        <v>-0.59225250040475097</v>
      </c>
      <c r="AI499">
        <v>-1.1310334104844699</v>
      </c>
      <c r="AJ499">
        <v>1.2514438383691899</v>
      </c>
      <c r="AK499">
        <v>46.098678999999997</v>
      </c>
      <c r="AL499">
        <v>4.7359530000000003</v>
      </c>
      <c r="AM499">
        <v>48.813000000000002</v>
      </c>
      <c r="AN499">
        <v>2.3879999999999999</v>
      </c>
    </row>
    <row r="500" spans="1:40" x14ac:dyDescent="0.35">
      <c r="A500">
        <v>645</v>
      </c>
      <c r="B500">
        <v>57</v>
      </c>
      <c r="C500" t="s">
        <v>40</v>
      </c>
      <c r="D500" t="s">
        <v>41</v>
      </c>
      <c r="E500" t="s">
        <v>42</v>
      </c>
      <c r="F500" t="s">
        <v>49</v>
      </c>
      <c r="G500">
        <v>5</v>
      </c>
      <c r="H500">
        <v>25</v>
      </c>
      <c r="I500">
        <v>6</v>
      </c>
      <c r="J500" t="s">
        <v>56</v>
      </c>
      <c r="K500" t="s">
        <v>46</v>
      </c>
      <c r="L500" t="s">
        <v>77</v>
      </c>
      <c r="M500">
        <v>223.6490158979577</v>
      </c>
      <c r="N500">
        <v>316</v>
      </c>
      <c r="O500">
        <v>191</v>
      </c>
      <c r="P500">
        <v>168</v>
      </c>
      <c r="Q500">
        <v>0</v>
      </c>
      <c r="R500">
        <v>2.3978952727983707</v>
      </c>
      <c r="S500">
        <v>5.1416635565026603</v>
      </c>
      <c r="T500">
        <v>90.472417453603512</v>
      </c>
      <c r="U500">
        <v>2.7735735584863375</v>
      </c>
      <c r="V500">
        <v>-0.15231437986527399</v>
      </c>
      <c r="W500">
        <v>3.49635939345109E-2</v>
      </c>
      <c r="X500">
        <v>-0.19627808847033801</v>
      </c>
      <c r="Y500">
        <v>-0.57382446736590997</v>
      </c>
      <c r="Z500">
        <v>-0.74335605457542497</v>
      </c>
      <c r="AA500">
        <v>-0.53588051656191904</v>
      </c>
      <c r="AB500">
        <v>3937</v>
      </c>
      <c r="AC500">
        <v>0</v>
      </c>
      <c r="AD500">
        <v>1</v>
      </c>
      <c r="AE500">
        <v>-0.72244456620022002</v>
      </c>
      <c r="AF500">
        <v>0.88335562559261604</v>
      </c>
      <c r="AG500">
        <v>-0.45584543308692699</v>
      </c>
      <c r="AH500">
        <v>0.61144469703674798</v>
      </c>
      <c r="AI500">
        <v>-0.59012861134175798</v>
      </c>
      <c r="AJ500">
        <v>0.50953936667685296</v>
      </c>
      <c r="AK500">
        <v>47.259622</v>
      </c>
      <c r="AL500">
        <v>-7.8518000000000004E-2</v>
      </c>
      <c r="AM500">
        <v>48.760000000000005</v>
      </c>
      <c r="AN500">
        <v>1.919</v>
      </c>
    </row>
    <row r="501" spans="1:40" x14ac:dyDescent="0.35">
      <c r="A501">
        <v>646</v>
      </c>
      <c r="B501">
        <v>57</v>
      </c>
      <c r="C501" t="s">
        <v>40</v>
      </c>
      <c r="D501" t="s">
        <v>41</v>
      </c>
      <c r="E501" t="s">
        <v>42</v>
      </c>
      <c r="F501" t="s">
        <v>49</v>
      </c>
      <c r="G501">
        <v>5</v>
      </c>
      <c r="H501">
        <v>25</v>
      </c>
      <c r="I501">
        <v>5</v>
      </c>
      <c r="J501" t="s">
        <v>50</v>
      </c>
      <c r="K501" t="s">
        <v>46</v>
      </c>
      <c r="L501" t="s">
        <v>69</v>
      </c>
      <c r="M501">
        <v>157.26864365008521</v>
      </c>
      <c r="N501">
        <v>176</v>
      </c>
      <c r="O501">
        <v>100</v>
      </c>
      <c r="P501">
        <v>111</v>
      </c>
      <c r="Q501">
        <v>2.3978952727983707</v>
      </c>
      <c r="R501">
        <v>4.5538768916005408</v>
      </c>
      <c r="S501">
        <v>5.4847969334906548</v>
      </c>
      <c r="T501">
        <v>93.296000000000006</v>
      </c>
      <c r="U501">
        <v>2.2325431437911538</v>
      </c>
      <c r="V501">
        <v>-0.44922684044461197</v>
      </c>
      <c r="W501">
        <v>-0.76855194782346203</v>
      </c>
      <c r="X501">
        <v>-0.44700324392789598</v>
      </c>
      <c r="Y501">
        <v>-0.846122564821426</v>
      </c>
      <c r="Z501">
        <v>-0.92679578564836795</v>
      </c>
      <c r="AA501">
        <v>0.86332342905974202</v>
      </c>
      <c r="AB501">
        <v>2050</v>
      </c>
      <c r="AC501">
        <v>1</v>
      </c>
      <c r="AD501">
        <v>2</v>
      </c>
      <c r="AE501">
        <v>-0.51011828243844404</v>
      </c>
      <c r="AF501">
        <v>0.18845002296997199</v>
      </c>
      <c r="AG501">
        <v>-1.57542385630998E-2</v>
      </c>
      <c r="AH501">
        <v>0.62451778270428704</v>
      </c>
      <c r="AI501">
        <v>-0.113609774909591</v>
      </c>
      <c r="AJ501">
        <v>1.29874407914504</v>
      </c>
      <c r="AK501">
        <v>47.177235000000003</v>
      </c>
      <c r="AL501">
        <v>4.964315</v>
      </c>
      <c r="AM501">
        <v>45.767306300000001</v>
      </c>
      <c r="AN501">
        <v>4.8343065000000003</v>
      </c>
    </row>
    <row r="502" spans="1:40" x14ac:dyDescent="0.35">
      <c r="A502">
        <v>647</v>
      </c>
      <c r="B502">
        <v>72</v>
      </c>
      <c r="C502" t="s">
        <v>48</v>
      </c>
      <c r="D502" t="s">
        <v>52</v>
      </c>
      <c r="E502" t="s">
        <v>42</v>
      </c>
      <c r="F502" t="s">
        <v>49</v>
      </c>
      <c r="G502">
        <v>4</v>
      </c>
      <c r="H502">
        <v>16</v>
      </c>
      <c r="I502">
        <v>7</v>
      </c>
      <c r="J502" t="s">
        <v>56</v>
      </c>
      <c r="K502" t="s">
        <v>46</v>
      </c>
      <c r="L502" t="s">
        <v>60</v>
      </c>
      <c r="M502">
        <v>190.50307825737261</v>
      </c>
      <c r="N502">
        <v>216</v>
      </c>
      <c r="O502">
        <v>162</v>
      </c>
      <c r="P502">
        <v>144</v>
      </c>
      <c r="Q502">
        <v>3.8501476017100584</v>
      </c>
      <c r="R502">
        <v>2.9957322735539909</v>
      </c>
      <c r="S502">
        <v>5.4424177105217932</v>
      </c>
      <c r="T502">
        <v>88.975873222691746</v>
      </c>
      <c r="U502">
        <v>2.5514539469641888</v>
      </c>
      <c r="V502">
        <v>2.9336799326863701</v>
      </c>
      <c r="W502">
        <v>3.3730943146768602</v>
      </c>
      <c r="X502">
        <v>3.6072071704345601</v>
      </c>
      <c r="Y502">
        <v>-0.19189497559235799</v>
      </c>
      <c r="Z502">
        <v>0.17569111512999699</v>
      </c>
      <c r="AA502">
        <v>-0.304970615080496</v>
      </c>
      <c r="AB502">
        <v>1906.836709612184</v>
      </c>
      <c r="AC502">
        <v>0.7978420820676605</v>
      </c>
      <c r="AD502">
        <v>2.1056638128240834</v>
      </c>
      <c r="AE502">
        <v>-0.25037207080954499</v>
      </c>
      <c r="AF502">
        <v>-0.60041663192547301</v>
      </c>
      <c r="AG502">
        <v>1.13129973917577</v>
      </c>
      <c r="AH502">
        <v>1.0626447926217699</v>
      </c>
      <c r="AI502">
        <v>-0.20129665695905899</v>
      </c>
      <c r="AJ502">
        <v>1.0674992178553799</v>
      </c>
      <c r="AK502">
        <v>44.055988999999997</v>
      </c>
      <c r="AL502">
        <v>4.8317350000000001</v>
      </c>
      <c r="AM502">
        <v>45.767306300000001</v>
      </c>
      <c r="AN502">
        <v>4.8343065000000003</v>
      </c>
    </row>
    <row r="503" spans="1:40" x14ac:dyDescent="0.35">
      <c r="A503">
        <v>648</v>
      </c>
      <c r="B503">
        <v>72</v>
      </c>
      <c r="C503" t="s">
        <v>40</v>
      </c>
      <c r="D503" t="s">
        <v>52</v>
      </c>
      <c r="E503" t="s">
        <v>42</v>
      </c>
      <c r="F503" t="s">
        <v>49</v>
      </c>
      <c r="G503">
        <v>6</v>
      </c>
      <c r="H503">
        <v>36</v>
      </c>
      <c r="I503">
        <v>7</v>
      </c>
      <c r="J503" t="s">
        <v>50</v>
      </c>
      <c r="K503" t="s">
        <v>46</v>
      </c>
      <c r="L503" t="s">
        <v>54</v>
      </c>
      <c r="M503">
        <v>474.00645772287828</v>
      </c>
      <c r="N503">
        <v>584</v>
      </c>
      <c r="O503">
        <v>363</v>
      </c>
      <c r="P503">
        <v>201</v>
      </c>
      <c r="Q503">
        <v>3.9889840465642745</v>
      </c>
      <c r="R503">
        <v>3.0910424533583161</v>
      </c>
      <c r="S503">
        <v>4.1271343850450917</v>
      </c>
      <c r="T503">
        <v>92.826666666666668</v>
      </c>
      <c r="U503">
        <v>2.9827057067926286</v>
      </c>
      <c r="V503">
        <v>-0.16604708794949699</v>
      </c>
      <c r="W503">
        <v>-0.150727876652859</v>
      </c>
      <c r="X503">
        <v>-0.19602043866096</v>
      </c>
      <c r="Y503">
        <v>1.4483117406157899</v>
      </c>
      <c r="Z503">
        <v>1.7680602694732599</v>
      </c>
      <c r="AA503">
        <v>0.26366440732357699</v>
      </c>
      <c r="AB503">
        <v>4236</v>
      </c>
      <c r="AC503">
        <v>0</v>
      </c>
      <c r="AD503">
        <v>4</v>
      </c>
      <c r="AE503">
        <v>1.6751267091712101</v>
      </c>
      <c r="AF503">
        <v>-0.89154148223326202</v>
      </c>
      <c r="AG503">
        <v>-2.0195727537250798</v>
      </c>
      <c r="AH503">
        <v>0.80662367691076198</v>
      </c>
      <c r="AI503">
        <v>-0.23468060249980799</v>
      </c>
      <c r="AJ503">
        <v>0.94272770312480403</v>
      </c>
      <c r="AK503">
        <v>44.917983300000003</v>
      </c>
      <c r="AL503">
        <v>-0.22352169999999999</v>
      </c>
      <c r="AM503">
        <v>48.844999999999999</v>
      </c>
      <c r="AN503">
        <v>2.1869999999999998</v>
      </c>
    </row>
    <row r="504" spans="1:40" x14ac:dyDescent="0.35">
      <c r="A504">
        <v>649</v>
      </c>
      <c r="B504">
        <v>72</v>
      </c>
      <c r="C504" t="s">
        <v>40</v>
      </c>
      <c r="D504" t="s">
        <v>52</v>
      </c>
      <c r="E504" t="s">
        <v>42</v>
      </c>
      <c r="F504" t="s">
        <v>49</v>
      </c>
      <c r="G504">
        <v>5</v>
      </c>
      <c r="H504">
        <v>25</v>
      </c>
      <c r="I504">
        <v>5</v>
      </c>
      <c r="J504" t="s">
        <v>50</v>
      </c>
      <c r="K504" t="s">
        <v>46</v>
      </c>
      <c r="L504" t="s">
        <v>65</v>
      </c>
      <c r="M504">
        <v>42.703796679389811</v>
      </c>
      <c r="N504">
        <v>85</v>
      </c>
      <c r="O504">
        <v>55</v>
      </c>
      <c r="P504">
        <v>80</v>
      </c>
      <c r="Q504">
        <v>0</v>
      </c>
      <c r="R504">
        <v>0</v>
      </c>
      <c r="S504">
        <v>4.4543472962535073</v>
      </c>
      <c r="T504">
        <v>89.333044733044744</v>
      </c>
      <c r="U504">
        <v>1.2554235437523662</v>
      </c>
      <c r="V504">
        <v>1.64975517953679</v>
      </c>
      <c r="W504">
        <v>2.4220969657957299</v>
      </c>
      <c r="X504">
        <v>1.68128863126442</v>
      </c>
      <c r="Y504">
        <v>2.0553398017137301</v>
      </c>
      <c r="Z504">
        <v>2.0921400018840099</v>
      </c>
      <c r="AA504">
        <v>2.0596698968962701</v>
      </c>
      <c r="AB504">
        <v>3262.71</v>
      </c>
      <c r="AC504">
        <v>0.33</v>
      </c>
      <c r="AD504">
        <v>0.66</v>
      </c>
      <c r="AE504">
        <v>1.9221838973381</v>
      </c>
      <c r="AF504">
        <v>0.20604973678094701</v>
      </c>
      <c r="AG504">
        <v>0.99499329212994403</v>
      </c>
      <c r="AH504">
        <v>0.52773820093364798</v>
      </c>
      <c r="AI504">
        <v>0.65668255628996497</v>
      </c>
      <c r="AJ504">
        <v>0.542503366811526</v>
      </c>
      <c r="AK504">
        <v>43.537466000000002</v>
      </c>
      <c r="AL504">
        <v>6.4627330000000001</v>
      </c>
      <c r="AM504">
        <v>43.320875000000001</v>
      </c>
      <c r="AN504">
        <v>6.0267500000000007</v>
      </c>
    </row>
    <row r="505" spans="1:40" x14ac:dyDescent="0.35">
      <c r="A505">
        <v>650</v>
      </c>
      <c r="B505">
        <v>72</v>
      </c>
      <c r="C505" t="s">
        <v>40</v>
      </c>
      <c r="D505" t="s">
        <v>52</v>
      </c>
      <c r="E505" t="s">
        <v>68</v>
      </c>
      <c r="F505" t="s">
        <v>49</v>
      </c>
      <c r="G505">
        <v>5</v>
      </c>
      <c r="H505">
        <v>25</v>
      </c>
      <c r="I505">
        <v>5</v>
      </c>
      <c r="J505" t="s">
        <v>56</v>
      </c>
      <c r="K505" t="s">
        <v>46</v>
      </c>
      <c r="L505" t="s">
        <v>69</v>
      </c>
      <c r="M505">
        <v>386.18616756122952</v>
      </c>
      <c r="N505">
        <v>558</v>
      </c>
      <c r="O505">
        <v>354</v>
      </c>
      <c r="P505">
        <v>287</v>
      </c>
      <c r="Q505">
        <v>2.3978952727983707</v>
      </c>
      <c r="R505">
        <v>4.5538768916005408</v>
      </c>
      <c r="S505">
        <v>5.4847969334906548</v>
      </c>
      <c r="T505">
        <v>93.296000000000006</v>
      </c>
      <c r="U505">
        <v>2.2325431437911538</v>
      </c>
      <c r="V505">
        <v>-0.44922684044461197</v>
      </c>
      <c r="W505">
        <v>-0.76855194782346203</v>
      </c>
      <c r="X505">
        <v>-0.44700324392789598</v>
      </c>
      <c r="Y505">
        <v>-0.846122564821426</v>
      </c>
      <c r="Z505">
        <v>-0.92679578564836795</v>
      </c>
      <c r="AA505">
        <v>0.86332342905974202</v>
      </c>
      <c r="AB505">
        <v>2050</v>
      </c>
      <c r="AC505">
        <v>1</v>
      </c>
      <c r="AD505">
        <v>2</v>
      </c>
      <c r="AE505">
        <v>-0.51011828243844404</v>
      </c>
      <c r="AF505">
        <v>0.465975005417674</v>
      </c>
      <c r="AG505">
        <v>2.4106884980598299E-2</v>
      </c>
      <c r="AH505">
        <v>-1.1317999434556401</v>
      </c>
      <c r="AI505">
        <v>-0.529613169744381</v>
      </c>
      <c r="AJ505">
        <v>-0.83723446072456575</v>
      </c>
      <c r="AK505">
        <v>47.177235000000003</v>
      </c>
      <c r="AL505">
        <v>4.964315</v>
      </c>
      <c r="AM505">
        <v>50.640682937000001</v>
      </c>
      <c r="AN505">
        <v>4.6610704270000003</v>
      </c>
    </row>
    <row r="506" spans="1:40" x14ac:dyDescent="0.35">
      <c r="A506">
        <v>651</v>
      </c>
      <c r="B506">
        <v>72</v>
      </c>
      <c r="C506" t="s">
        <v>40</v>
      </c>
      <c r="D506" t="s">
        <v>52</v>
      </c>
      <c r="E506" t="s">
        <v>42</v>
      </c>
      <c r="F506" t="s">
        <v>43</v>
      </c>
      <c r="G506">
        <v>5</v>
      </c>
      <c r="H506">
        <v>25</v>
      </c>
      <c r="I506">
        <v>7</v>
      </c>
      <c r="J506" t="s">
        <v>56</v>
      </c>
      <c r="K506" t="s">
        <v>46</v>
      </c>
      <c r="L506" t="s">
        <v>76</v>
      </c>
      <c r="M506">
        <v>134.8767961323218</v>
      </c>
      <c r="N506">
        <v>151</v>
      </c>
      <c r="O506">
        <v>112</v>
      </c>
      <c r="P506">
        <v>140</v>
      </c>
      <c r="Q506">
        <v>0</v>
      </c>
      <c r="R506">
        <v>1.0986122886681098</v>
      </c>
      <c r="S506">
        <v>4.1588830833596715</v>
      </c>
      <c r="T506">
        <v>91.226666666666674</v>
      </c>
      <c r="U506">
        <v>1.418823059726001</v>
      </c>
      <c r="V506">
        <v>-0.39095273818515502</v>
      </c>
      <c r="W506">
        <v>-0.53446083104759001</v>
      </c>
      <c r="X506">
        <v>-0.40804429067029002</v>
      </c>
      <c r="Y506">
        <v>-0.56789545922357498</v>
      </c>
      <c r="Z506">
        <v>-0.94760790482486201</v>
      </c>
      <c r="AA506">
        <v>-1.0848673571571601</v>
      </c>
      <c r="AB506">
        <v>1770.5103102717287</v>
      </c>
      <c r="AC506">
        <v>0.28213528618230871</v>
      </c>
      <c r="AD506">
        <v>1.7130468298323378</v>
      </c>
      <c r="AE506">
        <v>-1.13486126839574</v>
      </c>
      <c r="AF506">
        <v>5.02115835226171E-2</v>
      </c>
      <c r="AG506">
        <v>7.8028312650917198E-2</v>
      </c>
      <c r="AH506">
        <v>-0.76013799651606695</v>
      </c>
      <c r="AI506">
        <v>-0.28517001200040598</v>
      </c>
      <c r="AJ506">
        <v>-0.75364562774467203</v>
      </c>
      <c r="AK506">
        <v>47.330690599999997</v>
      </c>
      <c r="AL506">
        <v>2.8390453999999998</v>
      </c>
      <c r="AM506">
        <v>48.532666666666664</v>
      </c>
      <c r="AN506">
        <v>2.6113333333333331</v>
      </c>
    </row>
    <row r="507" spans="1:40" x14ac:dyDescent="0.35">
      <c r="A507">
        <v>654</v>
      </c>
      <c r="B507">
        <v>72</v>
      </c>
      <c r="C507" t="s">
        <v>40</v>
      </c>
      <c r="D507" t="s">
        <v>52</v>
      </c>
      <c r="E507" t="s">
        <v>42</v>
      </c>
      <c r="F507" t="s">
        <v>5</v>
      </c>
      <c r="G507">
        <v>5</v>
      </c>
      <c r="H507">
        <v>25</v>
      </c>
      <c r="I507">
        <v>5</v>
      </c>
      <c r="J507" t="s">
        <v>56</v>
      </c>
      <c r="K507" t="s">
        <v>46</v>
      </c>
      <c r="L507" t="s">
        <v>57</v>
      </c>
      <c r="M507">
        <v>281.29467775766841</v>
      </c>
      <c r="N507">
        <v>344</v>
      </c>
      <c r="O507">
        <v>228</v>
      </c>
      <c r="P507">
        <v>189</v>
      </c>
      <c r="Q507">
        <v>0.69314718055994529</v>
      </c>
      <c r="R507">
        <v>3.6109179126442243</v>
      </c>
      <c r="S507">
        <v>5.8833223884882786</v>
      </c>
      <c r="T507">
        <v>90.922105263157903</v>
      </c>
      <c r="U507">
        <v>2.3923758041545438</v>
      </c>
      <c r="V507">
        <v>-0.399596989308249</v>
      </c>
      <c r="W507">
        <v>-0.58810405700346202</v>
      </c>
      <c r="X507">
        <v>-0.29041857108635599</v>
      </c>
      <c r="Y507">
        <v>-0.846122564821426</v>
      </c>
      <c r="Z507">
        <v>-0.92679578564836795</v>
      </c>
      <c r="AA507">
        <v>0.86332342905974202</v>
      </c>
      <c r="AB507">
        <v>2050</v>
      </c>
      <c r="AC507">
        <v>1</v>
      </c>
      <c r="AD507">
        <v>2</v>
      </c>
      <c r="AE507">
        <v>-0.51011828243844404</v>
      </c>
      <c r="AF507">
        <v>-6.8954171780124807E-2</v>
      </c>
      <c r="AG507">
        <v>7.3606537933168598E-2</v>
      </c>
      <c r="AH507">
        <v>0.71253544462942098</v>
      </c>
      <c r="AI507">
        <v>-0.37856288426195001</v>
      </c>
      <c r="AJ507">
        <v>0.27692689279780902</v>
      </c>
      <c r="AK507">
        <v>47.023905999999997</v>
      </c>
      <c r="AL507">
        <v>4.8380429999999999</v>
      </c>
      <c r="AM507">
        <v>48.631999999999998</v>
      </c>
      <c r="AN507">
        <v>7.742</v>
      </c>
    </row>
    <row r="508" spans="1:40" x14ac:dyDescent="0.35">
      <c r="A508">
        <v>656</v>
      </c>
      <c r="B508">
        <v>57</v>
      </c>
      <c r="C508" t="s">
        <v>40</v>
      </c>
      <c r="D508" t="s">
        <v>41</v>
      </c>
      <c r="E508" t="s">
        <v>42</v>
      </c>
      <c r="F508" t="s">
        <v>61</v>
      </c>
      <c r="G508">
        <v>5</v>
      </c>
      <c r="H508">
        <v>25</v>
      </c>
      <c r="I508">
        <v>6</v>
      </c>
      <c r="J508" t="s">
        <v>45</v>
      </c>
      <c r="K508" t="s">
        <v>46</v>
      </c>
      <c r="L508" t="s">
        <v>77</v>
      </c>
      <c r="M508">
        <v>244.22670384748781</v>
      </c>
      <c r="N508">
        <v>289</v>
      </c>
      <c r="O508">
        <v>196</v>
      </c>
      <c r="P508">
        <v>221</v>
      </c>
      <c r="Q508">
        <v>0</v>
      </c>
      <c r="R508">
        <v>2.3978952727983707</v>
      </c>
      <c r="S508">
        <v>5.1416635565026603</v>
      </c>
      <c r="T508">
        <v>90.472417453603512</v>
      </c>
      <c r="U508">
        <v>2.7735735584863375</v>
      </c>
      <c r="V508">
        <v>-0.15231437986527399</v>
      </c>
      <c r="W508">
        <v>3.49635939345109E-2</v>
      </c>
      <c r="X508">
        <v>-0.19627808847033801</v>
      </c>
      <c r="Y508">
        <v>-0.57382446736590997</v>
      </c>
      <c r="Z508">
        <v>-0.74335605457542497</v>
      </c>
      <c r="AA508">
        <v>-0.53588051656191904</v>
      </c>
      <c r="AB508">
        <v>3937</v>
      </c>
      <c r="AC508">
        <v>0</v>
      </c>
      <c r="AD508">
        <v>1</v>
      </c>
      <c r="AE508">
        <v>-0.72244456620022002</v>
      </c>
      <c r="AF508">
        <v>-0.55306221384924803</v>
      </c>
      <c r="AG508">
        <v>-0.76605202679884798</v>
      </c>
      <c r="AH508">
        <v>-0.19620509618107701</v>
      </c>
      <c r="AI508">
        <v>0.34103804321695202</v>
      </c>
      <c r="AJ508">
        <v>-0.97852766440991001</v>
      </c>
      <c r="AK508">
        <v>47.259622</v>
      </c>
      <c r="AL508">
        <v>-7.8518000000000004E-2</v>
      </c>
      <c r="AM508">
        <v>48.515000000000001</v>
      </c>
      <c r="AN508">
        <v>-2.762</v>
      </c>
    </row>
    <row r="509" spans="1:40" x14ac:dyDescent="0.35">
      <c r="A509">
        <v>657</v>
      </c>
      <c r="B509">
        <v>72</v>
      </c>
      <c r="C509" t="s">
        <v>40</v>
      </c>
      <c r="D509" t="s">
        <v>52</v>
      </c>
      <c r="E509" t="s">
        <v>42</v>
      </c>
      <c r="F509" t="s">
        <v>49</v>
      </c>
      <c r="G509">
        <v>3</v>
      </c>
      <c r="H509">
        <v>9</v>
      </c>
      <c r="I509">
        <v>5</v>
      </c>
      <c r="J509" t="s">
        <v>56</v>
      </c>
      <c r="K509" t="s">
        <v>46</v>
      </c>
      <c r="L509" t="s">
        <v>71</v>
      </c>
      <c r="M509">
        <v>22.96174975843466</v>
      </c>
      <c r="N509">
        <v>146</v>
      </c>
      <c r="O509">
        <v>90</v>
      </c>
      <c r="P509">
        <v>130</v>
      </c>
      <c r="Q509">
        <v>4.5747109785033828</v>
      </c>
      <c r="R509">
        <v>3.5263605246161616</v>
      </c>
      <c r="S509">
        <v>5.1416635565026603</v>
      </c>
      <c r="T509">
        <v>92.265120976563693</v>
      </c>
      <c r="U509">
        <v>2.9351954657362995</v>
      </c>
      <c r="V509">
        <v>-8.3509539921858403E-2</v>
      </c>
      <c r="W509">
        <v>-8.6188355584626702E-2</v>
      </c>
      <c r="X509">
        <v>-6.2117403422328299E-2</v>
      </c>
      <c r="Y509">
        <v>-0.51135009403950604</v>
      </c>
      <c r="Z509">
        <v>-0.669554030021006</v>
      </c>
      <c r="AA509">
        <v>-1.4915282051312999</v>
      </c>
      <c r="AB509">
        <v>1813.5248996931791</v>
      </c>
      <c r="AC509">
        <v>1.6535284399339156</v>
      </c>
      <c r="AD509">
        <v>0.49421760679726223</v>
      </c>
      <c r="AE509">
        <v>-0.18520258641298501</v>
      </c>
      <c r="AF509">
        <v>0.64758875010271599</v>
      </c>
      <c r="AG509">
        <v>0.60387688644807103</v>
      </c>
      <c r="AH509">
        <v>-0.13840521908716899</v>
      </c>
      <c r="AI509">
        <v>0.110096648565305</v>
      </c>
      <c r="AJ509">
        <v>0.93748951228681399</v>
      </c>
      <c r="AK509">
        <v>45.071283999999999</v>
      </c>
      <c r="AL509">
        <v>4.8370730000000002</v>
      </c>
      <c r="AM509">
        <v>44.982500000000009</v>
      </c>
      <c r="AN509">
        <v>5.1005000000000011</v>
      </c>
    </row>
    <row r="510" spans="1:40" x14ac:dyDescent="0.35">
      <c r="A510">
        <v>660</v>
      </c>
      <c r="B510">
        <v>72</v>
      </c>
      <c r="C510" t="s">
        <v>40</v>
      </c>
      <c r="D510" t="s">
        <v>52</v>
      </c>
      <c r="E510" t="s">
        <v>42</v>
      </c>
      <c r="F510" t="s">
        <v>43</v>
      </c>
      <c r="G510">
        <v>5</v>
      </c>
      <c r="H510">
        <v>25</v>
      </c>
      <c r="I510">
        <v>7</v>
      </c>
      <c r="J510" t="s">
        <v>56</v>
      </c>
      <c r="K510" t="s">
        <v>46</v>
      </c>
      <c r="L510" t="s">
        <v>69</v>
      </c>
      <c r="M510">
        <v>284.15292707793748</v>
      </c>
      <c r="N510">
        <v>377</v>
      </c>
      <c r="O510">
        <v>220</v>
      </c>
      <c r="P510">
        <v>186</v>
      </c>
      <c r="Q510">
        <v>2.3978952727983707</v>
      </c>
      <c r="R510">
        <v>4.5538768916005408</v>
      </c>
      <c r="S510">
        <v>5.4847969334906548</v>
      </c>
      <c r="T510">
        <v>93.296000000000006</v>
      </c>
      <c r="U510">
        <v>2.2325431437911538</v>
      </c>
      <c r="V510">
        <v>-0.44922684044461197</v>
      </c>
      <c r="W510">
        <v>-0.76855194782346203</v>
      </c>
      <c r="X510">
        <v>-0.44700324392789598</v>
      </c>
      <c r="Y510">
        <v>-0.846122564821426</v>
      </c>
      <c r="Z510">
        <v>-0.92679578564836795</v>
      </c>
      <c r="AA510">
        <v>0.86332342905974202</v>
      </c>
      <c r="AB510">
        <v>2050</v>
      </c>
      <c r="AC510">
        <v>1</v>
      </c>
      <c r="AD510">
        <v>2</v>
      </c>
      <c r="AE510">
        <v>-0.51011828243844404</v>
      </c>
      <c r="AF510">
        <v>-0.158949143647313</v>
      </c>
      <c r="AG510">
        <v>-2.8794501598570901</v>
      </c>
      <c r="AH510">
        <v>0.63559949095587798</v>
      </c>
      <c r="AI510">
        <v>-1.9862617965493099</v>
      </c>
      <c r="AJ510">
        <v>1.4743604649425099</v>
      </c>
      <c r="AK510">
        <v>47.177235000000003</v>
      </c>
      <c r="AL510">
        <v>4.964315</v>
      </c>
      <c r="AM510">
        <v>49.005000000000003</v>
      </c>
      <c r="AN510">
        <v>2.2959999999999998</v>
      </c>
    </row>
    <row r="511" spans="1:40" x14ac:dyDescent="0.35">
      <c r="A511">
        <v>661</v>
      </c>
      <c r="B511">
        <v>72</v>
      </c>
      <c r="C511" t="s">
        <v>40</v>
      </c>
      <c r="D511" t="s">
        <v>52</v>
      </c>
      <c r="E511" t="s">
        <v>42</v>
      </c>
      <c r="F511" t="s">
        <v>53</v>
      </c>
      <c r="G511">
        <v>3</v>
      </c>
      <c r="H511">
        <v>9</v>
      </c>
      <c r="I511">
        <v>7</v>
      </c>
      <c r="J511" t="s">
        <v>45</v>
      </c>
      <c r="K511" t="s">
        <v>46</v>
      </c>
      <c r="L511" t="s">
        <v>76</v>
      </c>
      <c r="M511">
        <v>338.25281624904278</v>
      </c>
      <c r="N511">
        <v>441</v>
      </c>
      <c r="O511">
        <v>284</v>
      </c>
      <c r="P511">
        <v>269</v>
      </c>
      <c r="Q511">
        <v>0</v>
      </c>
      <c r="R511">
        <v>1.0986122886681098</v>
      </c>
      <c r="S511">
        <v>4.1588830833596715</v>
      </c>
      <c r="T511">
        <v>91.226666666666674</v>
      </c>
      <c r="U511">
        <v>1.418823059726001</v>
      </c>
      <c r="V511">
        <v>-0.39095273818515502</v>
      </c>
      <c r="W511">
        <v>-0.53446083104759001</v>
      </c>
      <c r="X511">
        <v>-0.40804429067029002</v>
      </c>
      <c r="Y511">
        <v>-0.56789545922357498</v>
      </c>
      <c r="Z511">
        <v>-0.94760790482486201</v>
      </c>
      <c r="AA511">
        <v>-1.0848673571571601</v>
      </c>
      <c r="AB511">
        <v>1770.5103102717287</v>
      </c>
      <c r="AC511">
        <v>0.28213528618230871</v>
      </c>
      <c r="AD511">
        <v>1.7130468298323378</v>
      </c>
      <c r="AE511">
        <v>-1.13486126839574</v>
      </c>
      <c r="AF511">
        <v>-0.819121424046238</v>
      </c>
      <c r="AG511">
        <v>0.113131006842938</v>
      </c>
      <c r="AH511">
        <v>0.11603358177614</v>
      </c>
      <c r="AI511">
        <v>-0.30029801077347701</v>
      </c>
      <c r="AJ511">
        <v>-0.11902417157042</v>
      </c>
      <c r="AK511">
        <v>47.330690599999997</v>
      </c>
      <c r="AL511">
        <v>2.8390453999999998</v>
      </c>
      <c r="AM511">
        <v>48.210666666666668</v>
      </c>
      <c r="AN511">
        <v>-1.4889999999999999</v>
      </c>
    </row>
    <row r="512" spans="1:40" x14ac:dyDescent="0.35">
      <c r="A512">
        <v>662</v>
      </c>
      <c r="B512">
        <v>72</v>
      </c>
      <c r="C512" t="s">
        <v>40</v>
      </c>
      <c r="D512" t="s">
        <v>52</v>
      </c>
      <c r="E512" t="s">
        <v>42</v>
      </c>
      <c r="F512" t="s">
        <v>49</v>
      </c>
      <c r="G512">
        <v>5</v>
      </c>
      <c r="H512">
        <v>25</v>
      </c>
      <c r="I512">
        <v>7</v>
      </c>
      <c r="J512" t="s">
        <v>50</v>
      </c>
      <c r="K512" t="s">
        <v>46</v>
      </c>
      <c r="L512" t="s">
        <v>57</v>
      </c>
      <c r="M512">
        <v>176.78838613188421</v>
      </c>
      <c r="N512">
        <v>214</v>
      </c>
      <c r="O512">
        <v>162</v>
      </c>
      <c r="P512">
        <v>152</v>
      </c>
      <c r="Q512">
        <v>0.69314718055994529</v>
      </c>
      <c r="R512">
        <v>3.6109179126442243</v>
      </c>
      <c r="S512">
        <v>5.8833223884882786</v>
      </c>
      <c r="T512">
        <v>90.922105263157903</v>
      </c>
      <c r="U512">
        <v>2.3923758041545438</v>
      </c>
      <c r="V512">
        <v>-0.399596989308249</v>
      </c>
      <c r="W512">
        <v>-0.58810405700346202</v>
      </c>
      <c r="X512">
        <v>-0.29041857108635599</v>
      </c>
      <c r="Y512">
        <v>-0.846122564821426</v>
      </c>
      <c r="Z512">
        <v>-0.92679578564836795</v>
      </c>
      <c r="AA512">
        <v>0.86332342905974202</v>
      </c>
      <c r="AB512">
        <v>2050</v>
      </c>
      <c r="AC512">
        <v>1</v>
      </c>
      <c r="AD512">
        <v>2</v>
      </c>
      <c r="AE512">
        <v>-0.51011828243844404</v>
      </c>
      <c r="AF512">
        <v>-0.98848162720626598</v>
      </c>
      <c r="AG512">
        <v>-4.2186843337180001E-2</v>
      </c>
      <c r="AH512">
        <v>-2.0543780175428799</v>
      </c>
      <c r="AI512">
        <v>-2.7971226308850645</v>
      </c>
      <c r="AJ512">
        <v>-0.62452154119931891</v>
      </c>
      <c r="AK512">
        <v>47.023905999999997</v>
      </c>
      <c r="AL512">
        <v>4.8380429999999999</v>
      </c>
      <c r="AM512">
        <v>45.445666666666661</v>
      </c>
      <c r="AN512">
        <v>4.5823333333333336</v>
      </c>
    </row>
    <row r="513" spans="1:40" x14ac:dyDescent="0.35">
      <c r="A513">
        <v>663</v>
      </c>
      <c r="B513">
        <v>72</v>
      </c>
      <c r="C513" t="s">
        <v>40</v>
      </c>
      <c r="D513" t="s">
        <v>52</v>
      </c>
      <c r="E513" t="s">
        <v>42</v>
      </c>
      <c r="F513" t="s">
        <v>49</v>
      </c>
      <c r="G513">
        <v>5</v>
      </c>
      <c r="H513">
        <v>25</v>
      </c>
      <c r="I513">
        <v>7</v>
      </c>
      <c r="J513" t="s">
        <v>50</v>
      </c>
      <c r="K513" t="s">
        <v>46</v>
      </c>
      <c r="L513" t="s">
        <v>47</v>
      </c>
      <c r="M513">
        <v>214.01571435584179</v>
      </c>
      <c r="N513">
        <v>297</v>
      </c>
      <c r="O513">
        <v>196</v>
      </c>
      <c r="P513">
        <v>235</v>
      </c>
      <c r="Q513">
        <v>5.9107966440405271</v>
      </c>
      <c r="R513">
        <v>6.4997870406558542</v>
      </c>
      <c r="S513">
        <v>8.6415324656718457</v>
      </c>
      <c r="T513">
        <v>89.265350482850479</v>
      </c>
      <c r="U513">
        <v>1.4417786561042019</v>
      </c>
      <c r="V513">
        <v>-0.22886708829074301</v>
      </c>
      <c r="W513">
        <v>0.28745285629339301</v>
      </c>
      <c r="X513">
        <v>-0.15627425222847</v>
      </c>
      <c r="Y513">
        <v>1.45226138127617</v>
      </c>
      <c r="Z513">
        <v>0.98247225355557</v>
      </c>
      <c r="AA513">
        <v>0.627775520474398</v>
      </c>
      <c r="AB513">
        <v>3362.2959371744532</v>
      </c>
      <c r="AC513">
        <v>2.8998317172850387</v>
      </c>
      <c r="AD513">
        <v>2.9499158586425196</v>
      </c>
      <c r="AE513">
        <v>1.06273170356322</v>
      </c>
      <c r="AF513">
        <v>2.0019305797755099E-2</v>
      </c>
      <c r="AG513">
        <v>0.75300325472020202</v>
      </c>
      <c r="AH513">
        <v>0.68274747623714505</v>
      </c>
      <c r="AI513">
        <v>-0.16309584719012901</v>
      </c>
      <c r="AJ513">
        <v>-1.06997365078583</v>
      </c>
      <c r="AK513">
        <v>43.3535629403058</v>
      </c>
      <c r="AL513">
        <v>3.21615314793977</v>
      </c>
      <c r="AM513">
        <v>43.087000000000003</v>
      </c>
      <c r="AN513">
        <v>5.8289999999999997</v>
      </c>
    </row>
    <row r="514" spans="1:40" x14ac:dyDescent="0.35">
      <c r="A514">
        <v>666</v>
      </c>
      <c r="B514">
        <v>42</v>
      </c>
      <c r="C514" t="s">
        <v>40</v>
      </c>
      <c r="D514" t="s">
        <v>41</v>
      </c>
      <c r="E514" t="s">
        <v>42</v>
      </c>
      <c r="F514" t="s">
        <v>43</v>
      </c>
      <c r="G514">
        <v>5</v>
      </c>
      <c r="H514">
        <v>25</v>
      </c>
      <c r="I514">
        <v>6</v>
      </c>
      <c r="J514" t="s">
        <v>50</v>
      </c>
      <c r="K514" t="s">
        <v>46</v>
      </c>
      <c r="L514" t="s">
        <v>71</v>
      </c>
      <c r="M514">
        <v>636.29165493122196</v>
      </c>
      <c r="N514">
        <v>648</v>
      </c>
      <c r="O514">
        <v>320</v>
      </c>
      <c r="P514">
        <v>235</v>
      </c>
      <c r="Q514">
        <v>4.5747109785033828</v>
      </c>
      <c r="R514">
        <v>3.5263605246161616</v>
      </c>
      <c r="S514">
        <v>5.1416635565026603</v>
      </c>
      <c r="T514">
        <v>92.265120976563693</v>
      </c>
      <c r="U514">
        <v>2.9351954657362995</v>
      </c>
      <c r="V514">
        <v>-8.3509539921858403E-2</v>
      </c>
      <c r="W514">
        <v>-8.6188355584626702E-2</v>
      </c>
      <c r="X514">
        <v>-6.2117403422328299E-2</v>
      </c>
      <c r="Y514">
        <v>-0.51135009403950604</v>
      </c>
      <c r="Z514">
        <v>-0.669554030021006</v>
      </c>
      <c r="AA514">
        <v>-1.4915282051312999</v>
      </c>
      <c r="AB514">
        <v>1813.5248996931791</v>
      </c>
      <c r="AC514">
        <v>1.6535284399339156</v>
      </c>
      <c r="AD514">
        <v>0.49421760679726223</v>
      </c>
      <c r="AE514">
        <v>-0.18520258641298501</v>
      </c>
      <c r="AF514">
        <v>0.28770313918909501</v>
      </c>
      <c r="AG514">
        <v>-0.309812887624904</v>
      </c>
      <c r="AH514">
        <v>0.67715304061034098</v>
      </c>
      <c r="AI514">
        <v>0.372978009775849</v>
      </c>
      <c r="AJ514">
        <v>1.31732974816191</v>
      </c>
      <c r="AK514">
        <v>45.071283999999999</v>
      </c>
      <c r="AL514">
        <v>4.8370730000000002</v>
      </c>
      <c r="AM514">
        <v>50.648000000000003</v>
      </c>
      <c r="AN514">
        <v>2.9649999999999999</v>
      </c>
    </row>
    <row r="515" spans="1:40" x14ac:dyDescent="0.35">
      <c r="A515">
        <v>667</v>
      </c>
      <c r="B515">
        <v>72</v>
      </c>
      <c r="C515" t="s">
        <v>48</v>
      </c>
      <c r="D515" t="s">
        <v>52</v>
      </c>
      <c r="E515" t="s">
        <v>42</v>
      </c>
      <c r="F515" t="s">
        <v>53</v>
      </c>
      <c r="G515">
        <v>4</v>
      </c>
      <c r="H515">
        <v>16</v>
      </c>
      <c r="I515">
        <v>5</v>
      </c>
      <c r="J515" t="s">
        <v>50</v>
      </c>
      <c r="K515" t="s">
        <v>46</v>
      </c>
      <c r="L515" t="s">
        <v>58</v>
      </c>
      <c r="M515">
        <v>301.38965803742968</v>
      </c>
      <c r="N515">
        <v>443</v>
      </c>
      <c r="O515">
        <v>346</v>
      </c>
      <c r="P515">
        <v>515</v>
      </c>
      <c r="Q515">
        <v>3.2580965380214821</v>
      </c>
      <c r="R515">
        <v>2.8903717578961645</v>
      </c>
      <c r="S515">
        <v>4.7535901911063645</v>
      </c>
      <c r="T515">
        <v>90.794285714285706</v>
      </c>
      <c r="U515">
        <v>0</v>
      </c>
      <c r="V515">
        <v>0.63905639120027702</v>
      </c>
      <c r="W515">
        <v>0.692565001186083</v>
      </c>
      <c r="X515">
        <v>0.56469097254324596</v>
      </c>
      <c r="Y515">
        <v>1.4483117406157899</v>
      </c>
      <c r="Z515">
        <v>1.7680602694732599</v>
      </c>
      <c r="AA515">
        <v>0.26366440732357699</v>
      </c>
      <c r="AB515">
        <v>4236</v>
      </c>
      <c r="AC515">
        <v>0</v>
      </c>
      <c r="AD515">
        <v>4</v>
      </c>
      <c r="AE515">
        <v>1.6751267091712101</v>
      </c>
      <c r="AF515">
        <v>1.46984803213139</v>
      </c>
      <c r="AG515">
        <v>-3.9726135915106403E-2</v>
      </c>
      <c r="AH515">
        <v>-0.219391457556671</v>
      </c>
      <c r="AI515">
        <v>0.775761840744847</v>
      </c>
      <c r="AJ515">
        <v>-0.44074004221308599</v>
      </c>
      <c r="AK515">
        <v>45.198478000000001</v>
      </c>
      <c r="AL515">
        <v>-0.74874399999999997</v>
      </c>
      <c r="AM515">
        <v>47.686374999999998</v>
      </c>
      <c r="AN515">
        <v>-2.299125000000001</v>
      </c>
    </row>
    <row r="516" spans="1:40" x14ac:dyDescent="0.35">
      <c r="A516">
        <v>669</v>
      </c>
      <c r="B516">
        <v>42</v>
      </c>
      <c r="C516" t="s">
        <v>40</v>
      </c>
      <c r="D516" t="s">
        <v>41</v>
      </c>
      <c r="E516" t="s">
        <v>42</v>
      </c>
      <c r="F516" t="s">
        <v>61</v>
      </c>
      <c r="G516">
        <v>4</v>
      </c>
      <c r="H516">
        <v>16</v>
      </c>
      <c r="I516">
        <v>7</v>
      </c>
      <c r="J516" t="s">
        <v>45</v>
      </c>
      <c r="K516" t="s">
        <v>46</v>
      </c>
      <c r="L516" t="s">
        <v>51</v>
      </c>
      <c r="M516">
        <v>157.82131685425651</v>
      </c>
      <c r="N516">
        <v>184</v>
      </c>
      <c r="O516">
        <v>154</v>
      </c>
      <c r="P516">
        <v>161</v>
      </c>
      <c r="Q516">
        <v>0</v>
      </c>
      <c r="R516">
        <v>1.3862943611198906</v>
      </c>
      <c r="S516">
        <v>4.3438054218536841</v>
      </c>
      <c r="T516">
        <v>91.16</v>
      </c>
      <c r="U516">
        <v>2.3174698847378039</v>
      </c>
      <c r="V516">
        <v>-0.58471966768986094</v>
      </c>
      <c r="W516">
        <v>-0.55557078097057</v>
      </c>
      <c r="X516">
        <v>-0.47566183223429498</v>
      </c>
      <c r="Y516">
        <v>-0.95884680312505799</v>
      </c>
      <c r="Z516">
        <v>-0.76521334103430205</v>
      </c>
      <c r="AA516">
        <v>-0.77245900699560299</v>
      </c>
      <c r="AB516">
        <v>1376</v>
      </c>
      <c r="AC516">
        <v>0</v>
      </c>
      <c r="AD516">
        <v>2</v>
      </c>
      <c r="AE516">
        <v>-1.2769936012368599</v>
      </c>
      <c r="AF516">
        <v>-1.2198644851751901</v>
      </c>
      <c r="AG516">
        <v>-0.53424257848795198</v>
      </c>
      <c r="AH516">
        <v>-0.86772807124351203</v>
      </c>
      <c r="AI516">
        <v>-3.19185844230371</v>
      </c>
      <c r="AJ516">
        <v>-2.6590286576779198</v>
      </c>
      <c r="AK516">
        <v>47.815207299999997</v>
      </c>
      <c r="AL516">
        <v>3.8001657</v>
      </c>
      <c r="AM516">
        <v>48.856372813999997</v>
      </c>
      <c r="AN516">
        <v>2.3525296170000001</v>
      </c>
    </row>
    <row r="517" spans="1:40" x14ac:dyDescent="0.35">
      <c r="A517">
        <v>670</v>
      </c>
      <c r="B517">
        <v>72</v>
      </c>
      <c r="C517" t="s">
        <v>48</v>
      </c>
      <c r="D517" t="s">
        <v>52</v>
      </c>
      <c r="E517" t="s">
        <v>42</v>
      </c>
      <c r="F517" t="s">
        <v>53</v>
      </c>
      <c r="G517">
        <v>4</v>
      </c>
      <c r="H517">
        <v>16</v>
      </c>
      <c r="I517">
        <v>5</v>
      </c>
      <c r="J517" t="s">
        <v>56</v>
      </c>
      <c r="K517" t="s">
        <v>46</v>
      </c>
      <c r="L517" t="s">
        <v>83</v>
      </c>
      <c r="M517">
        <v>285.71946628213112</v>
      </c>
      <c r="N517">
        <v>343</v>
      </c>
      <c r="O517">
        <v>231</v>
      </c>
      <c r="P517">
        <v>202</v>
      </c>
      <c r="Q517">
        <v>0</v>
      </c>
      <c r="R517">
        <v>0</v>
      </c>
      <c r="S517">
        <v>4.4886363697321396</v>
      </c>
      <c r="T517">
        <v>90.115111111111119</v>
      </c>
      <c r="U517">
        <v>1.2513404171152498</v>
      </c>
      <c r="V517">
        <v>-0.46152060700845399</v>
      </c>
      <c r="W517">
        <v>-0.57121975163865102</v>
      </c>
      <c r="X517">
        <v>-0.33135740862223101</v>
      </c>
      <c r="Y517">
        <v>-0.77598924050104101</v>
      </c>
      <c r="Z517">
        <v>0.47668876811384397</v>
      </c>
      <c r="AA517">
        <v>0.85617757356637403</v>
      </c>
      <c r="AB517">
        <v>2565</v>
      </c>
      <c r="AC517">
        <v>1</v>
      </c>
      <c r="AD517">
        <v>0</v>
      </c>
      <c r="AE517">
        <v>-0.72514205471140702</v>
      </c>
      <c r="AF517">
        <v>-0.56497030103887902</v>
      </c>
      <c r="AG517">
        <v>-0.70361575653908603</v>
      </c>
      <c r="AH517">
        <v>-0.62392246822424102</v>
      </c>
      <c r="AI517">
        <v>-0.79157764476935899</v>
      </c>
      <c r="AJ517">
        <v>-0.28990907859745702</v>
      </c>
      <c r="AK517">
        <v>46.839658</v>
      </c>
      <c r="AL517">
        <v>4.7189269999999999</v>
      </c>
      <c r="AM517">
        <v>48.856372813999997</v>
      </c>
      <c r="AN517">
        <v>2.3525296170000001</v>
      </c>
    </row>
    <row r="518" spans="1:40" x14ac:dyDescent="0.35">
      <c r="A518">
        <v>671</v>
      </c>
      <c r="B518">
        <v>57</v>
      </c>
      <c r="C518" t="s">
        <v>40</v>
      </c>
      <c r="D518" t="s">
        <v>41</v>
      </c>
      <c r="E518" t="s">
        <v>42</v>
      </c>
      <c r="F518" t="s">
        <v>49</v>
      </c>
      <c r="G518">
        <v>5</v>
      </c>
      <c r="H518">
        <v>25</v>
      </c>
      <c r="I518">
        <v>5</v>
      </c>
      <c r="J518" t="s">
        <v>50</v>
      </c>
      <c r="K518" t="s">
        <v>46</v>
      </c>
      <c r="L518" t="s">
        <v>74</v>
      </c>
      <c r="M518">
        <v>332.26169605668031</v>
      </c>
      <c r="N518">
        <v>427</v>
      </c>
      <c r="O518">
        <v>278</v>
      </c>
      <c r="P518">
        <v>211</v>
      </c>
      <c r="Q518">
        <v>1.6094379124341003</v>
      </c>
      <c r="R518">
        <v>2.5649493574615367</v>
      </c>
      <c r="S518">
        <v>4.8202815656050371</v>
      </c>
      <c r="T518">
        <v>91.984920634920627</v>
      </c>
      <c r="U518">
        <v>1.0351430572167302</v>
      </c>
      <c r="V518">
        <v>-0.45376679124596098</v>
      </c>
      <c r="W518">
        <v>-0.56138574648679695</v>
      </c>
      <c r="X518">
        <v>-0.92192590083580195</v>
      </c>
      <c r="Y518">
        <v>-1.17232967929859</v>
      </c>
      <c r="Z518">
        <v>-0.98267194414701198</v>
      </c>
      <c r="AA518">
        <v>-0.89586780259421905</v>
      </c>
      <c r="AB518">
        <v>1270</v>
      </c>
      <c r="AC518">
        <v>3</v>
      </c>
      <c r="AD518">
        <v>1</v>
      </c>
      <c r="AE518">
        <v>-1.1438350904766701</v>
      </c>
      <c r="AF518">
        <v>0.26787184792468999</v>
      </c>
      <c r="AG518">
        <v>0.225713575799525</v>
      </c>
      <c r="AH518">
        <v>0.22871815637154999</v>
      </c>
      <c r="AI518">
        <v>0.97069596298295502</v>
      </c>
      <c r="AJ518">
        <v>-7.7184051219009994E-2</v>
      </c>
      <c r="AK518">
        <v>46.672161000000003</v>
      </c>
      <c r="AL518">
        <v>5.558465</v>
      </c>
      <c r="AM518">
        <v>48.862000000000002</v>
      </c>
      <c r="AN518">
        <v>2.54</v>
      </c>
    </row>
    <row r="519" spans="1:40" x14ac:dyDescent="0.35">
      <c r="A519">
        <v>672</v>
      </c>
      <c r="B519">
        <v>72</v>
      </c>
      <c r="C519" t="s">
        <v>40</v>
      </c>
      <c r="D519" t="s">
        <v>66</v>
      </c>
      <c r="E519" t="s">
        <v>42</v>
      </c>
      <c r="F519" t="s">
        <v>49</v>
      </c>
      <c r="G519">
        <v>7</v>
      </c>
      <c r="H519">
        <v>49</v>
      </c>
      <c r="I519">
        <v>7</v>
      </c>
      <c r="J519" t="s">
        <v>50</v>
      </c>
      <c r="K519" t="s">
        <v>46</v>
      </c>
      <c r="L519" t="s">
        <v>55</v>
      </c>
      <c r="M519">
        <v>379.40698391777141</v>
      </c>
      <c r="N519">
        <v>492</v>
      </c>
      <c r="O519">
        <v>357</v>
      </c>
      <c r="P519">
        <v>146</v>
      </c>
      <c r="Q519">
        <v>2.0794415416798357</v>
      </c>
      <c r="R519">
        <v>2.3025850929940459</v>
      </c>
      <c r="S519">
        <v>3.2580965380214821</v>
      </c>
      <c r="T519">
        <v>95.12</v>
      </c>
      <c r="U519">
        <v>0</v>
      </c>
      <c r="V519">
        <v>1.89305099905856</v>
      </c>
      <c r="W519">
        <v>0.59880690621441701</v>
      </c>
      <c r="X519">
        <v>1.1856460040685599</v>
      </c>
      <c r="Y519">
        <v>-0.15565097555555901</v>
      </c>
      <c r="Z519">
        <v>-0.22748295097212001</v>
      </c>
      <c r="AA519">
        <v>1.0415013010201299</v>
      </c>
      <c r="AB519">
        <v>2939.9504036908884</v>
      </c>
      <c r="AC519">
        <v>2</v>
      </c>
      <c r="AD519">
        <v>0.42868127643214149</v>
      </c>
      <c r="AE519">
        <v>-2.40641039566141E-2</v>
      </c>
      <c r="AF519">
        <v>0.39620106471430899</v>
      </c>
      <c r="AG519">
        <v>-1.8570003287518799E-2</v>
      </c>
      <c r="AH519">
        <v>-2.7841683924787905E-2</v>
      </c>
      <c r="AI519">
        <v>-1.0225927444563401</v>
      </c>
      <c r="AJ519">
        <v>0.28353269622518101</v>
      </c>
      <c r="AK519">
        <v>48.0777517</v>
      </c>
      <c r="AL519">
        <v>7.3579641000000002</v>
      </c>
      <c r="AM519">
        <v>48.856372813999997</v>
      </c>
      <c r="AN519">
        <v>2.3525296170000001</v>
      </c>
    </row>
    <row r="520" spans="1:40" x14ac:dyDescent="0.35">
      <c r="A520">
        <v>673</v>
      </c>
      <c r="B520">
        <v>72</v>
      </c>
      <c r="C520" t="s">
        <v>40</v>
      </c>
      <c r="D520" t="s">
        <v>52</v>
      </c>
      <c r="E520" t="s">
        <v>42</v>
      </c>
      <c r="F520" t="s">
        <v>61</v>
      </c>
      <c r="G520">
        <v>4</v>
      </c>
      <c r="H520">
        <v>16</v>
      </c>
      <c r="I520">
        <v>7</v>
      </c>
      <c r="J520" t="s">
        <v>56</v>
      </c>
      <c r="K520" t="s">
        <v>46</v>
      </c>
      <c r="L520" t="s">
        <v>72</v>
      </c>
      <c r="M520">
        <v>468.71904374563718</v>
      </c>
      <c r="N520">
        <v>531</v>
      </c>
      <c r="O520">
        <v>280</v>
      </c>
      <c r="P520">
        <v>361</v>
      </c>
      <c r="Q520">
        <v>0.69314718055994529</v>
      </c>
      <c r="R520">
        <v>1.3862943611198906</v>
      </c>
      <c r="S520">
        <v>4.5538768916005408</v>
      </c>
      <c r="T520">
        <v>89.340161030595823</v>
      </c>
      <c r="U520">
        <v>1.4712304197281412</v>
      </c>
      <c r="V520">
        <v>0.59716251398508702</v>
      </c>
      <c r="W520">
        <v>0.91068296986709796</v>
      </c>
      <c r="X520">
        <v>1.2273243988355</v>
      </c>
      <c r="Y520">
        <v>-0.4121809470949</v>
      </c>
      <c r="Z520">
        <v>-0.86472582726521097</v>
      </c>
      <c r="AA520">
        <v>-1.0172779374790899</v>
      </c>
      <c r="AB520">
        <v>1828.1689246701658</v>
      </c>
      <c r="AC520">
        <v>1.1127464888636687</v>
      </c>
      <c r="AD520">
        <v>1.8630656830756136</v>
      </c>
      <c r="AE520">
        <v>-0.53926882203722504</v>
      </c>
      <c r="AF520">
        <v>-0.111813775843809</v>
      </c>
      <c r="AG520">
        <v>0.35249932948520002</v>
      </c>
      <c r="AH520">
        <v>-0.69150055500519703</v>
      </c>
      <c r="AI520">
        <v>-0.29966945274018703</v>
      </c>
      <c r="AJ520">
        <v>-1.9479616690772401</v>
      </c>
      <c r="AK520">
        <v>44.853456999999999</v>
      </c>
      <c r="AL520">
        <v>0.48753099999999999</v>
      </c>
      <c r="AM520">
        <v>48.884999999999998</v>
      </c>
      <c r="AN520">
        <v>2.266</v>
      </c>
    </row>
    <row r="521" spans="1:40" x14ac:dyDescent="0.35">
      <c r="A521">
        <v>674</v>
      </c>
      <c r="B521">
        <v>72</v>
      </c>
      <c r="C521" t="s">
        <v>40</v>
      </c>
      <c r="D521" t="s">
        <v>52</v>
      </c>
      <c r="E521" t="s">
        <v>42</v>
      </c>
      <c r="F521" t="s">
        <v>49</v>
      </c>
      <c r="G521">
        <v>4</v>
      </c>
      <c r="H521">
        <v>16</v>
      </c>
      <c r="I521">
        <v>4</v>
      </c>
      <c r="J521" t="s">
        <v>50</v>
      </c>
      <c r="K521" t="s">
        <v>46</v>
      </c>
      <c r="L521" t="s">
        <v>71</v>
      </c>
      <c r="M521">
        <v>524.7581922936273</v>
      </c>
      <c r="N521">
        <v>343</v>
      </c>
      <c r="O521">
        <v>200</v>
      </c>
      <c r="P521">
        <v>188</v>
      </c>
      <c r="Q521">
        <v>4.5747109785033828</v>
      </c>
      <c r="R521">
        <v>3.5263605246161616</v>
      </c>
      <c r="S521">
        <v>5.1416635565026603</v>
      </c>
      <c r="T521">
        <v>92.265120976563693</v>
      </c>
      <c r="U521">
        <v>2.9351954657362995</v>
      </c>
      <c r="V521">
        <v>-8.3509539921858403E-2</v>
      </c>
      <c r="W521">
        <v>-8.6188355584626702E-2</v>
      </c>
      <c r="X521">
        <v>-6.2117403422328299E-2</v>
      </c>
      <c r="Y521">
        <v>-0.51135009403950604</v>
      </c>
      <c r="Z521">
        <v>-0.669554030021006</v>
      </c>
      <c r="AA521">
        <v>-1.4915282051312999</v>
      </c>
      <c r="AB521">
        <v>1813.5248996931791</v>
      </c>
      <c r="AC521">
        <v>1.6535284399339156</v>
      </c>
      <c r="AD521">
        <v>0.49421760679726223</v>
      </c>
      <c r="AE521">
        <v>-0.18520258641298501</v>
      </c>
      <c r="AF521">
        <v>0.47893311883523199</v>
      </c>
      <c r="AG521">
        <v>-0.52878866966442795</v>
      </c>
      <c r="AH521">
        <v>2.2536347680339401E-2</v>
      </c>
      <c r="AI521">
        <v>-5.4154912313425299E-2</v>
      </c>
      <c r="AJ521">
        <v>-1.3270874025673101</v>
      </c>
      <c r="AK521">
        <v>45.071283999999999</v>
      </c>
      <c r="AL521">
        <v>4.8370730000000002</v>
      </c>
      <c r="AM521">
        <v>49.493047619047609</v>
      </c>
      <c r="AN521">
        <v>2.4257619047619046</v>
      </c>
    </row>
    <row r="522" spans="1:40" x14ac:dyDescent="0.35">
      <c r="A522">
        <v>675</v>
      </c>
      <c r="B522">
        <v>57</v>
      </c>
      <c r="C522" t="s">
        <v>40</v>
      </c>
      <c r="D522" t="s">
        <v>41</v>
      </c>
      <c r="E522" t="s">
        <v>42</v>
      </c>
      <c r="F522" t="s">
        <v>49</v>
      </c>
      <c r="G522">
        <v>7</v>
      </c>
      <c r="H522">
        <v>49</v>
      </c>
      <c r="I522">
        <v>3</v>
      </c>
      <c r="J522" t="s">
        <v>50</v>
      </c>
      <c r="K522" t="s">
        <v>46</v>
      </c>
      <c r="L522" t="s">
        <v>69</v>
      </c>
      <c r="M522">
        <v>260.27826291100979</v>
      </c>
      <c r="N522">
        <v>451</v>
      </c>
      <c r="O522">
        <v>240</v>
      </c>
      <c r="P522">
        <v>230</v>
      </c>
      <c r="Q522">
        <v>2.3978952727983707</v>
      </c>
      <c r="R522">
        <v>4.5538768916005408</v>
      </c>
      <c r="S522">
        <v>5.4847969334906548</v>
      </c>
      <c r="T522">
        <v>93.296000000000006</v>
      </c>
      <c r="U522">
        <v>2.2325431437911538</v>
      </c>
      <c r="V522">
        <v>-0.44922684044461197</v>
      </c>
      <c r="W522">
        <v>-0.76855194782346203</v>
      </c>
      <c r="X522">
        <v>-0.44700324392789598</v>
      </c>
      <c r="Y522">
        <v>-0.846122564821426</v>
      </c>
      <c r="Z522">
        <v>-0.92679578564836795</v>
      </c>
      <c r="AA522">
        <v>0.86332342905974202</v>
      </c>
      <c r="AB522">
        <v>2050</v>
      </c>
      <c r="AC522">
        <v>1</v>
      </c>
      <c r="AD522">
        <v>2</v>
      </c>
      <c r="AE522">
        <v>-0.51011828243844404</v>
      </c>
      <c r="AF522">
        <v>1.4026173755565301</v>
      </c>
      <c r="AG522">
        <v>-0.18137056195130299</v>
      </c>
      <c r="AH522">
        <v>0.96406389580826701</v>
      </c>
      <c r="AI522">
        <v>0.81713031583588502</v>
      </c>
      <c r="AJ522">
        <v>0.442455059569827</v>
      </c>
      <c r="AK522">
        <v>47.177235000000003</v>
      </c>
      <c r="AL522">
        <v>4.964315</v>
      </c>
      <c r="AM522">
        <v>48.862000000000002</v>
      </c>
      <c r="AN522">
        <v>2.54</v>
      </c>
    </row>
    <row r="523" spans="1:40" x14ac:dyDescent="0.35">
      <c r="A523">
        <v>676</v>
      </c>
      <c r="B523">
        <v>72</v>
      </c>
      <c r="C523" t="s">
        <v>40</v>
      </c>
      <c r="D523" t="s">
        <v>52</v>
      </c>
      <c r="E523" t="s">
        <v>42</v>
      </c>
      <c r="F523" t="s">
        <v>49</v>
      </c>
      <c r="G523">
        <v>4</v>
      </c>
      <c r="H523">
        <v>16</v>
      </c>
      <c r="I523">
        <v>5</v>
      </c>
      <c r="J523" t="s">
        <v>56</v>
      </c>
      <c r="K523" t="s">
        <v>46</v>
      </c>
      <c r="L523" t="s">
        <v>70</v>
      </c>
      <c r="M523">
        <v>357.80697366011958</v>
      </c>
      <c r="N523">
        <v>473</v>
      </c>
      <c r="O523">
        <v>321</v>
      </c>
      <c r="P523">
        <v>387</v>
      </c>
      <c r="Q523">
        <v>0</v>
      </c>
      <c r="R523">
        <v>0</v>
      </c>
      <c r="S523">
        <v>5.3230099791384085</v>
      </c>
      <c r="T523">
        <v>90.615999999999985</v>
      </c>
      <c r="U523">
        <v>1.11573792223403</v>
      </c>
      <c r="V523">
        <v>0.80288722813325297</v>
      </c>
      <c r="W523">
        <v>0.52082154240315903</v>
      </c>
      <c r="X523">
        <v>0.61908815691345198</v>
      </c>
      <c r="Y523">
        <v>1.5007680231051199</v>
      </c>
      <c r="Z523">
        <v>0.24292628533916899</v>
      </c>
      <c r="AA523">
        <v>8.5217386942517098E-2</v>
      </c>
      <c r="AB523">
        <v>3943</v>
      </c>
      <c r="AC523">
        <v>0</v>
      </c>
      <c r="AD523">
        <v>1</v>
      </c>
      <c r="AE523">
        <v>1.1088815174583</v>
      </c>
      <c r="AF523">
        <v>0.28085858682709502</v>
      </c>
      <c r="AG523">
        <v>0.95786481891770303</v>
      </c>
      <c r="AH523">
        <v>0.55739872034314797</v>
      </c>
      <c r="AI523">
        <v>-3.1346683845664497E-2</v>
      </c>
      <c r="AJ523">
        <v>0.897364001698854</v>
      </c>
      <c r="AK523">
        <v>46.098678999999997</v>
      </c>
      <c r="AL523">
        <v>4.7359530000000003</v>
      </c>
      <c r="AM523">
        <v>48.570999999999998</v>
      </c>
      <c r="AN523">
        <v>7.7679999999999998</v>
      </c>
    </row>
    <row r="524" spans="1:40" x14ac:dyDescent="0.35">
      <c r="A524">
        <v>677</v>
      </c>
      <c r="B524">
        <v>72</v>
      </c>
      <c r="C524" t="s">
        <v>48</v>
      </c>
      <c r="D524" t="s">
        <v>52</v>
      </c>
      <c r="E524" t="s">
        <v>82</v>
      </c>
      <c r="F524" t="s">
        <v>49</v>
      </c>
      <c r="G524">
        <v>5</v>
      </c>
      <c r="H524">
        <v>25</v>
      </c>
      <c r="I524">
        <v>5</v>
      </c>
      <c r="J524" t="s">
        <v>50</v>
      </c>
      <c r="K524" t="s">
        <v>46</v>
      </c>
      <c r="L524" t="s">
        <v>62</v>
      </c>
      <c r="M524">
        <v>405.91938231370881</v>
      </c>
      <c r="N524">
        <v>0</v>
      </c>
      <c r="O524">
        <v>0</v>
      </c>
      <c r="P524">
        <v>0</v>
      </c>
      <c r="Q524">
        <v>0.69314718055994529</v>
      </c>
      <c r="R524">
        <v>3.2580965380214821</v>
      </c>
      <c r="S524">
        <v>3.2580965380214821</v>
      </c>
      <c r="T524">
        <v>95.68</v>
      </c>
      <c r="U524">
        <v>0</v>
      </c>
      <c r="V524">
        <v>1.82802042479695</v>
      </c>
      <c r="W524">
        <v>0.99424279543483596</v>
      </c>
      <c r="X524">
        <v>0.99177342203587404</v>
      </c>
      <c r="Y524">
        <v>-0.96278755162326501</v>
      </c>
      <c r="Z524">
        <v>-0.75605764486205096</v>
      </c>
      <c r="AA524">
        <v>-0.80037586101695801</v>
      </c>
      <c r="AB524">
        <v>2092.91</v>
      </c>
      <c r="AC524">
        <v>0</v>
      </c>
      <c r="AD524">
        <v>2.1</v>
      </c>
      <c r="AE524">
        <v>-1.0768626388726401</v>
      </c>
      <c r="AF524">
        <v>-0.76509076170023804</v>
      </c>
      <c r="AG524">
        <v>9.5841617139127297E-2</v>
      </c>
      <c r="AH524">
        <v>1.17960042940749</v>
      </c>
      <c r="AI524">
        <v>0.58724726873492705</v>
      </c>
      <c r="AJ524">
        <v>-2.0169102427112202</v>
      </c>
      <c r="AK524">
        <v>49.042560999999999</v>
      </c>
      <c r="AL524">
        <v>3.9528660000000002</v>
      </c>
      <c r="AM524">
        <v>46.799817441999998</v>
      </c>
      <c r="AN524">
        <v>8.2450240959999999</v>
      </c>
    </row>
    <row r="525" spans="1:40" x14ac:dyDescent="0.35">
      <c r="A525">
        <v>678</v>
      </c>
      <c r="B525">
        <v>42</v>
      </c>
      <c r="C525" t="s">
        <v>40</v>
      </c>
      <c r="D525" t="s">
        <v>41</v>
      </c>
      <c r="E525" t="s">
        <v>42</v>
      </c>
      <c r="F525" t="s">
        <v>43</v>
      </c>
      <c r="G525">
        <v>5</v>
      </c>
      <c r="H525">
        <v>25</v>
      </c>
      <c r="I525">
        <v>4</v>
      </c>
      <c r="J525" t="s">
        <v>56</v>
      </c>
      <c r="K525" t="s">
        <v>46</v>
      </c>
      <c r="L525" t="s">
        <v>55</v>
      </c>
      <c r="M525">
        <v>54.697703517839962</v>
      </c>
      <c r="N525">
        <v>88</v>
      </c>
      <c r="O525">
        <v>65</v>
      </c>
      <c r="P525">
        <v>125</v>
      </c>
      <c r="Q525">
        <v>2.0794415416798357</v>
      </c>
      <c r="R525">
        <v>2.3025850929940459</v>
      </c>
      <c r="S525">
        <v>3.2580965380214821</v>
      </c>
      <c r="T525">
        <v>95.12</v>
      </c>
      <c r="U525">
        <v>0</v>
      </c>
      <c r="V525">
        <v>1.89305099905856</v>
      </c>
      <c r="W525">
        <v>0.59880690621441701</v>
      </c>
      <c r="X525">
        <v>1.1856460040685599</v>
      </c>
      <c r="Y525">
        <v>-0.15565097555555901</v>
      </c>
      <c r="Z525">
        <v>-0.22748295097212001</v>
      </c>
      <c r="AA525">
        <v>1.0415013010201299</v>
      </c>
      <c r="AB525">
        <v>2939.9504036908884</v>
      </c>
      <c r="AC525">
        <v>2</v>
      </c>
      <c r="AD525">
        <v>0.42868127643214149</v>
      </c>
      <c r="AE525">
        <v>-2.40641039566141E-2</v>
      </c>
      <c r="AF525">
        <v>-1.0768262212572199</v>
      </c>
      <c r="AG525">
        <v>5.1968792788986203E-2</v>
      </c>
      <c r="AH525">
        <v>0.109258941965986</v>
      </c>
      <c r="AI525">
        <v>-0.54962285250419696</v>
      </c>
      <c r="AJ525">
        <v>-1.06466542372936</v>
      </c>
      <c r="AK525">
        <v>48.0777517</v>
      </c>
      <c r="AL525">
        <v>7.3579641000000002</v>
      </c>
      <c r="AM525">
        <v>47.601999999999997</v>
      </c>
      <c r="AN525">
        <v>7.5410000000000004</v>
      </c>
    </row>
    <row r="526" spans="1:40" x14ac:dyDescent="0.35">
      <c r="A526">
        <v>680</v>
      </c>
      <c r="B526">
        <v>72</v>
      </c>
      <c r="C526" t="s">
        <v>40</v>
      </c>
      <c r="D526" t="s">
        <v>52</v>
      </c>
      <c r="E526" t="s">
        <v>42</v>
      </c>
      <c r="F526" t="s">
        <v>49</v>
      </c>
      <c r="G526">
        <v>6</v>
      </c>
      <c r="H526">
        <v>36</v>
      </c>
      <c r="I526">
        <v>6</v>
      </c>
      <c r="J526" t="s">
        <v>50</v>
      </c>
      <c r="K526" t="s">
        <v>46</v>
      </c>
      <c r="L526" t="s">
        <v>65</v>
      </c>
      <c r="M526">
        <v>69.395404774209538</v>
      </c>
      <c r="N526">
        <v>423</v>
      </c>
      <c r="O526">
        <v>220</v>
      </c>
      <c r="P526">
        <v>168</v>
      </c>
      <c r="Q526">
        <v>0</v>
      </c>
      <c r="R526">
        <v>0</v>
      </c>
      <c r="S526">
        <v>4.4543472962535073</v>
      </c>
      <c r="T526">
        <v>89.333044733044744</v>
      </c>
      <c r="U526">
        <v>1.2554235437523662</v>
      </c>
      <c r="V526">
        <v>1.64975517953679</v>
      </c>
      <c r="W526">
        <v>2.4220969657957299</v>
      </c>
      <c r="X526">
        <v>1.68128863126442</v>
      </c>
      <c r="Y526">
        <v>2.0553398017137301</v>
      </c>
      <c r="Z526">
        <v>2.0921400018840099</v>
      </c>
      <c r="AA526">
        <v>2.0596698968962701</v>
      </c>
      <c r="AB526">
        <v>3262.71</v>
      </c>
      <c r="AC526">
        <v>0.33</v>
      </c>
      <c r="AD526">
        <v>0.66</v>
      </c>
      <c r="AE526">
        <v>1.9221838973381</v>
      </c>
      <c r="AF526">
        <v>-0.38100984180978797</v>
      </c>
      <c r="AG526">
        <v>0.51444560097006498</v>
      </c>
      <c r="AH526">
        <v>-2.9713312812080304E-2</v>
      </c>
      <c r="AI526">
        <v>4.4846441500993199E-2</v>
      </c>
      <c r="AJ526">
        <v>-0.14056401314150799</v>
      </c>
      <c r="AK526">
        <v>43.537466000000002</v>
      </c>
      <c r="AL526">
        <v>6.4627330000000001</v>
      </c>
      <c r="AM526">
        <v>43.822571428571429</v>
      </c>
      <c r="AN526">
        <v>7.229285714285715</v>
      </c>
    </row>
    <row r="527" spans="1:40" x14ac:dyDescent="0.35">
      <c r="A527">
        <v>681</v>
      </c>
      <c r="B527">
        <v>72</v>
      </c>
      <c r="C527" t="s">
        <v>40</v>
      </c>
      <c r="D527" t="s">
        <v>52</v>
      </c>
      <c r="E527" t="s">
        <v>42</v>
      </c>
      <c r="F527" t="s">
        <v>43</v>
      </c>
      <c r="G527">
        <v>3</v>
      </c>
      <c r="H527">
        <v>9</v>
      </c>
      <c r="I527">
        <v>3</v>
      </c>
      <c r="J527" t="s">
        <v>50</v>
      </c>
      <c r="K527" t="s">
        <v>46</v>
      </c>
      <c r="L527" t="s">
        <v>71</v>
      </c>
      <c r="M527">
        <v>461.63476637503351</v>
      </c>
      <c r="N527">
        <v>576</v>
      </c>
      <c r="O527">
        <v>343</v>
      </c>
      <c r="P527">
        <v>373</v>
      </c>
      <c r="Q527">
        <v>4.5747109785033828</v>
      </c>
      <c r="R527">
        <v>3.5263605246161616</v>
      </c>
      <c r="S527">
        <v>5.1416635565026603</v>
      </c>
      <c r="T527">
        <v>92.265120976563693</v>
      </c>
      <c r="U527">
        <v>2.9351954657362995</v>
      </c>
      <c r="V527">
        <v>-8.3509539921858403E-2</v>
      </c>
      <c r="W527">
        <v>-8.6188355584626702E-2</v>
      </c>
      <c r="X527">
        <v>-6.2117403422328299E-2</v>
      </c>
      <c r="Y527">
        <v>-0.51135009403950604</v>
      </c>
      <c r="Z527">
        <v>-0.669554030021006</v>
      </c>
      <c r="AA527">
        <v>-1.4915282051312999</v>
      </c>
      <c r="AB527">
        <v>1813.5248996931791</v>
      </c>
      <c r="AC527">
        <v>1.6535284399339156</v>
      </c>
      <c r="AD527">
        <v>0.49421760679726223</v>
      </c>
      <c r="AE527">
        <v>-0.18520258641298501</v>
      </c>
      <c r="AF527">
        <v>-0.63548155162359699</v>
      </c>
      <c r="AG527">
        <v>0.93138217274313395</v>
      </c>
      <c r="AH527">
        <v>-4.3889541600477602E-2</v>
      </c>
      <c r="AI527">
        <v>-2.6476956984752199E-2</v>
      </c>
      <c r="AJ527">
        <v>5.9501493995411103E-2</v>
      </c>
      <c r="AK527">
        <v>45.071283999999999</v>
      </c>
      <c r="AL527">
        <v>4.8370730000000002</v>
      </c>
      <c r="AM527">
        <v>48.856372813999997</v>
      </c>
      <c r="AN527">
        <v>2.3525296170000001</v>
      </c>
    </row>
    <row r="528" spans="1:40" x14ac:dyDescent="0.35">
      <c r="A528">
        <v>683</v>
      </c>
      <c r="B528">
        <v>72</v>
      </c>
      <c r="C528" t="s">
        <v>40</v>
      </c>
      <c r="D528" t="s">
        <v>41</v>
      </c>
      <c r="E528" t="s">
        <v>82</v>
      </c>
      <c r="F528" t="s">
        <v>49</v>
      </c>
      <c r="G528">
        <v>6</v>
      </c>
      <c r="H528">
        <v>36</v>
      </c>
      <c r="I528">
        <v>7</v>
      </c>
      <c r="J528" t="s">
        <v>50</v>
      </c>
      <c r="K528" t="s">
        <v>46</v>
      </c>
      <c r="L528" t="s">
        <v>47</v>
      </c>
      <c r="M528">
        <v>748.00074036825094</v>
      </c>
      <c r="N528">
        <v>344</v>
      </c>
      <c r="O528">
        <v>222</v>
      </c>
      <c r="P528">
        <v>173</v>
      </c>
      <c r="Q528">
        <v>5.9107966440405271</v>
      </c>
      <c r="R528">
        <v>6.4997870406558542</v>
      </c>
      <c r="S528">
        <v>8.6415324656718457</v>
      </c>
      <c r="T528">
        <v>89.265350482850479</v>
      </c>
      <c r="U528">
        <v>1.4417786561042019</v>
      </c>
      <c r="V528">
        <v>-0.22886708829074301</v>
      </c>
      <c r="W528">
        <v>0.28745285629339301</v>
      </c>
      <c r="X528">
        <v>-0.15627425222847</v>
      </c>
      <c r="Y528">
        <v>1.45226138127617</v>
      </c>
      <c r="Z528">
        <v>0.98247225355557</v>
      </c>
      <c r="AA528">
        <v>0.627775520474398</v>
      </c>
      <c r="AB528">
        <v>3362.2959371744532</v>
      </c>
      <c r="AC528">
        <v>2.8998317172850387</v>
      </c>
      <c r="AD528">
        <v>2.9499158586425196</v>
      </c>
      <c r="AE528">
        <v>1.06273170356322</v>
      </c>
      <c r="AF528">
        <v>1.2963556098687199</v>
      </c>
      <c r="AG528">
        <v>0.92942679236036896</v>
      </c>
      <c r="AH528">
        <v>0.86917526493517305</v>
      </c>
      <c r="AI528">
        <v>0.48030545497096999</v>
      </c>
      <c r="AJ528">
        <v>0.75235804329361</v>
      </c>
      <c r="AK528">
        <v>43.3535629403058</v>
      </c>
      <c r="AL528">
        <v>3.21615314793977</v>
      </c>
      <c r="AM528">
        <v>49.776828428999998</v>
      </c>
      <c r="AN528">
        <v>6.0923252469999998</v>
      </c>
    </row>
    <row r="529" spans="1:40" x14ac:dyDescent="0.35">
      <c r="A529">
        <v>684</v>
      </c>
      <c r="B529">
        <v>72</v>
      </c>
      <c r="C529" t="s">
        <v>40</v>
      </c>
      <c r="D529" t="s">
        <v>52</v>
      </c>
      <c r="E529" t="s">
        <v>42</v>
      </c>
      <c r="F529" t="s">
        <v>61</v>
      </c>
      <c r="G529">
        <v>3</v>
      </c>
      <c r="H529">
        <v>9</v>
      </c>
      <c r="I529">
        <v>3</v>
      </c>
      <c r="J529" t="s">
        <v>56</v>
      </c>
      <c r="K529" t="s">
        <v>46</v>
      </c>
      <c r="L529" t="s">
        <v>55</v>
      </c>
      <c r="M529">
        <v>240.8455860390755</v>
      </c>
      <c r="N529">
        <v>585</v>
      </c>
      <c r="O529">
        <v>378</v>
      </c>
      <c r="P529">
        <v>163</v>
      </c>
      <c r="Q529">
        <v>2.0794415416798357</v>
      </c>
      <c r="R529">
        <v>2.3025850929940459</v>
      </c>
      <c r="S529">
        <v>3.2580965380214821</v>
      </c>
      <c r="T529">
        <v>95.12</v>
      </c>
      <c r="U529">
        <v>0</v>
      </c>
      <c r="V529">
        <v>1.89305099905856</v>
      </c>
      <c r="W529">
        <v>0.59880690621441701</v>
      </c>
      <c r="X529">
        <v>1.1856460040685599</v>
      </c>
      <c r="Y529">
        <v>-0.15565097555555901</v>
      </c>
      <c r="Z529">
        <v>-0.22748295097212001</v>
      </c>
      <c r="AA529">
        <v>1.0415013010201299</v>
      </c>
      <c r="AB529">
        <v>2939.9504036908884</v>
      </c>
      <c r="AC529">
        <v>2</v>
      </c>
      <c r="AD529">
        <v>0.42868127643214149</v>
      </c>
      <c r="AE529">
        <v>-2.40641039566141E-2</v>
      </c>
      <c r="AF529">
        <v>-0.65444783336311096</v>
      </c>
      <c r="AG529">
        <v>-1.8707738110221099</v>
      </c>
      <c r="AH529">
        <v>-0.91507236852280405</v>
      </c>
      <c r="AI529">
        <v>-0.33986180564445201</v>
      </c>
      <c r="AJ529">
        <v>-1.14974858548087</v>
      </c>
      <c r="AK529">
        <v>48.0777517</v>
      </c>
      <c r="AL529">
        <v>7.3579641000000002</v>
      </c>
      <c r="AM529">
        <v>46.751399999999997</v>
      </c>
      <c r="AN529">
        <v>4.8315999999999999</v>
      </c>
    </row>
    <row r="530" spans="1:40" x14ac:dyDescent="0.35">
      <c r="A530">
        <v>686</v>
      </c>
      <c r="B530">
        <v>57</v>
      </c>
      <c r="C530" t="s">
        <v>40</v>
      </c>
      <c r="D530" t="s">
        <v>41</v>
      </c>
      <c r="E530" t="s">
        <v>42</v>
      </c>
      <c r="F530" t="s">
        <v>43</v>
      </c>
      <c r="G530">
        <v>4</v>
      </c>
      <c r="H530">
        <v>16</v>
      </c>
      <c r="I530">
        <v>5</v>
      </c>
      <c r="J530" t="s">
        <v>45</v>
      </c>
      <c r="K530" t="s">
        <v>46</v>
      </c>
      <c r="L530" t="s">
        <v>73</v>
      </c>
      <c r="M530">
        <v>513.30142166019823</v>
      </c>
      <c r="N530">
        <v>459</v>
      </c>
      <c r="O530">
        <v>240</v>
      </c>
      <c r="P530">
        <v>243</v>
      </c>
      <c r="Q530">
        <v>1.9459101490553132</v>
      </c>
      <c r="R530">
        <v>2.9444389791664403</v>
      </c>
      <c r="S530">
        <v>4.2626798770413155</v>
      </c>
      <c r="T530">
        <v>91.872500000000002</v>
      </c>
      <c r="U530">
        <v>2.0033201607997366</v>
      </c>
      <c r="V530">
        <v>7.5580716531248995E-2</v>
      </c>
      <c r="W530">
        <v>0.203376316306385</v>
      </c>
      <c r="X530">
        <v>0.143329752535333</v>
      </c>
      <c r="Y530">
        <v>1.4483117406157899</v>
      </c>
      <c r="Z530">
        <v>1.7680602694732599</v>
      </c>
      <c r="AA530">
        <v>0.26366440732357699</v>
      </c>
      <c r="AB530">
        <v>4236</v>
      </c>
      <c r="AC530">
        <v>0</v>
      </c>
      <c r="AD530">
        <v>4</v>
      </c>
      <c r="AE530">
        <v>1.6751267091712101</v>
      </c>
      <c r="AF530">
        <v>0.122889760011199</v>
      </c>
      <c r="AG530">
        <v>4.7756277428623803E-2</v>
      </c>
      <c r="AH530">
        <v>-5.8409410807281403E-2</v>
      </c>
      <c r="AI530">
        <v>-0.53893043880139002</v>
      </c>
      <c r="AJ530">
        <v>-0.32030763453321198</v>
      </c>
      <c r="AK530">
        <v>44.686388999999998</v>
      </c>
      <c r="AL530">
        <v>-0.52383800000000003</v>
      </c>
      <c r="AM530">
        <v>48.856372813999997</v>
      </c>
      <c r="AN530">
        <v>2.3525296170000001</v>
      </c>
    </row>
    <row r="531" spans="1:40" x14ac:dyDescent="0.35">
      <c r="A531">
        <v>687</v>
      </c>
      <c r="B531">
        <v>72</v>
      </c>
      <c r="C531" t="s">
        <v>40</v>
      </c>
      <c r="D531" t="s">
        <v>52</v>
      </c>
      <c r="E531" t="s">
        <v>42</v>
      </c>
      <c r="F531" t="s">
        <v>49</v>
      </c>
      <c r="G531">
        <v>5</v>
      </c>
      <c r="H531">
        <v>25</v>
      </c>
      <c r="I531">
        <v>5</v>
      </c>
      <c r="J531" t="s">
        <v>45</v>
      </c>
      <c r="K531" t="s">
        <v>46</v>
      </c>
      <c r="L531" t="s">
        <v>69</v>
      </c>
      <c r="M531">
        <v>381.34748536831012</v>
      </c>
      <c r="N531">
        <v>360</v>
      </c>
      <c r="O531">
        <v>231</v>
      </c>
      <c r="P531">
        <v>223</v>
      </c>
      <c r="Q531">
        <v>2.3978952727983707</v>
      </c>
      <c r="R531">
        <v>4.5538768916005408</v>
      </c>
      <c r="S531">
        <v>5.4847969334906548</v>
      </c>
      <c r="T531">
        <v>93.296000000000006</v>
      </c>
      <c r="U531">
        <v>2.2325431437911538</v>
      </c>
      <c r="V531">
        <v>-0.44922684044461197</v>
      </c>
      <c r="W531">
        <v>-0.76855194782346203</v>
      </c>
      <c r="X531">
        <v>-0.44700324392789598</v>
      </c>
      <c r="Y531">
        <v>-0.846122564821426</v>
      </c>
      <c r="Z531">
        <v>-0.92679578564836795</v>
      </c>
      <c r="AA531">
        <v>0.86332342905974202</v>
      </c>
      <c r="AB531">
        <v>2050</v>
      </c>
      <c r="AC531">
        <v>1</v>
      </c>
      <c r="AD531">
        <v>2</v>
      </c>
      <c r="AE531">
        <v>-0.51011828243844404</v>
      </c>
      <c r="AF531">
        <v>1.39642273219281</v>
      </c>
      <c r="AG531">
        <v>-1.24228881756832</v>
      </c>
      <c r="AH531">
        <v>-0.460385935040178</v>
      </c>
      <c r="AI531">
        <v>-1.25313402819706</v>
      </c>
      <c r="AJ531">
        <v>-1.3135829049074701</v>
      </c>
      <c r="AK531">
        <v>47.177235000000003</v>
      </c>
      <c r="AL531">
        <v>4.964315</v>
      </c>
      <c r="AM531">
        <v>49.442206599999999</v>
      </c>
      <c r="AN531">
        <v>1.0985132</v>
      </c>
    </row>
    <row r="532" spans="1:40" x14ac:dyDescent="0.35">
      <c r="A532">
        <v>688</v>
      </c>
      <c r="B532">
        <v>57</v>
      </c>
      <c r="C532" t="s">
        <v>40</v>
      </c>
      <c r="D532" t="s">
        <v>41</v>
      </c>
      <c r="E532" t="s">
        <v>42</v>
      </c>
      <c r="F532" t="s">
        <v>49</v>
      </c>
      <c r="G532">
        <v>4</v>
      </c>
      <c r="H532">
        <v>16</v>
      </c>
      <c r="I532">
        <v>5</v>
      </c>
      <c r="J532" t="s">
        <v>50</v>
      </c>
      <c r="K532" t="s">
        <v>46</v>
      </c>
      <c r="L532" t="s">
        <v>83</v>
      </c>
      <c r="M532">
        <v>287.11090724900282</v>
      </c>
      <c r="N532">
        <v>334</v>
      </c>
      <c r="O532">
        <v>227</v>
      </c>
      <c r="P532">
        <v>303</v>
      </c>
      <c r="Q532">
        <v>0</v>
      </c>
      <c r="R532">
        <v>0</v>
      </c>
      <c r="S532">
        <v>4.4886363697321396</v>
      </c>
      <c r="T532">
        <v>90.115111111111119</v>
      </c>
      <c r="U532">
        <v>1.2513404171152498</v>
      </c>
      <c r="V532">
        <v>-0.46152060700845399</v>
      </c>
      <c r="W532">
        <v>-0.57121975163865102</v>
      </c>
      <c r="X532">
        <v>-0.33135740862223101</v>
      </c>
      <c r="Y532">
        <v>-0.77598924050104101</v>
      </c>
      <c r="Z532">
        <v>0.47668876811384397</v>
      </c>
      <c r="AA532">
        <v>0.85617757356637403</v>
      </c>
      <c r="AB532">
        <v>2565</v>
      </c>
      <c r="AC532">
        <v>1</v>
      </c>
      <c r="AD532">
        <v>0</v>
      </c>
      <c r="AE532">
        <v>-0.72514205471140702</v>
      </c>
      <c r="AF532">
        <v>0.36013657999471499</v>
      </c>
      <c r="AG532">
        <v>-0.35595431239603198</v>
      </c>
      <c r="AH532">
        <v>0.65417882722471898</v>
      </c>
      <c r="AI532">
        <v>-1.3124706403295301</v>
      </c>
      <c r="AJ532">
        <v>-1.8874520580511001</v>
      </c>
      <c r="AK532">
        <v>46.839658</v>
      </c>
      <c r="AL532">
        <v>4.7189269999999999</v>
      </c>
      <c r="AM532">
        <v>48.824000000000005</v>
      </c>
      <c r="AN532">
        <v>2.2639999999999998</v>
      </c>
    </row>
    <row r="533" spans="1:40" x14ac:dyDescent="0.35">
      <c r="A533">
        <v>689</v>
      </c>
      <c r="B533">
        <v>72</v>
      </c>
      <c r="C533" t="s">
        <v>40</v>
      </c>
      <c r="D533" t="s">
        <v>52</v>
      </c>
      <c r="E533" t="s">
        <v>42</v>
      </c>
      <c r="F533" t="s">
        <v>43</v>
      </c>
      <c r="G533">
        <v>5</v>
      </c>
      <c r="H533">
        <v>25</v>
      </c>
      <c r="I533">
        <v>7</v>
      </c>
      <c r="J533" t="s">
        <v>45</v>
      </c>
      <c r="K533" t="s">
        <v>46</v>
      </c>
      <c r="L533" t="s">
        <v>73</v>
      </c>
      <c r="M533">
        <v>335.70254591828092</v>
      </c>
      <c r="N533">
        <v>224</v>
      </c>
      <c r="O533">
        <v>150</v>
      </c>
      <c r="P533">
        <v>176</v>
      </c>
      <c r="Q533">
        <v>1.9459101490553132</v>
      </c>
      <c r="R533">
        <v>2.9444389791664403</v>
      </c>
      <c r="S533">
        <v>4.2626798770413155</v>
      </c>
      <c r="T533">
        <v>91.872500000000002</v>
      </c>
      <c r="U533">
        <v>2.0033201607997366</v>
      </c>
      <c r="V533">
        <v>7.5580716531248995E-2</v>
      </c>
      <c r="W533">
        <v>0.203376316306385</v>
      </c>
      <c r="X533">
        <v>0.143329752535333</v>
      </c>
      <c r="Y533">
        <v>1.4483117406157899</v>
      </c>
      <c r="Z533">
        <v>1.7680602694732599</v>
      </c>
      <c r="AA533">
        <v>0.26366440732357699</v>
      </c>
      <c r="AB533">
        <v>4236</v>
      </c>
      <c r="AC533">
        <v>0</v>
      </c>
      <c r="AD533">
        <v>4</v>
      </c>
      <c r="AE533">
        <v>1.6751267091712101</v>
      </c>
      <c r="AF533">
        <v>-0.63073073314254102</v>
      </c>
      <c r="AG533">
        <v>0.94940807586090803</v>
      </c>
      <c r="AH533">
        <v>6.1379923989766702E-2</v>
      </c>
      <c r="AI533">
        <v>-1.16178645117502</v>
      </c>
      <c r="AJ533">
        <v>-0.104777609604254</v>
      </c>
      <c r="AK533">
        <v>44.686388999999998</v>
      </c>
      <c r="AL533">
        <v>-0.52383800000000003</v>
      </c>
      <c r="AM533">
        <v>47.375</v>
      </c>
      <c r="AN533">
        <v>-2.4919999999999995</v>
      </c>
    </row>
    <row r="534" spans="1:40" x14ac:dyDescent="0.35">
      <c r="A534">
        <v>690</v>
      </c>
      <c r="B534">
        <v>57</v>
      </c>
      <c r="C534" t="s">
        <v>48</v>
      </c>
      <c r="D534" t="s">
        <v>66</v>
      </c>
      <c r="E534" t="s">
        <v>42</v>
      </c>
      <c r="F534" t="s">
        <v>49</v>
      </c>
      <c r="G534">
        <v>3</v>
      </c>
      <c r="H534">
        <v>9</v>
      </c>
      <c r="I534">
        <v>3</v>
      </c>
      <c r="J534" t="s">
        <v>56</v>
      </c>
      <c r="K534" t="s">
        <v>46</v>
      </c>
      <c r="L534" t="s">
        <v>62</v>
      </c>
      <c r="M534">
        <v>173.82564458273379</v>
      </c>
      <c r="N534">
        <v>166</v>
      </c>
      <c r="O534">
        <v>140</v>
      </c>
      <c r="P534">
        <v>165</v>
      </c>
      <c r="Q534">
        <v>0.69314718055994529</v>
      </c>
      <c r="R534">
        <v>3.2580965380214821</v>
      </c>
      <c r="S534">
        <v>3.2580965380214821</v>
      </c>
      <c r="T534">
        <v>95.68</v>
      </c>
      <c r="U534">
        <v>0</v>
      </c>
      <c r="V534">
        <v>1.82802042479695</v>
      </c>
      <c r="W534">
        <v>0.99424279543483596</v>
      </c>
      <c r="X534">
        <v>0.99177342203587404</v>
      </c>
      <c r="Y534">
        <v>-0.96278755162326501</v>
      </c>
      <c r="Z534">
        <v>-0.75605764486205096</v>
      </c>
      <c r="AA534">
        <v>-0.80037586101695801</v>
      </c>
      <c r="AB534">
        <v>2092.91</v>
      </c>
      <c r="AC534">
        <v>0</v>
      </c>
      <c r="AD534">
        <v>2.1</v>
      </c>
      <c r="AE534">
        <v>-1.0768626388726401</v>
      </c>
      <c r="AF534">
        <v>0.342360487498165</v>
      </c>
      <c r="AG534">
        <v>0.67329698997432197</v>
      </c>
      <c r="AH534">
        <v>0.58647140578105905</v>
      </c>
      <c r="AI534">
        <v>-0.19331052959683601</v>
      </c>
      <c r="AJ534">
        <v>2.2397525364932624</v>
      </c>
      <c r="AK534">
        <v>49.042560999999999</v>
      </c>
      <c r="AL534">
        <v>3.9528660000000002</v>
      </c>
      <c r="AM534">
        <v>48.418407407407415</v>
      </c>
      <c r="AN534">
        <v>1.7827407407407405</v>
      </c>
    </row>
    <row r="535" spans="1:40" x14ac:dyDescent="0.35">
      <c r="A535">
        <v>692</v>
      </c>
      <c r="B535">
        <v>72</v>
      </c>
      <c r="C535" t="s">
        <v>40</v>
      </c>
      <c r="D535" t="s">
        <v>52</v>
      </c>
      <c r="E535" t="s">
        <v>42</v>
      </c>
      <c r="F535" t="s">
        <v>49</v>
      </c>
      <c r="G535">
        <v>5</v>
      </c>
      <c r="H535">
        <v>25</v>
      </c>
      <c r="I535">
        <v>5</v>
      </c>
      <c r="J535" t="s">
        <v>50</v>
      </c>
      <c r="K535" t="s">
        <v>46</v>
      </c>
      <c r="L535" t="s">
        <v>62</v>
      </c>
      <c r="M535">
        <v>134.14530228074511</v>
      </c>
      <c r="N535">
        <v>94</v>
      </c>
      <c r="O535">
        <v>65</v>
      </c>
      <c r="P535">
        <v>104</v>
      </c>
      <c r="Q535">
        <v>0.69314718055994529</v>
      </c>
      <c r="R535">
        <v>3.2580965380214821</v>
      </c>
      <c r="S535">
        <v>3.2580965380214821</v>
      </c>
      <c r="T535">
        <v>95.68</v>
      </c>
      <c r="U535">
        <v>0</v>
      </c>
      <c r="V535">
        <v>1.82802042479695</v>
      </c>
      <c r="W535">
        <v>0.99424279543483596</v>
      </c>
      <c r="X535">
        <v>0.99177342203587404</v>
      </c>
      <c r="Y535">
        <v>-0.96278755162326501</v>
      </c>
      <c r="Z535">
        <v>-0.75605764486205096</v>
      </c>
      <c r="AA535">
        <v>-0.80037586101695801</v>
      </c>
      <c r="AB535">
        <v>2092.91</v>
      </c>
      <c r="AC535">
        <v>0</v>
      </c>
      <c r="AD535">
        <v>2.1</v>
      </c>
      <c r="AE535">
        <v>-1.0768626388726401</v>
      </c>
      <c r="AF535">
        <v>-0.37573540814335199</v>
      </c>
      <c r="AG535">
        <v>-1.2685737310655201</v>
      </c>
      <c r="AH535">
        <v>3.9322394658399998E-2</v>
      </c>
      <c r="AI535">
        <v>0.91764500139424199</v>
      </c>
      <c r="AJ535">
        <v>-2.2870937661094501</v>
      </c>
      <c r="AK535">
        <v>49.042560999999999</v>
      </c>
      <c r="AL535">
        <v>3.9528660000000002</v>
      </c>
      <c r="AM535">
        <v>48.863999999999997</v>
      </c>
      <c r="AN535">
        <v>2.1379999999999999</v>
      </c>
    </row>
    <row r="536" spans="1:40" x14ac:dyDescent="0.35">
      <c r="A536">
        <v>693</v>
      </c>
      <c r="B536">
        <v>57</v>
      </c>
      <c r="C536" t="s">
        <v>40</v>
      </c>
      <c r="D536" t="s">
        <v>41</v>
      </c>
      <c r="E536" t="s">
        <v>42</v>
      </c>
      <c r="F536" t="s">
        <v>61</v>
      </c>
      <c r="G536">
        <v>2</v>
      </c>
      <c r="H536">
        <v>4</v>
      </c>
      <c r="I536">
        <v>2</v>
      </c>
      <c r="J536" t="s">
        <v>56</v>
      </c>
      <c r="K536" t="s">
        <v>46</v>
      </c>
      <c r="L536" t="s">
        <v>62</v>
      </c>
      <c r="M536">
        <v>49.741139603218713</v>
      </c>
      <c r="N536">
        <v>160</v>
      </c>
      <c r="O536">
        <v>117</v>
      </c>
      <c r="P536">
        <v>147</v>
      </c>
      <c r="Q536">
        <v>0.69314718055994529</v>
      </c>
      <c r="R536">
        <v>3.2580965380214821</v>
      </c>
      <c r="S536">
        <v>3.2580965380214821</v>
      </c>
      <c r="T536">
        <v>95.68</v>
      </c>
      <c r="U536">
        <v>0</v>
      </c>
      <c r="V536">
        <v>1.82802042479695</v>
      </c>
      <c r="W536">
        <v>0.99424279543483596</v>
      </c>
      <c r="X536">
        <v>0.99177342203587404</v>
      </c>
      <c r="Y536">
        <v>-0.96278755162326501</v>
      </c>
      <c r="Z536">
        <v>-0.75605764486205096</v>
      </c>
      <c r="AA536">
        <v>-0.80037586101695801</v>
      </c>
      <c r="AB536">
        <v>2092.91</v>
      </c>
      <c r="AC536">
        <v>0</v>
      </c>
      <c r="AD536">
        <v>2.1</v>
      </c>
      <c r="AE536">
        <v>-1.0768626388726401</v>
      </c>
      <c r="AF536">
        <v>1.76947017004887</v>
      </c>
      <c r="AG536">
        <v>-2.2720564813893299E-2</v>
      </c>
      <c r="AH536">
        <v>-1.20692639477352</v>
      </c>
      <c r="AI536">
        <v>-1.0858699033977453</v>
      </c>
      <c r="AJ536">
        <v>0.73138024363694543</v>
      </c>
      <c r="AK536">
        <v>49.042560999999999</v>
      </c>
      <c r="AL536">
        <v>3.9528660000000002</v>
      </c>
      <c r="AM536">
        <v>48.991545454545459</v>
      </c>
      <c r="AN536">
        <v>3.2760000000000002</v>
      </c>
    </row>
    <row r="537" spans="1:40" x14ac:dyDescent="0.35">
      <c r="A537">
        <v>695</v>
      </c>
      <c r="B537">
        <v>29.5</v>
      </c>
      <c r="C537" t="s">
        <v>48</v>
      </c>
      <c r="D537" t="s">
        <v>66</v>
      </c>
      <c r="E537" t="s">
        <v>42</v>
      </c>
      <c r="F537" t="s">
        <v>49</v>
      </c>
      <c r="G537">
        <v>5</v>
      </c>
      <c r="H537">
        <v>25</v>
      </c>
      <c r="I537">
        <v>6</v>
      </c>
      <c r="J537" t="s">
        <v>56</v>
      </c>
      <c r="K537" t="s">
        <v>46</v>
      </c>
      <c r="L537" t="s">
        <v>47</v>
      </c>
      <c r="M537">
        <v>167.87643328479919</v>
      </c>
      <c r="N537">
        <v>558</v>
      </c>
      <c r="O537">
        <v>354</v>
      </c>
      <c r="P537">
        <v>287</v>
      </c>
      <c r="Q537">
        <v>5.9107966440405271</v>
      </c>
      <c r="R537">
        <v>6.4997870406558542</v>
      </c>
      <c r="S537">
        <v>8.6415324656718457</v>
      </c>
      <c r="T537">
        <v>89.265350482850479</v>
      </c>
      <c r="U537">
        <v>1.4417786561042019</v>
      </c>
      <c r="V537">
        <v>-0.22886708829074301</v>
      </c>
      <c r="W537">
        <v>0.28745285629339301</v>
      </c>
      <c r="X537">
        <v>-0.15627425222847</v>
      </c>
      <c r="Y537">
        <v>1.45226138127617</v>
      </c>
      <c r="Z537">
        <v>0.98247225355557</v>
      </c>
      <c r="AA537">
        <v>0.627775520474398</v>
      </c>
      <c r="AB537">
        <v>3362.2959371744532</v>
      </c>
      <c r="AC537">
        <v>2.8998317172850387</v>
      </c>
      <c r="AD537">
        <v>2.9499158586425196</v>
      </c>
      <c r="AE537">
        <v>1.06273170356322</v>
      </c>
      <c r="AF537">
        <v>0.25623152984740599</v>
      </c>
      <c r="AG537">
        <v>-1.0991572762108801</v>
      </c>
      <c r="AH537">
        <v>0.37673471931499097</v>
      </c>
      <c r="AI537">
        <v>-0.50080412294112298</v>
      </c>
      <c r="AJ537">
        <v>0.84164444077168299</v>
      </c>
      <c r="AK537">
        <v>43.3535629403058</v>
      </c>
      <c r="AL537">
        <v>3.21615314793977</v>
      </c>
      <c r="AM537">
        <v>44.238999999999997</v>
      </c>
      <c r="AN537">
        <v>4.9074999999999998</v>
      </c>
    </row>
    <row r="538" spans="1:40" x14ac:dyDescent="0.35">
      <c r="A538">
        <v>696</v>
      </c>
      <c r="B538">
        <v>57</v>
      </c>
      <c r="C538" t="s">
        <v>40</v>
      </c>
      <c r="D538" t="s">
        <v>41</v>
      </c>
      <c r="E538" t="s">
        <v>68</v>
      </c>
      <c r="F538" t="s">
        <v>49</v>
      </c>
      <c r="G538">
        <v>5</v>
      </c>
      <c r="H538">
        <v>25</v>
      </c>
      <c r="I538">
        <v>6</v>
      </c>
      <c r="J538" t="s">
        <v>50</v>
      </c>
      <c r="K538" t="s">
        <v>46</v>
      </c>
      <c r="L538" t="s">
        <v>69</v>
      </c>
      <c r="M538">
        <v>386.18616756122952</v>
      </c>
      <c r="N538">
        <v>1118</v>
      </c>
      <c r="O538">
        <v>690</v>
      </c>
      <c r="P538">
        <v>484</v>
      </c>
      <c r="Q538">
        <v>2.3978952727983707</v>
      </c>
      <c r="R538">
        <v>4.5538768916005408</v>
      </c>
      <c r="S538">
        <v>5.4847969334906548</v>
      </c>
      <c r="T538">
        <v>93.296000000000006</v>
      </c>
      <c r="U538">
        <v>2.2325431437911538</v>
      </c>
      <c r="V538">
        <v>-0.44922684044461197</v>
      </c>
      <c r="W538">
        <v>-0.76855194782346203</v>
      </c>
      <c r="X538">
        <v>-0.44700324392789598</v>
      </c>
      <c r="Y538">
        <v>-0.846122564821426</v>
      </c>
      <c r="Z538">
        <v>-0.92679578564836795</v>
      </c>
      <c r="AA538">
        <v>0.86332342905974202</v>
      </c>
      <c r="AB538">
        <v>2050</v>
      </c>
      <c r="AC538">
        <v>1</v>
      </c>
      <c r="AD538">
        <v>2</v>
      </c>
      <c r="AE538">
        <v>-0.51011828243844404</v>
      </c>
      <c r="AF538">
        <v>-0.85978173873751595</v>
      </c>
      <c r="AG538">
        <v>-1.3991083368724</v>
      </c>
      <c r="AH538">
        <v>-0.12385682337465199</v>
      </c>
      <c r="AI538">
        <v>-0.29042101801923398</v>
      </c>
      <c r="AJ538">
        <v>0.96748201796016298</v>
      </c>
      <c r="AK538">
        <v>47.177235000000003</v>
      </c>
      <c r="AL538">
        <v>4.964315</v>
      </c>
      <c r="AM538">
        <v>50.640682937000001</v>
      </c>
      <c r="AN538">
        <v>4.6610704270000003</v>
      </c>
    </row>
    <row r="539" spans="1:40" x14ac:dyDescent="0.35">
      <c r="A539">
        <v>697</v>
      </c>
      <c r="B539">
        <v>42</v>
      </c>
      <c r="C539" t="s">
        <v>48</v>
      </c>
      <c r="D539" t="s">
        <v>66</v>
      </c>
      <c r="E539" t="s">
        <v>68</v>
      </c>
      <c r="F539" t="s">
        <v>43</v>
      </c>
      <c r="G539">
        <v>6</v>
      </c>
      <c r="H539">
        <v>36</v>
      </c>
      <c r="I539">
        <v>7</v>
      </c>
      <c r="J539" t="s">
        <v>56</v>
      </c>
      <c r="K539" t="s">
        <v>46</v>
      </c>
      <c r="L539" t="s">
        <v>65</v>
      </c>
      <c r="M539">
        <v>802.36370543118619</v>
      </c>
      <c r="N539">
        <v>573</v>
      </c>
      <c r="O539">
        <v>376</v>
      </c>
      <c r="P539">
        <v>220</v>
      </c>
      <c r="Q539">
        <v>0</v>
      </c>
      <c r="R539">
        <v>0</v>
      </c>
      <c r="S539">
        <v>4.4543472962535073</v>
      </c>
      <c r="T539">
        <v>89.333044733044744</v>
      </c>
      <c r="U539">
        <v>1.2554235437523662</v>
      </c>
      <c r="V539">
        <v>1.64975517953679</v>
      </c>
      <c r="W539">
        <v>2.4220969657957299</v>
      </c>
      <c r="X539">
        <v>1.68128863126442</v>
      </c>
      <c r="Y539">
        <v>2.0553398017137301</v>
      </c>
      <c r="Z539">
        <v>2.0921400018840099</v>
      </c>
      <c r="AA539">
        <v>2.0596698968962701</v>
      </c>
      <c r="AB539">
        <v>3262.71</v>
      </c>
      <c r="AC539">
        <v>0.33</v>
      </c>
      <c r="AD539">
        <v>0.66</v>
      </c>
      <c r="AE539">
        <v>1.9221838973381</v>
      </c>
      <c r="AF539">
        <v>1.3637255158467101</v>
      </c>
      <c r="AG539">
        <v>-0.32195606869360499</v>
      </c>
      <c r="AH539">
        <v>0.53823799977358</v>
      </c>
      <c r="AI539">
        <v>1.49328779437777</v>
      </c>
      <c r="AJ539">
        <v>-0.42350457993352503</v>
      </c>
      <c r="AK539">
        <v>43.537466000000002</v>
      </c>
      <c r="AL539">
        <v>6.4627330000000001</v>
      </c>
      <c r="AM539">
        <v>50.640682937000001</v>
      </c>
      <c r="AN539">
        <v>4.6610704270000003</v>
      </c>
    </row>
    <row r="540" spans="1:40" x14ac:dyDescent="0.35">
      <c r="A540">
        <v>700</v>
      </c>
      <c r="B540">
        <v>57</v>
      </c>
      <c r="C540" t="s">
        <v>40</v>
      </c>
      <c r="D540" t="s">
        <v>41</v>
      </c>
      <c r="E540" t="s">
        <v>42</v>
      </c>
      <c r="F540" t="s">
        <v>49</v>
      </c>
      <c r="G540">
        <v>5</v>
      </c>
      <c r="H540">
        <v>25</v>
      </c>
      <c r="I540">
        <v>5</v>
      </c>
      <c r="J540" t="s">
        <v>56</v>
      </c>
      <c r="K540" t="s">
        <v>46</v>
      </c>
      <c r="L540" t="s">
        <v>55</v>
      </c>
      <c r="M540">
        <v>405.19667578593908</v>
      </c>
      <c r="N540">
        <v>82</v>
      </c>
      <c r="O540">
        <v>86</v>
      </c>
      <c r="P540">
        <v>119</v>
      </c>
      <c r="Q540">
        <v>2.0794415416798357</v>
      </c>
      <c r="R540">
        <v>2.3025850929940459</v>
      </c>
      <c r="S540">
        <v>3.2580965380214821</v>
      </c>
      <c r="T540">
        <v>95.12</v>
      </c>
      <c r="U540">
        <v>0</v>
      </c>
      <c r="V540">
        <v>1.89305099905856</v>
      </c>
      <c r="W540">
        <v>0.59880690621441701</v>
      </c>
      <c r="X540">
        <v>1.1856460040685599</v>
      </c>
      <c r="Y540">
        <v>-0.15565097555555901</v>
      </c>
      <c r="Z540">
        <v>-0.22748295097212001</v>
      </c>
      <c r="AA540">
        <v>1.0415013010201299</v>
      </c>
      <c r="AB540">
        <v>2939.9504036908884</v>
      </c>
      <c r="AC540">
        <v>2</v>
      </c>
      <c r="AD540">
        <v>0.42868127643214149</v>
      </c>
      <c r="AE540">
        <v>-2.40641039566141E-2</v>
      </c>
      <c r="AF540">
        <v>5.3546394881339499E-2</v>
      </c>
      <c r="AG540">
        <v>0.68243733680975205</v>
      </c>
      <c r="AH540">
        <v>1.11963206918828</v>
      </c>
      <c r="AI540">
        <v>-0.34954517102938099</v>
      </c>
      <c r="AJ540">
        <v>3.5691335634958202E-2</v>
      </c>
      <c r="AK540">
        <v>48.0777517</v>
      </c>
      <c r="AL540">
        <v>7.3579641000000002</v>
      </c>
      <c r="AM540">
        <v>48.819000000000003</v>
      </c>
      <c r="AN540">
        <v>1.984</v>
      </c>
    </row>
    <row r="541" spans="1:40" x14ac:dyDescent="0.35">
      <c r="A541">
        <v>702</v>
      </c>
      <c r="B541">
        <v>72</v>
      </c>
      <c r="C541" t="s">
        <v>40</v>
      </c>
      <c r="D541" t="s">
        <v>52</v>
      </c>
      <c r="E541" t="s">
        <v>42</v>
      </c>
      <c r="F541" t="s">
        <v>49</v>
      </c>
      <c r="G541">
        <v>5</v>
      </c>
      <c r="H541">
        <v>25</v>
      </c>
      <c r="I541">
        <v>4</v>
      </c>
      <c r="J541" t="s">
        <v>56</v>
      </c>
      <c r="K541" t="s">
        <v>46</v>
      </c>
      <c r="L541" t="s">
        <v>72</v>
      </c>
      <c r="M541">
        <v>51.855810883336403</v>
      </c>
      <c r="N541">
        <v>576</v>
      </c>
      <c r="O541">
        <v>361</v>
      </c>
      <c r="P541">
        <v>326</v>
      </c>
      <c r="Q541">
        <v>0.69314718055994529</v>
      </c>
      <c r="R541">
        <v>1.3862943611198906</v>
      </c>
      <c r="S541">
        <v>4.5538768916005408</v>
      </c>
      <c r="T541">
        <v>89.340161030595823</v>
      </c>
      <c r="U541">
        <v>1.4712304197281412</v>
      </c>
      <c r="V541">
        <v>0.59716251398508702</v>
      </c>
      <c r="W541">
        <v>0.91068296986709796</v>
      </c>
      <c r="X541">
        <v>1.2273243988355</v>
      </c>
      <c r="Y541">
        <v>-0.4121809470949</v>
      </c>
      <c r="Z541">
        <v>-0.86472582726521097</v>
      </c>
      <c r="AA541">
        <v>-1.0172779374790899</v>
      </c>
      <c r="AB541">
        <v>1828.1689246701658</v>
      </c>
      <c r="AC541">
        <v>1.1127464888636687</v>
      </c>
      <c r="AD541">
        <v>1.8630656830756136</v>
      </c>
      <c r="AE541">
        <v>-0.53926882203722504</v>
      </c>
      <c r="AF541">
        <v>0.336016959383514</v>
      </c>
      <c r="AG541">
        <v>-1.6117685809995701</v>
      </c>
      <c r="AH541">
        <v>1.2454384847167199</v>
      </c>
      <c r="AI541">
        <v>0.55117386926346601</v>
      </c>
      <c r="AJ541">
        <v>9.2982272283998801E-2</v>
      </c>
      <c r="AK541">
        <v>44.503641999999999</v>
      </c>
      <c r="AL541">
        <v>1.1863669999999999</v>
      </c>
      <c r="AM541">
        <v>44.253</v>
      </c>
      <c r="AN541">
        <v>0.63700000000000001</v>
      </c>
    </row>
    <row r="542" spans="1:40" x14ac:dyDescent="0.35">
      <c r="A542">
        <v>704</v>
      </c>
      <c r="B542">
        <v>72</v>
      </c>
      <c r="C542" t="s">
        <v>48</v>
      </c>
      <c r="D542" t="s">
        <v>66</v>
      </c>
      <c r="E542" t="s">
        <v>42</v>
      </c>
      <c r="F542" t="s">
        <v>43</v>
      </c>
      <c r="G542">
        <v>2</v>
      </c>
      <c r="H542">
        <v>4</v>
      </c>
      <c r="I542">
        <v>7</v>
      </c>
      <c r="J542" t="s">
        <v>56</v>
      </c>
      <c r="K542" t="s">
        <v>46</v>
      </c>
      <c r="L542" t="s">
        <v>72</v>
      </c>
      <c r="M542">
        <v>492.64404854898049</v>
      </c>
      <c r="N542">
        <v>869</v>
      </c>
      <c r="O542">
        <v>423</v>
      </c>
      <c r="P542">
        <v>323</v>
      </c>
      <c r="Q542">
        <v>0.69314718055994529</v>
      </c>
      <c r="R542">
        <v>1.3862943611198906</v>
      </c>
      <c r="S542">
        <v>4.5538768916005408</v>
      </c>
      <c r="T542">
        <v>89.340161030595823</v>
      </c>
      <c r="U542">
        <v>1.4712304197281412</v>
      </c>
      <c r="V542">
        <v>0.59716251398508702</v>
      </c>
      <c r="W542">
        <v>0.91068296986709796</v>
      </c>
      <c r="X542">
        <v>1.2273243988355</v>
      </c>
      <c r="Y542">
        <v>-0.4121809470949</v>
      </c>
      <c r="Z542">
        <v>-0.86472582726521097</v>
      </c>
      <c r="AA542">
        <v>-1.0172779374790899</v>
      </c>
      <c r="AB542">
        <v>1828.1689246701658</v>
      </c>
      <c r="AC542">
        <v>1.1127464888636687</v>
      </c>
      <c r="AD542">
        <v>1.8630656830756136</v>
      </c>
      <c r="AE542">
        <v>-0.53926882203722504</v>
      </c>
      <c r="AF542">
        <v>-0.72358565523091201</v>
      </c>
      <c r="AG542">
        <v>1.0283181529605101</v>
      </c>
      <c r="AH542">
        <v>0.51595070103590501</v>
      </c>
      <c r="AI542">
        <v>-0.66967992396649734</v>
      </c>
      <c r="AJ542">
        <v>-0.19303737102102789</v>
      </c>
      <c r="AK542">
        <v>44.503641999999999</v>
      </c>
      <c r="AL542">
        <v>1.1863669999999999</v>
      </c>
      <c r="AM542">
        <v>48.856372813999997</v>
      </c>
      <c r="AN542">
        <v>2.3525296170000001</v>
      </c>
    </row>
    <row r="543" spans="1:40" x14ac:dyDescent="0.35">
      <c r="A543">
        <v>705</v>
      </c>
      <c r="B543">
        <v>42</v>
      </c>
      <c r="C543" t="s">
        <v>40</v>
      </c>
      <c r="D543" t="s">
        <v>41</v>
      </c>
      <c r="E543" t="s">
        <v>42</v>
      </c>
      <c r="F543" t="s">
        <v>61</v>
      </c>
      <c r="G543">
        <v>5</v>
      </c>
      <c r="H543">
        <v>25</v>
      </c>
      <c r="I543">
        <v>3</v>
      </c>
      <c r="J543" t="s">
        <v>56</v>
      </c>
      <c r="K543" t="s">
        <v>46</v>
      </c>
      <c r="L543" t="s">
        <v>65</v>
      </c>
      <c r="M543">
        <v>671.23208171923795</v>
      </c>
      <c r="N543">
        <v>199</v>
      </c>
      <c r="O543">
        <v>141</v>
      </c>
      <c r="P543">
        <v>113</v>
      </c>
      <c r="Q543">
        <v>0</v>
      </c>
      <c r="R543">
        <v>0</v>
      </c>
      <c r="S543">
        <v>4.4543472962535073</v>
      </c>
      <c r="T543">
        <v>89.333044733044744</v>
      </c>
      <c r="U543">
        <v>1.2554235437523662</v>
      </c>
      <c r="V543">
        <v>1.64975517953679</v>
      </c>
      <c r="W543">
        <v>2.4220969657957299</v>
      </c>
      <c r="X543">
        <v>1.68128863126442</v>
      </c>
      <c r="Y543">
        <v>2.0553398017137301</v>
      </c>
      <c r="Z543">
        <v>2.0921400018840099</v>
      </c>
      <c r="AA543">
        <v>2.0596698968962701</v>
      </c>
      <c r="AB543">
        <v>3262.71</v>
      </c>
      <c r="AC543">
        <v>0.33</v>
      </c>
      <c r="AD543">
        <v>0.66</v>
      </c>
      <c r="AE543">
        <v>1.9221838973381</v>
      </c>
      <c r="AF543">
        <v>1.7860607862437701</v>
      </c>
      <c r="AG543">
        <v>-3.41358445666493</v>
      </c>
      <c r="AH543">
        <v>1.22524711882062</v>
      </c>
      <c r="AI543">
        <v>-0.15729727701781901</v>
      </c>
      <c r="AJ543">
        <v>0.71924438639542798</v>
      </c>
      <c r="AK543">
        <v>43.537466000000002</v>
      </c>
      <c r="AL543">
        <v>6.4627330000000001</v>
      </c>
      <c r="AM543">
        <v>48.856372813999997</v>
      </c>
      <c r="AN543">
        <v>2.3525296170000001</v>
      </c>
    </row>
    <row r="544" spans="1:40" x14ac:dyDescent="0.35">
      <c r="A544">
        <v>706</v>
      </c>
      <c r="B544">
        <v>72</v>
      </c>
      <c r="C544" t="s">
        <v>40</v>
      </c>
      <c r="D544" t="s">
        <v>52</v>
      </c>
      <c r="E544" t="s">
        <v>42</v>
      </c>
      <c r="F544" t="s">
        <v>49</v>
      </c>
      <c r="G544">
        <v>6</v>
      </c>
      <c r="H544">
        <v>36</v>
      </c>
      <c r="I544">
        <v>7</v>
      </c>
      <c r="J544" t="s">
        <v>56</v>
      </c>
      <c r="K544" t="s">
        <v>46</v>
      </c>
      <c r="L544" t="s">
        <v>76</v>
      </c>
      <c r="M544">
        <v>173.64663678342501</v>
      </c>
      <c r="N544">
        <v>649</v>
      </c>
      <c r="O544">
        <v>433</v>
      </c>
      <c r="P544">
        <v>452</v>
      </c>
      <c r="Q544">
        <v>0</v>
      </c>
      <c r="R544">
        <v>1.0986122886681098</v>
      </c>
      <c r="S544">
        <v>4.1588830833596715</v>
      </c>
      <c r="T544">
        <v>91.226666666666674</v>
      </c>
      <c r="U544">
        <v>1.418823059726001</v>
      </c>
      <c r="V544">
        <v>-0.39095273818515502</v>
      </c>
      <c r="W544">
        <v>-0.53446083104759001</v>
      </c>
      <c r="X544">
        <v>-0.40804429067029002</v>
      </c>
      <c r="Y544">
        <v>-0.56789545922357498</v>
      </c>
      <c r="Z544">
        <v>-0.94760790482486201</v>
      </c>
      <c r="AA544">
        <v>-1.0848673571571601</v>
      </c>
      <c r="AB544">
        <v>1770.5103102717287</v>
      </c>
      <c r="AC544">
        <v>0.28213528618230871</v>
      </c>
      <c r="AD544">
        <v>1.7130468298323378</v>
      </c>
      <c r="AE544">
        <v>-1.13486126839574</v>
      </c>
      <c r="AF544">
        <v>-2.4333115638080698</v>
      </c>
      <c r="AG544">
        <v>1.0576178086066701</v>
      </c>
      <c r="AH544">
        <v>1.3378217385414</v>
      </c>
      <c r="AI544">
        <v>-1.2837142839208999</v>
      </c>
      <c r="AJ544">
        <v>-0.31605176844023503</v>
      </c>
      <c r="AK544">
        <v>47.330690599999997</v>
      </c>
      <c r="AL544">
        <v>2.8390453999999998</v>
      </c>
      <c r="AM544">
        <v>48.856372813999997</v>
      </c>
      <c r="AN544">
        <v>2.3525296170000001</v>
      </c>
    </row>
    <row r="545" spans="1:40" x14ac:dyDescent="0.35">
      <c r="A545">
        <v>707</v>
      </c>
      <c r="B545">
        <v>57</v>
      </c>
      <c r="C545" t="s">
        <v>40</v>
      </c>
      <c r="D545" t="s">
        <v>52</v>
      </c>
      <c r="E545" t="s">
        <v>42</v>
      </c>
      <c r="F545" t="s">
        <v>43</v>
      </c>
      <c r="G545">
        <v>4</v>
      </c>
      <c r="H545">
        <v>16</v>
      </c>
      <c r="I545">
        <v>7</v>
      </c>
      <c r="J545" t="s">
        <v>56</v>
      </c>
      <c r="K545" t="s">
        <v>46</v>
      </c>
      <c r="L545" t="s">
        <v>60</v>
      </c>
      <c r="M545">
        <v>476.78764098577068</v>
      </c>
      <c r="N545">
        <v>263</v>
      </c>
      <c r="O545">
        <v>176</v>
      </c>
      <c r="P545">
        <v>219</v>
      </c>
      <c r="Q545">
        <v>3.8501476017100584</v>
      </c>
      <c r="R545">
        <v>2.9957322735539909</v>
      </c>
      <c r="S545">
        <v>5.4424177105217932</v>
      </c>
      <c r="T545">
        <v>88.975873222691746</v>
      </c>
      <c r="U545">
        <v>2.5514539469641888</v>
      </c>
      <c r="V545">
        <v>2.9336799326863701</v>
      </c>
      <c r="W545">
        <v>3.3730943146768602</v>
      </c>
      <c r="X545">
        <v>3.6072071704345601</v>
      </c>
      <c r="Y545">
        <v>-0.19189497559235799</v>
      </c>
      <c r="Z545">
        <v>0.17569111512999699</v>
      </c>
      <c r="AA545">
        <v>-0.304970615080496</v>
      </c>
      <c r="AB545">
        <v>1906.836709612184</v>
      </c>
      <c r="AC545">
        <v>0.7978420820676605</v>
      </c>
      <c r="AD545">
        <v>2.1056638128240834</v>
      </c>
      <c r="AE545">
        <v>-0.25037207080954499</v>
      </c>
      <c r="AF545">
        <v>0.259890313997091</v>
      </c>
      <c r="AG545">
        <v>0.303126298868102</v>
      </c>
      <c r="AH545">
        <v>-8.6574888772198905E-2</v>
      </c>
      <c r="AI545">
        <v>-0.61068797907778305</v>
      </c>
      <c r="AJ545">
        <v>-0.66135886506325903</v>
      </c>
      <c r="AK545">
        <v>44.055988999999997</v>
      </c>
      <c r="AL545">
        <v>4.8317350000000001</v>
      </c>
      <c r="AM545">
        <v>44.906499999999994</v>
      </c>
      <c r="AN545">
        <v>-1.05325</v>
      </c>
    </row>
    <row r="546" spans="1:40" x14ac:dyDescent="0.35">
      <c r="A546">
        <v>708</v>
      </c>
      <c r="B546">
        <v>42</v>
      </c>
      <c r="C546" t="s">
        <v>40</v>
      </c>
      <c r="D546" t="s">
        <v>41</v>
      </c>
      <c r="E546" t="s">
        <v>42</v>
      </c>
      <c r="F546" t="s">
        <v>61</v>
      </c>
      <c r="G546">
        <v>4</v>
      </c>
      <c r="H546">
        <v>16</v>
      </c>
      <c r="I546">
        <v>7</v>
      </c>
      <c r="J546" t="s">
        <v>56</v>
      </c>
      <c r="K546" t="s">
        <v>46</v>
      </c>
      <c r="L546" t="s">
        <v>72</v>
      </c>
      <c r="M546">
        <v>165.24616296292561</v>
      </c>
      <c r="N546">
        <v>424</v>
      </c>
      <c r="O546">
        <v>263</v>
      </c>
      <c r="P546">
        <v>261</v>
      </c>
      <c r="Q546">
        <v>0.69314718055994529</v>
      </c>
      <c r="R546">
        <v>1.3862943611198906</v>
      </c>
      <c r="S546">
        <v>4.5538768916005408</v>
      </c>
      <c r="T546">
        <v>89.340161030595823</v>
      </c>
      <c r="U546">
        <v>1.4712304197281412</v>
      </c>
      <c r="V546">
        <v>0.59716251398508702</v>
      </c>
      <c r="W546">
        <v>0.91068296986709796</v>
      </c>
      <c r="X546">
        <v>1.2273243988355</v>
      </c>
      <c r="Y546">
        <v>-0.4121809470949</v>
      </c>
      <c r="Z546">
        <v>-0.86472582726521097</v>
      </c>
      <c r="AA546">
        <v>-1.0172779374790899</v>
      </c>
      <c r="AB546">
        <v>1828.1689246701658</v>
      </c>
      <c r="AC546">
        <v>1.1127464888636687</v>
      </c>
      <c r="AD546">
        <v>1.8630656830756136</v>
      </c>
      <c r="AE546">
        <v>-0.53926882203722504</v>
      </c>
      <c r="AF546">
        <v>-1.6117382535181399</v>
      </c>
      <c r="AG546">
        <v>-0.79479030129040595</v>
      </c>
      <c r="AH546">
        <v>0.60622326800851101</v>
      </c>
      <c r="AI546">
        <v>-0.78752006459002699</v>
      </c>
      <c r="AJ546">
        <v>-0.91081445245386805</v>
      </c>
      <c r="AK546">
        <v>44.503641999999999</v>
      </c>
      <c r="AL546">
        <v>1.1863669999999999</v>
      </c>
      <c r="AM546">
        <v>43.187269230769218</v>
      </c>
      <c r="AN546">
        <v>0.23499999999999999</v>
      </c>
    </row>
    <row r="547" spans="1:40" x14ac:dyDescent="0.35">
      <c r="A547">
        <v>709</v>
      </c>
      <c r="B547">
        <v>72</v>
      </c>
      <c r="C547" t="s">
        <v>40</v>
      </c>
      <c r="D547" t="s">
        <v>52</v>
      </c>
      <c r="E547" t="s">
        <v>42</v>
      </c>
      <c r="F547" t="s">
        <v>49</v>
      </c>
      <c r="G547">
        <v>7</v>
      </c>
      <c r="H547">
        <v>49</v>
      </c>
      <c r="I547">
        <v>6</v>
      </c>
      <c r="J547" t="s">
        <v>50</v>
      </c>
      <c r="K547" t="s">
        <v>46</v>
      </c>
      <c r="L547" t="s">
        <v>47</v>
      </c>
      <c r="M547">
        <v>316.87336071631591</v>
      </c>
      <c r="N547">
        <v>224</v>
      </c>
      <c r="O547">
        <v>178</v>
      </c>
      <c r="P547">
        <v>97</v>
      </c>
      <c r="Q547">
        <v>5.9107966440405271</v>
      </c>
      <c r="R547">
        <v>6.4997870406558542</v>
      </c>
      <c r="S547">
        <v>8.6415324656718457</v>
      </c>
      <c r="T547">
        <v>89.265350482850479</v>
      </c>
      <c r="U547">
        <v>1.4417786561042019</v>
      </c>
      <c r="V547">
        <v>-0.22886708829074301</v>
      </c>
      <c r="W547">
        <v>0.28745285629339301</v>
      </c>
      <c r="X547">
        <v>-0.15627425222847</v>
      </c>
      <c r="Y547">
        <v>1.45226138127617</v>
      </c>
      <c r="Z547">
        <v>0.98247225355557</v>
      </c>
      <c r="AA547">
        <v>0.627775520474398</v>
      </c>
      <c r="AB547">
        <v>3362.2959371744532</v>
      </c>
      <c r="AC547">
        <v>2.8998317172850387</v>
      </c>
      <c r="AD547">
        <v>2.9499158586425196</v>
      </c>
      <c r="AE547">
        <v>1.06273170356322</v>
      </c>
      <c r="AF547">
        <v>-1.0929573100547201</v>
      </c>
      <c r="AG547">
        <v>0.27450820806599702</v>
      </c>
      <c r="AH547">
        <v>0.660913258416023</v>
      </c>
      <c r="AI547">
        <v>-0.69700865032104198</v>
      </c>
      <c r="AJ547">
        <v>0.36092658623934099</v>
      </c>
      <c r="AK547">
        <v>43.3535629403058</v>
      </c>
      <c r="AL547">
        <v>3.21615314793977</v>
      </c>
      <c r="AM547">
        <v>44.953374999999994</v>
      </c>
      <c r="AN547">
        <v>-6.6000000000000003E-2</v>
      </c>
    </row>
    <row r="548" spans="1:40" x14ac:dyDescent="0.35">
      <c r="A548">
        <v>710</v>
      </c>
      <c r="B548">
        <v>57</v>
      </c>
      <c r="C548" t="s">
        <v>48</v>
      </c>
      <c r="D548" t="s">
        <v>52</v>
      </c>
      <c r="E548" t="s">
        <v>42</v>
      </c>
      <c r="F548" t="s">
        <v>53</v>
      </c>
      <c r="G548">
        <v>5</v>
      </c>
      <c r="H548">
        <v>25</v>
      </c>
      <c r="I548">
        <v>5</v>
      </c>
      <c r="J548" t="s">
        <v>56</v>
      </c>
      <c r="K548" t="s">
        <v>46</v>
      </c>
      <c r="L548" t="s">
        <v>59</v>
      </c>
      <c r="M548">
        <v>190.33174110274479</v>
      </c>
      <c r="N548">
        <v>232</v>
      </c>
      <c r="O548">
        <v>186</v>
      </c>
      <c r="P548">
        <v>226</v>
      </c>
      <c r="Q548">
        <v>1.3862943611198906</v>
      </c>
      <c r="R548">
        <v>1.3862943611198906</v>
      </c>
      <c r="S548">
        <v>4.9972122737641147</v>
      </c>
      <c r="T548">
        <v>90.035146103896111</v>
      </c>
      <c r="U548">
        <v>1.418823059726001</v>
      </c>
      <c r="V548">
        <v>-0.52223564926899602</v>
      </c>
      <c r="W548">
        <v>-0.46072710968150399</v>
      </c>
      <c r="X548">
        <v>-0.361786268345754</v>
      </c>
      <c r="Y548">
        <v>-0.552694479448822</v>
      </c>
      <c r="Z548">
        <v>2.1676297177028899E-2</v>
      </c>
      <c r="AA548">
        <v>0.625223797005378</v>
      </c>
      <c r="AB548">
        <v>2234.6992515788952</v>
      </c>
      <c r="AC548">
        <v>0</v>
      </c>
      <c r="AD548">
        <v>0.12112735591028891</v>
      </c>
      <c r="AE548">
        <v>-0.60610368582010199</v>
      </c>
      <c r="AF548">
        <v>1.64348024288883</v>
      </c>
      <c r="AG548">
        <v>0.61745658862094399</v>
      </c>
      <c r="AH548">
        <v>0.45871022166805098</v>
      </c>
      <c r="AI548">
        <v>1.15358797549144</v>
      </c>
      <c r="AJ548">
        <v>0.148853726579141</v>
      </c>
      <c r="AK548">
        <v>47.411035099999999</v>
      </c>
      <c r="AL548">
        <v>0.98369799999999996</v>
      </c>
      <c r="AM548">
        <v>48.856372813999997</v>
      </c>
      <c r="AN548">
        <v>2.3525296170000001</v>
      </c>
    </row>
    <row r="549" spans="1:40" x14ac:dyDescent="0.35">
      <c r="A549">
        <v>711</v>
      </c>
      <c r="B549">
        <v>42</v>
      </c>
      <c r="C549" t="s">
        <v>40</v>
      </c>
      <c r="D549" t="s">
        <v>66</v>
      </c>
      <c r="E549" t="s">
        <v>42</v>
      </c>
      <c r="F549" t="s">
        <v>43</v>
      </c>
      <c r="G549">
        <v>5</v>
      </c>
      <c r="H549">
        <v>25</v>
      </c>
      <c r="I549">
        <v>5</v>
      </c>
      <c r="J549" t="s">
        <v>56</v>
      </c>
      <c r="K549" t="s">
        <v>46</v>
      </c>
      <c r="L549" t="s">
        <v>51</v>
      </c>
      <c r="M549">
        <v>171.27279417550861</v>
      </c>
      <c r="N549">
        <v>82</v>
      </c>
      <c r="O549">
        <v>86</v>
      </c>
      <c r="P549">
        <v>119</v>
      </c>
      <c r="Q549">
        <v>0</v>
      </c>
      <c r="R549">
        <v>1.3862943611198906</v>
      </c>
      <c r="S549">
        <v>4.3438054218536841</v>
      </c>
      <c r="T549">
        <v>91.16</v>
      </c>
      <c r="U549">
        <v>2.3174698847378039</v>
      </c>
      <c r="V549">
        <v>-0.58471966768986094</v>
      </c>
      <c r="W549">
        <v>-0.55557078097057</v>
      </c>
      <c r="X549">
        <v>-0.47566183223429498</v>
      </c>
      <c r="Y549">
        <v>-0.95884680312505799</v>
      </c>
      <c r="Z549">
        <v>-0.76521334103430205</v>
      </c>
      <c r="AA549">
        <v>-0.77245900699560299</v>
      </c>
      <c r="AB549">
        <v>1376</v>
      </c>
      <c r="AC549">
        <v>0</v>
      </c>
      <c r="AD549">
        <v>2</v>
      </c>
      <c r="AE549">
        <v>-1.2769936012368599</v>
      </c>
      <c r="AF549">
        <v>6.3790790847780804E-2</v>
      </c>
      <c r="AG549">
        <v>-2.1626912842732802</v>
      </c>
      <c r="AH549">
        <v>-8.33633247841431E-2</v>
      </c>
      <c r="AI549">
        <v>0.33460441504020599</v>
      </c>
      <c r="AJ549">
        <v>1.1010500323624499</v>
      </c>
      <c r="AK549">
        <v>47.815207299999997</v>
      </c>
      <c r="AL549">
        <v>3.8001657</v>
      </c>
      <c r="AM549">
        <v>48.988</v>
      </c>
      <c r="AN549">
        <v>2.2999999999999998</v>
      </c>
    </row>
    <row r="550" spans="1:40" x14ac:dyDescent="0.35">
      <c r="A550">
        <v>712</v>
      </c>
      <c r="B550">
        <v>72</v>
      </c>
      <c r="C550" t="s">
        <v>40</v>
      </c>
      <c r="D550" t="s">
        <v>52</v>
      </c>
      <c r="E550" t="s">
        <v>42</v>
      </c>
      <c r="F550" t="s">
        <v>49</v>
      </c>
      <c r="G550">
        <v>4</v>
      </c>
      <c r="H550">
        <v>16</v>
      </c>
      <c r="I550">
        <v>5</v>
      </c>
      <c r="J550" t="s">
        <v>56</v>
      </c>
      <c r="K550" t="s">
        <v>46</v>
      </c>
      <c r="L550" t="s">
        <v>72</v>
      </c>
      <c r="M550">
        <v>51.855810883336403</v>
      </c>
      <c r="N550">
        <v>518</v>
      </c>
      <c r="O550">
        <v>270</v>
      </c>
      <c r="P550">
        <v>309</v>
      </c>
      <c r="Q550">
        <v>0.69314718055994529</v>
      </c>
      <c r="R550">
        <v>1.3862943611198906</v>
      </c>
      <c r="S550">
        <v>4.5538768916005408</v>
      </c>
      <c r="T550">
        <v>89.340161030595823</v>
      </c>
      <c r="U550">
        <v>1.4712304197281412</v>
      </c>
      <c r="V550">
        <v>0.59716251398508702</v>
      </c>
      <c r="W550">
        <v>0.91068296986709796</v>
      </c>
      <c r="X550">
        <v>1.2273243988355</v>
      </c>
      <c r="Y550">
        <v>-0.4121809470949</v>
      </c>
      <c r="Z550">
        <v>-0.86472582726521097</v>
      </c>
      <c r="AA550">
        <v>-1.0172779374790899</v>
      </c>
      <c r="AB550">
        <v>1828.1689246701658</v>
      </c>
      <c r="AC550">
        <v>1.1127464888636687</v>
      </c>
      <c r="AD550">
        <v>1.8630656830756136</v>
      </c>
      <c r="AE550">
        <v>-0.53926882203722504</v>
      </c>
      <c r="AF550">
        <v>-1.0768846751435708</v>
      </c>
      <c r="AG550">
        <v>-1.6350177472879861</v>
      </c>
      <c r="AH550">
        <v>-1.7341678680860506</v>
      </c>
      <c r="AI550">
        <v>0.36273950226002599</v>
      </c>
      <c r="AJ550">
        <v>-2.18047076278686</v>
      </c>
      <c r="AK550">
        <v>44.503641999999999</v>
      </c>
      <c r="AL550">
        <v>1.1863669999999999</v>
      </c>
      <c r="AM550">
        <v>44.253</v>
      </c>
      <c r="AN550">
        <v>0.63700000000000001</v>
      </c>
    </row>
    <row r="551" spans="1:40" x14ac:dyDescent="0.35">
      <c r="A551">
        <v>713</v>
      </c>
      <c r="B551">
        <v>57</v>
      </c>
      <c r="C551" t="s">
        <v>40</v>
      </c>
      <c r="D551" t="s">
        <v>66</v>
      </c>
      <c r="E551" t="s">
        <v>42</v>
      </c>
      <c r="F551" t="s">
        <v>61</v>
      </c>
      <c r="G551">
        <v>6</v>
      </c>
      <c r="H551">
        <v>36</v>
      </c>
      <c r="I551">
        <v>6</v>
      </c>
      <c r="J551" t="s">
        <v>45</v>
      </c>
      <c r="K551" t="s">
        <v>46</v>
      </c>
      <c r="L551" t="s">
        <v>67</v>
      </c>
      <c r="M551">
        <v>399.06120793243451</v>
      </c>
      <c r="N551">
        <v>214</v>
      </c>
      <c r="O551">
        <v>162</v>
      </c>
      <c r="P551">
        <v>152</v>
      </c>
      <c r="Q551">
        <v>0</v>
      </c>
      <c r="R551">
        <v>1.0986122886681098</v>
      </c>
      <c r="S551">
        <v>4.499809670330265</v>
      </c>
      <c r="T551">
        <v>90.053710317460329</v>
      </c>
      <c r="U551">
        <v>1.5728028449904734</v>
      </c>
      <c r="V551">
        <v>-0.577850340007529</v>
      </c>
      <c r="W551">
        <v>-0.32460727773589898</v>
      </c>
      <c r="X551">
        <v>-0.54369568891204501</v>
      </c>
      <c r="Y551">
        <v>-0.77598924050104101</v>
      </c>
      <c r="Z551">
        <v>0.47668876811384397</v>
      </c>
      <c r="AA551">
        <v>0.85617757356637403</v>
      </c>
      <c r="AB551">
        <v>2565</v>
      </c>
      <c r="AC551">
        <v>1</v>
      </c>
      <c r="AD551">
        <v>0</v>
      </c>
      <c r="AE551">
        <v>-0.72514205471140702</v>
      </c>
      <c r="AF551">
        <v>-0.35422806817165298</v>
      </c>
      <c r="AG551">
        <v>0.90134382310537897</v>
      </c>
      <c r="AH551">
        <v>-1.67528382993778E-3</v>
      </c>
      <c r="AI551">
        <v>0.71956644103217304</v>
      </c>
      <c r="AJ551">
        <v>-0.87529599125041802</v>
      </c>
      <c r="AK551">
        <v>46.303668000000002</v>
      </c>
      <c r="AL551">
        <v>4.8322269999999996</v>
      </c>
      <c r="AM551">
        <v>42.966000000000001</v>
      </c>
      <c r="AN551">
        <v>2.9929999999999999</v>
      </c>
    </row>
    <row r="552" spans="1:40" x14ac:dyDescent="0.35">
      <c r="A552">
        <v>715</v>
      </c>
      <c r="B552">
        <v>72</v>
      </c>
      <c r="C552" t="s">
        <v>40</v>
      </c>
      <c r="D552" t="s">
        <v>52</v>
      </c>
      <c r="E552" t="s">
        <v>42</v>
      </c>
      <c r="F552" t="s">
        <v>43</v>
      </c>
      <c r="G552">
        <v>4</v>
      </c>
      <c r="H552">
        <v>16</v>
      </c>
      <c r="I552">
        <v>6</v>
      </c>
      <c r="J552" t="s">
        <v>45</v>
      </c>
      <c r="K552" t="s">
        <v>46</v>
      </c>
      <c r="L552" t="s">
        <v>57</v>
      </c>
      <c r="M552">
        <v>124.3049831583764</v>
      </c>
      <c r="N552">
        <v>693</v>
      </c>
      <c r="O552">
        <v>340</v>
      </c>
      <c r="P552">
        <v>367</v>
      </c>
      <c r="Q552">
        <v>0.69314718055994529</v>
      </c>
      <c r="R552">
        <v>3.6109179126442243</v>
      </c>
      <c r="S552">
        <v>5.8833223884882786</v>
      </c>
      <c r="T552">
        <v>90.922105263157903</v>
      </c>
      <c r="U552">
        <v>2.3923758041545438</v>
      </c>
      <c r="V552">
        <v>-0.399596989308249</v>
      </c>
      <c r="W552">
        <v>-0.58810405700346202</v>
      </c>
      <c r="X552">
        <v>-0.29041857108635599</v>
      </c>
      <c r="Y552">
        <v>-0.846122564821426</v>
      </c>
      <c r="Z552">
        <v>-0.92679578564836795</v>
      </c>
      <c r="AA552">
        <v>0.86332342905974202</v>
      </c>
      <c r="AB552">
        <v>2050</v>
      </c>
      <c r="AC552">
        <v>1</v>
      </c>
      <c r="AD552">
        <v>2</v>
      </c>
      <c r="AE552">
        <v>-0.51011828243844404</v>
      </c>
      <c r="AF552">
        <v>-0.146043981603031</v>
      </c>
      <c r="AG552">
        <v>0.110518906893707</v>
      </c>
      <c r="AH552">
        <v>-0.43162631797719703</v>
      </c>
      <c r="AI552">
        <v>-0.75257871770458995</v>
      </c>
      <c r="AJ552">
        <v>1.21001096545999E-2</v>
      </c>
      <c r="AK552">
        <v>47.023905999999997</v>
      </c>
      <c r="AL552">
        <v>4.8380429999999999</v>
      </c>
      <c r="AM552">
        <v>46.044999999999995</v>
      </c>
      <c r="AN552">
        <v>4.0569999999999995</v>
      </c>
    </row>
    <row r="553" spans="1:40" x14ac:dyDescent="0.35">
      <c r="A553">
        <v>716</v>
      </c>
      <c r="B553">
        <v>57</v>
      </c>
      <c r="C553" t="s">
        <v>40</v>
      </c>
      <c r="D553" t="s">
        <v>52</v>
      </c>
      <c r="E553" t="s">
        <v>42</v>
      </c>
      <c r="F553" t="s">
        <v>49</v>
      </c>
      <c r="G553">
        <v>4</v>
      </c>
      <c r="H553">
        <v>16</v>
      </c>
      <c r="I553">
        <v>5</v>
      </c>
      <c r="J553" t="s">
        <v>50</v>
      </c>
      <c r="K553" t="s">
        <v>46</v>
      </c>
      <c r="L553" t="s">
        <v>69</v>
      </c>
      <c r="M553">
        <v>519.93297395191757</v>
      </c>
      <c r="N553">
        <v>416</v>
      </c>
      <c r="O553">
        <v>262</v>
      </c>
      <c r="P553">
        <v>160</v>
      </c>
      <c r="Q553">
        <v>2.3978952727983707</v>
      </c>
      <c r="R553">
        <v>4.5538768916005408</v>
      </c>
      <c r="S553">
        <v>5.4847969334906548</v>
      </c>
      <c r="T553">
        <v>93.296000000000006</v>
      </c>
      <c r="U553">
        <v>2.2325431437911538</v>
      </c>
      <c r="V553">
        <v>-0.44922684044461197</v>
      </c>
      <c r="W553">
        <v>-0.76855194782346203</v>
      </c>
      <c r="X553">
        <v>-0.44700324392789598</v>
      </c>
      <c r="Y553">
        <v>-0.846122564821426</v>
      </c>
      <c r="Z553">
        <v>-0.92679578564836795</v>
      </c>
      <c r="AA553">
        <v>0.86332342905974202</v>
      </c>
      <c r="AB553">
        <v>2050</v>
      </c>
      <c r="AC553">
        <v>1</v>
      </c>
      <c r="AD553">
        <v>2</v>
      </c>
      <c r="AE553">
        <v>-0.51011828243844404</v>
      </c>
      <c r="AF553">
        <v>0.458579618216092</v>
      </c>
      <c r="AG553">
        <v>0.67532612628028998</v>
      </c>
      <c r="AH553">
        <v>-6.7876301567823594E-2</v>
      </c>
      <c r="AI553">
        <v>-0.25060994427288402</v>
      </c>
      <c r="AJ553">
        <v>1.0525340723651799</v>
      </c>
      <c r="AK553">
        <v>47.177235000000003</v>
      </c>
      <c r="AL553">
        <v>4.964315</v>
      </c>
      <c r="AM553">
        <v>46.920999999999999</v>
      </c>
      <c r="AN553">
        <v>-1.8823333333333334</v>
      </c>
    </row>
    <row r="554" spans="1:40" x14ac:dyDescent="0.35">
      <c r="A554">
        <v>717</v>
      </c>
      <c r="B554">
        <v>42</v>
      </c>
      <c r="C554" t="s">
        <v>48</v>
      </c>
      <c r="D554" t="s">
        <v>66</v>
      </c>
      <c r="E554" t="s">
        <v>42</v>
      </c>
      <c r="F554" t="s">
        <v>49</v>
      </c>
      <c r="G554">
        <v>5</v>
      </c>
      <c r="H554">
        <v>25</v>
      </c>
      <c r="I554">
        <v>4</v>
      </c>
      <c r="J554" t="s">
        <v>56</v>
      </c>
      <c r="K554" t="s">
        <v>46</v>
      </c>
      <c r="L554" t="s">
        <v>74</v>
      </c>
      <c r="M554">
        <v>341.50632792300848</v>
      </c>
      <c r="N554">
        <v>137</v>
      </c>
      <c r="O554">
        <v>90</v>
      </c>
      <c r="P554">
        <v>116</v>
      </c>
      <c r="Q554">
        <v>1.6094379124341003</v>
      </c>
      <c r="R554">
        <v>2.5649493574615367</v>
      </c>
      <c r="S554">
        <v>4.8202815656050371</v>
      </c>
      <c r="T554">
        <v>91.984920634920627</v>
      </c>
      <c r="U554">
        <v>1.0351430572167302</v>
      </c>
      <c r="V554">
        <v>-0.45376679124596098</v>
      </c>
      <c r="W554">
        <v>-0.56138574648679695</v>
      </c>
      <c r="X554">
        <v>-0.92192590083580195</v>
      </c>
      <c r="Y554">
        <v>-1.17232967929859</v>
      </c>
      <c r="Z554">
        <v>-0.98267194414701198</v>
      </c>
      <c r="AA554">
        <v>-0.89586780259421905</v>
      </c>
      <c r="AB554">
        <v>1270</v>
      </c>
      <c r="AC554">
        <v>3</v>
      </c>
      <c r="AD554">
        <v>1</v>
      </c>
      <c r="AE554">
        <v>-1.1438350904766701</v>
      </c>
      <c r="AF554">
        <v>0.17811104480440801</v>
      </c>
      <c r="AG554">
        <v>0.82211458037396901</v>
      </c>
      <c r="AH554">
        <v>-0.42089193490323701</v>
      </c>
      <c r="AI554">
        <v>-0.96540077197765095</v>
      </c>
      <c r="AJ554">
        <v>-0.73941276727291505</v>
      </c>
      <c r="AK554">
        <v>46.672161000000003</v>
      </c>
      <c r="AL554">
        <v>5.558465</v>
      </c>
      <c r="AM554">
        <v>48.856372813999997</v>
      </c>
      <c r="AN554">
        <v>2.3525296170000001</v>
      </c>
    </row>
    <row r="555" spans="1:40" x14ac:dyDescent="0.35">
      <c r="A555">
        <v>718</v>
      </c>
      <c r="B555">
        <v>72</v>
      </c>
      <c r="C555" t="s">
        <v>40</v>
      </c>
      <c r="D555" t="s">
        <v>52</v>
      </c>
      <c r="E555" t="s">
        <v>42</v>
      </c>
      <c r="F555" t="s">
        <v>49</v>
      </c>
      <c r="G555">
        <v>5</v>
      </c>
      <c r="H555">
        <v>25</v>
      </c>
      <c r="I555">
        <v>6</v>
      </c>
      <c r="J555" t="s">
        <v>56</v>
      </c>
      <c r="K555" t="s">
        <v>46</v>
      </c>
      <c r="L555" t="s">
        <v>62</v>
      </c>
      <c r="M555">
        <v>108.2616541509766</v>
      </c>
      <c r="N555">
        <v>941</v>
      </c>
      <c r="O555">
        <v>555</v>
      </c>
      <c r="P555">
        <v>455</v>
      </c>
      <c r="Q555">
        <v>0.69314718055994529</v>
      </c>
      <c r="R555">
        <v>3.2580965380214821</v>
      </c>
      <c r="S555">
        <v>3.2580965380214821</v>
      </c>
      <c r="T555">
        <v>95.68</v>
      </c>
      <c r="U555">
        <v>0</v>
      </c>
      <c r="V555">
        <v>1.82802042479695</v>
      </c>
      <c r="W555">
        <v>0.99424279543483596</v>
      </c>
      <c r="X555">
        <v>0.99177342203587404</v>
      </c>
      <c r="Y555">
        <v>-0.96278755162326501</v>
      </c>
      <c r="Z555">
        <v>-0.75605764486205096</v>
      </c>
      <c r="AA555">
        <v>-0.80037586101695801</v>
      </c>
      <c r="AB555">
        <v>2092.91</v>
      </c>
      <c r="AC555">
        <v>0</v>
      </c>
      <c r="AD555">
        <v>2.1</v>
      </c>
      <c r="AE555">
        <v>-1.0768626388726401</v>
      </c>
      <c r="AF555">
        <v>-2.4029667443216302E-2</v>
      </c>
      <c r="AG555">
        <v>-1.1337834454040301</v>
      </c>
      <c r="AH555">
        <v>-0.854874806502253</v>
      </c>
      <c r="AI555">
        <v>-0.58481147826500901</v>
      </c>
      <c r="AJ555">
        <v>-1.0419076263324001</v>
      </c>
      <c r="AK555">
        <v>49.042560999999999</v>
      </c>
      <c r="AL555">
        <v>3.9528660000000002</v>
      </c>
      <c r="AM555">
        <v>48.842000000000006</v>
      </c>
      <c r="AN555">
        <v>2.504</v>
      </c>
    </row>
    <row r="556" spans="1:40" x14ac:dyDescent="0.35">
      <c r="A556">
        <v>719</v>
      </c>
      <c r="B556">
        <v>72</v>
      </c>
      <c r="C556" t="s">
        <v>48</v>
      </c>
      <c r="D556" t="s">
        <v>52</v>
      </c>
      <c r="E556" t="s">
        <v>42</v>
      </c>
      <c r="F556" t="s">
        <v>49</v>
      </c>
      <c r="G556">
        <v>4</v>
      </c>
      <c r="H556">
        <v>16</v>
      </c>
      <c r="I556">
        <v>6</v>
      </c>
      <c r="J556" t="s">
        <v>56</v>
      </c>
      <c r="K556" t="s">
        <v>46</v>
      </c>
      <c r="L556" t="s">
        <v>79</v>
      </c>
      <c r="M556">
        <v>791.99253110046595</v>
      </c>
      <c r="N556">
        <v>172</v>
      </c>
      <c r="O556">
        <v>124</v>
      </c>
      <c r="P556">
        <v>134</v>
      </c>
      <c r="Q556">
        <v>0</v>
      </c>
      <c r="R556">
        <v>1.0986122886681098</v>
      </c>
      <c r="S556">
        <v>4.4659081186545837</v>
      </c>
      <c r="T556">
        <v>90.88000000000001</v>
      </c>
      <c r="U556">
        <v>0.63076672920079646</v>
      </c>
      <c r="V556">
        <v>-0.66459185691613598</v>
      </c>
      <c r="W556">
        <v>-0.11297510960708999</v>
      </c>
      <c r="X556">
        <v>-0.19037106594949799</v>
      </c>
      <c r="Y556">
        <v>-0.374020329094302</v>
      </c>
      <c r="Z556">
        <v>-0.78642831806525804</v>
      </c>
      <c r="AA556">
        <v>-1.3830773108541501</v>
      </c>
      <c r="AB556">
        <v>1910</v>
      </c>
      <c r="AC556">
        <v>4</v>
      </c>
      <c r="AD556">
        <v>0</v>
      </c>
      <c r="AE556">
        <v>3.4620335695619099E-2</v>
      </c>
      <c r="AF556">
        <v>0.465975005417674</v>
      </c>
      <c r="AG556">
        <v>2.4106884980598299E-2</v>
      </c>
      <c r="AH556">
        <v>-1.1317999434556401</v>
      </c>
      <c r="AI556">
        <v>-0.45323509988725802</v>
      </c>
      <c r="AJ556">
        <v>-1.4283225582884</v>
      </c>
      <c r="AK556">
        <v>42.698529999999998</v>
      </c>
      <c r="AL556">
        <v>2.8953120000000001</v>
      </c>
      <c r="AM556">
        <v>48.893999999999998</v>
      </c>
      <c r="AN556">
        <v>7.923</v>
      </c>
    </row>
    <row r="557" spans="1:40" x14ac:dyDescent="0.35">
      <c r="A557">
        <v>720</v>
      </c>
      <c r="B557">
        <v>72</v>
      </c>
      <c r="C557" t="s">
        <v>40</v>
      </c>
      <c r="D557" t="s">
        <v>52</v>
      </c>
      <c r="E557" t="s">
        <v>42</v>
      </c>
      <c r="F557" t="s">
        <v>43</v>
      </c>
      <c r="G557">
        <v>6</v>
      </c>
      <c r="H557">
        <v>36</v>
      </c>
      <c r="I557">
        <v>7</v>
      </c>
      <c r="J557" t="s">
        <v>50</v>
      </c>
      <c r="K557" t="s">
        <v>46</v>
      </c>
      <c r="L557" t="s">
        <v>81</v>
      </c>
      <c r="M557">
        <v>292.49714988132581</v>
      </c>
      <c r="N557">
        <v>549</v>
      </c>
      <c r="O557">
        <v>280</v>
      </c>
      <c r="P557">
        <v>315</v>
      </c>
      <c r="Q557">
        <v>0</v>
      </c>
      <c r="R557">
        <v>0</v>
      </c>
      <c r="S557">
        <v>4.0430512678345503</v>
      </c>
      <c r="T557">
        <v>88.705120018058608</v>
      </c>
      <c r="U557">
        <v>1.1736806104474848</v>
      </c>
      <c r="V557">
        <v>-0.47558929701305802</v>
      </c>
      <c r="W557">
        <v>-0.86536000504125898</v>
      </c>
      <c r="X557">
        <v>-0.756079468432718</v>
      </c>
      <c r="Y557">
        <v>-0.29991099617686701</v>
      </c>
      <c r="Z557">
        <v>-0.41295088194839003</v>
      </c>
      <c r="AA557">
        <v>-1.4747044340851601</v>
      </c>
      <c r="AB557">
        <v>2397.9202643171807</v>
      </c>
      <c r="AC557">
        <v>4.5123348017621154</v>
      </c>
      <c r="AD557">
        <v>0.89074889867841411</v>
      </c>
      <c r="AE557">
        <v>2.0319785812814501</v>
      </c>
      <c r="AF557">
        <v>0.34077154023931444</v>
      </c>
      <c r="AG557">
        <v>-0.48929738058950428</v>
      </c>
      <c r="AH557">
        <v>1.3800195785289262</v>
      </c>
      <c r="AI557">
        <v>0.85516477529552815</v>
      </c>
      <c r="AJ557">
        <v>-0.57024206961124158</v>
      </c>
      <c r="AK557">
        <v>48.862724999999998</v>
      </c>
      <c r="AL557">
        <v>2.2875920000000001</v>
      </c>
      <c r="AM557">
        <v>46.80040000000001</v>
      </c>
      <c r="AN557">
        <v>4.7135999999999996</v>
      </c>
    </row>
    <row r="558" spans="1:40" x14ac:dyDescent="0.35">
      <c r="A558">
        <v>722</v>
      </c>
      <c r="B558">
        <v>57</v>
      </c>
      <c r="C558" t="s">
        <v>40</v>
      </c>
      <c r="D558" t="s">
        <v>41</v>
      </c>
      <c r="E558" t="s">
        <v>42</v>
      </c>
      <c r="F558" t="s">
        <v>49</v>
      </c>
      <c r="G558">
        <v>4</v>
      </c>
      <c r="H558">
        <v>16</v>
      </c>
      <c r="I558">
        <v>6</v>
      </c>
      <c r="J558" t="s">
        <v>56</v>
      </c>
      <c r="K558" t="s">
        <v>46</v>
      </c>
      <c r="L558" t="s">
        <v>69</v>
      </c>
      <c r="M558">
        <v>456.2258371114782</v>
      </c>
      <c r="N558">
        <v>704</v>
      </c>
      <c r="O558">
        <v>480</v>
      </c>
      <c r="P558">
        <v>291</v>
      </c>
      <c r="Q558">
        <v>2.3978952727983707</v>
      </c>
      <c r="R558">
        <v>4.5538768916005408</v>
      </c>
      <c r="S558">
        <v>5.4847969334906548</v>
      </c>
      <c r="T558">
        <v>93.296000000000006</v>
      </c>
      <c r="U558">
        <v>2.2325431437911538</v>
      </c>
      <c r="V558">
        <v>-0.44922684044461197</v>
      </c>
      <c r="W558">
        <v>-0.76855194782346203</v>
      </c>
      <c r="X558">
        <v>-0.44700324392789598</v>
      </c>
      <c r="Y558">
        <v>-0.846122564821426</v>
      </c>
      <c r="Z558">
        <v>-0.92679578564836795</v>
      </c>
      <c r="AA558">
        <v>0.86332342905974202</v>
      </c>
      <c r="AB558">
        <v>2050</v>
      </c>
      <c r="AC558">
        <v>1</v>
      </c>
      <c r="AD558">
        <v>2</v>
      </c>
      <c r="AE558">
        <v>-0.51011828243844404</v>
      </c>
      <c r="AF558">
        <v>1.74744245045961</v>
      </c>
      <c r="AG558">
        <v>-0.118412915189493</v>
      </c>
      <c r="AH558">
        <v>0.53039359944039599</v>
      </c>
      <c r="AI558">
        <v>1.2930289610854999</v>
      </c>
      <c r="AJ558">
        <v>-0.40850832709685098</v>
      </c>
      <c r="AK558">
        <v>47.177235000000003</v>
      </c>
      <c r="AL558">
        <v>4.964315</v>
      </c>
      <c r="AM558">
        <v>43.136000000000003</v>
      </c>
      <c r="AN558">
        <v>5.9320000000000004</v>
      </c>
    </row>
    <row r="559" spans="1:40" x14ac:dyDescent="0.35">
      <c r="A559">
        <v>723</v>
      </c>
      <c r="B559">
        <v>57</v>
      </c>
      <c r="C559" t="s">
        <v>40</v>
      </c>
      <c r="D559" t="s">
        <v>52</v>
      </c>
      <c r="E559" t="s">
        <v>42</v>
      </c>
      <c r="F559" t="s">
        <v>49</v>
      </c>
      <c r="G559">
        <v>5</v>
      </c>
      <c r="H559">
        <v>25</v>
      </c>
      <c r="I559">
        <v>6</v>
      </c>
      <c r="J559" t="s">
        <v>56</v>
      </c>
      <c r="K559" t="s">
        <v>46</v>
      </c>
      <c r="L559" t="s">
        <v>60</v>
      </c>
      <c r="M559">
        <v>565.2378574989242</v>
      </c>
      <c r="N559">
        <v>571</v>
      </c>
      <c r="O559">
        <v>359</v>
      </c>
      <c r="P559">
        <v>264</v>
      </c>
      <c r="Q559">
        <v>3.8501476017100584</v>
      </c>
      <c r="R559">
        <v>2.9957322735539909</v>
      </c>
      <c r="S559">
        <v>5.4424177105217932</v>
      </c>
      <c r="T559">
        <v>88.975873222691746</v>
      </c>
      <c r="U559">
        <v>2.5514539469641888</v>
      </c>
      <c r="V559">
        <v>2.9336799326863701</v>
      </c>
      <c r="W559">
        <v>3.3730943146768602</v>
      </c>
      <c r="X559">
        <v>3.6072071704345601</v>
      </c>
      <c r="Y559">
        <v>-0.19189497559235799</v>
      </c>
      <c r="Z559">
        <v>0.17569111512999699</v>
      </c>
      <c r="AA559">
        <v>-0.304970615080496</v>
      </c>
      <c r="AB559">
        <v>1906.836709612184</v>
      </c>
      <c r="AC559">
        <v>0.7978420820676605</v>
      </c>
      <c r="AD559">
        <v>2.1056638128240834</v>
      </c>
      <c r="AE559">
        <v>-0.25037207080954499</v>
      </c>
      <c r="AF559">
        <v>0.46261900582973497</v>
      </c>
      <c r="AG559">
        <v>0.38700531498889101</v>
      </c>
      <c r="AH559">
        <v>0.59504918781341398</v>
      </c>
      <c r="AI559">
        <v>0.45623767360579198</v>
      </c>
      <c r="AJ559">
        <v>-0.541551741819703</v>
      </c>
      <c r="AK559">
        <v>44.055988999999997</v>
      </c>
      <c r="AL559">
        <v>4.8317350000000001</v>
      </c>
      <c r="AM559">
        <v>48.822000000000003</v>
      </c>
      <c r="AN559">
        <v>2.2869999999999995</v>
      </c>
    </row>
    <row r="560" spans="1:40" x14ac:dyDescent="0.35">
      <c r="A560">
        <v>724</v>
      </c>
      <c r="B560">
        <v>72</v>
      </c>
      <c r="C560" t="s">
        <v>40</v>
      </c>
      <c r="D560" t="s">
        <v>66</v>
      </c>
      <c r="E560" t="s">
        <v>68</v>
      </c>
      <c r="F560" t="s">
        <v>61</v>
      </c>
      <c r="G560">
        <v>5</v>
      </c>
      <c r="H560">
        <v>25</v>
      </c>
      <c r="I560">
        <v>4</v>
      </c>
      <c r="J560" t="s">
        <v>50</v>
      </c>
      <c r="K560" t="s">
        <v>46</v>
      </c>
      <c r="L560" t="s">
        <v>57</v>
      </c>
      <c r="M560">
        <v>402.82622077649421</v>
      </c>
      <c r="N560">
        <v>711</v>
      </c>
      <c r="O560">
        <v>448</v>
      </c>
      <c r="P560">
        <v>333</v>
      </c>
      <c r="Q560">
        <v>0.69314718055994529</v>
      </c>
      <c r="R560">
        <v>3.6109179126442243</v>
      </c>
      <c r="S560">
        <v>5.8833223884882786</v>
      </c>
      <c r="T560">
        <v>90.922105263157903</v>
      </c>
      <c r="U560">
        <v>2.3923758041545438</v>
      </c>
      <c r="V560">
        <v>-0.399596989308249</v>
      </c>
      <c r="W560">
        <v>-0.58810405700346202</v>
      </c>
      <c r="X560">
        <v>-0.29041857108635599</v>
      </c>
      <c r="Y560">
        <v>-0.846122564821426</v>
      </c>
      <c r="Z560">
        <v>-0.92679578564836795</v>
      </c>
      <c r="AA560">
        <v>0.86332342905974202</v>
      </c>
      <c r="AB560">
        <v>2050</v>
      </c>
      <c r="AC560">
        <v>1</v>
      </c>
      <c r="AD560">
        <v>2</v>
      </c>
      <c r="AE560">
        <v>-0.51011828243844404</v>
      </c>
      <c r="AF560">
        <v>0.22365722569206101</v>
      </c>
      <c r="AG560">
        <v>-1.01982174317147</v>
      </c>
      <c r="AH560">
        <v>-0.34408888816206301</v>
      </c>
      <c r="AI560">
        <v>0.81413543548049006</v>
      </c>
      <c r="AJ560">
        <v>-0.22446032641361799</v>
      </c>
      <c r="AK560">
        <v>47.023905999999997</v>
      </c>
      <c r="AL560">
        <v>4.8380429999999999</v>
      </c>
      <c r="AM560">
        <v>50.640682937000001</v>
      </c>
      <c r="AN560">
        <v>4.6610704270000003</v>
      </c>
    </row>
    <row r="561" spans="1:40" x14ac:dyDescent="0.35">
      <c r="A561">
        <v>725</v>
      </c>
      <c r="B561">
        <v>72</v>
      </c>
      <c r="C561" t="s">
        <v>40</v>
      </c>
      <c r="D561" t="s">
        <v>52</v>
      </c>
      <c r="E561" t="s">
        <v>42</v>
      </c>
      <c r="F561" t="s">
        <v>49</v>
      </c>
      <c r="G561">
        <v>4</v>
      </c>
      <c r="H561">
        <v>16</v>
      </c>
      <c r="I561">
        <v>3</v>
      </c>
      <c r="J561" t="s">
        <v>45</v>
      </c>
      <c r="K561" t="s">
        <v>46</v>
      </c>
      <c r="L561" t="s">
        <v>47</v>
      </c>
      <c r="M561">
        <v>582.38268602219182</v>
      </c>
      <c r="N561">
        <v>49</v>
      </c>
      <c r="O561">
        <v>40</v>
      </c>
      <c r="P561">
        <v>313</v>
      </c>
      <c r="Q561">
        <v>5.9107966440405271</v>
      </c>
      <c r="R561">
        <v>6.4997870406558542</v>
      </c>
      <c r="S561">
        <v>8.6415324656718457</v>
      </c>
      <c r="T561">
        <v>89.265350482850479</v>
      </c>
      <c r="U561">
        <v>1.4417786561042019</v>
      </c>
      <c r="V561">
        <v>-0.22886708829074301</v>
      </c>
      <c r="W561">
        <v>0.28745285629339301</v>
      </c>
      <c r="X561">
        <v>-0.15627425222847</v>
      </c>
      <c r="Y561">
        <v>1.45226138127617</v>
      </c>
      <c r="Z561">
        <v>0.98247225355557</v>
      </c>
      <c r="AA561">
        <v>0.627775520474398</v>
      </c>
      <c r="AB561">
        <v>3362.2959371744532</v>
      </c>
      <c r="AC561">
        <v>2.8998317172850387</v>
      </c>
      <c r="AD561">
        <v>2.9499158586425196</v>
      </c>
      <c r="AE561">
        <v>1.06273170356322</v>
      </c>
      <c r="AF561">
        <v>-6.4269553611767297E-2</v>
      </c>
      <c r="AG561">
        <v>0.483360312510968</v>
      </c>
      <c r="AH561">
        <v>-2.8209315331509E-2</v>
      </c>
      <c r="AI561">
        <v>-0.116711313173778</v>
      </c>
      <c r="AJ561">
        <v>-1.5522432385835101</v>
      </c>
      <c r="AK561">
        <v>43.3535629403058</v>
      </c>
      <c r="AL561">
        <v>3.21615314793977</v>
      </c>
      <c r="AM561">
        <v>48.572666666666663</v>
      </c>
      <c r="AN561">
        <v>2.6948333333333334</v>
      </c>
    </row>
    <row r="562" spans="1:40" x14ac:dyDescent="0.35">
      <c r="A562">
        <v>726</v>
      </c>
      <c r="B562">
        <v>42</v>
      </c>
      <c r="C562" t="s">
        <v>40</v>
      </c>
      <c r="D562" t="s">
        <v>41</v>
      </c>
      <c r="E562" t="s">
        <v>42</v>
      </c>
      <c r="F562" t="s">
        <v>61</v>
      </c>
      <c r="G562">
        <v>3</v>
      </c>
      <c r="H562">
        <v>9</v>
      </c>
      <c r="I562">
        <v>4</v>
      </c>
      <c r="J562" t="s">
        <v>56</v>
      </c>
      <c r="K562" t="s">
        <v>46</v>
      </c>
      <c r="L562" t="s">
        <v>71</v>
      </c>
      <c r="M562">
        <v>66.043223867179663</v>
      </c>
      <c r="N562">
        <v>688</v>
      </c>
      <c r="O562">
        <v>466</v>
      </c>
      <c r="P562">
        <v>270</v>
      </c>
      <c r="Q562">
        <v>4.5747109785033828</v>
      </c>
      <c r="R562">
        <v>3.5263605246161616</v>
      </c>
      <c r="S562">
        <v>5.1416635565026603</v>
      </c>
      <c r="T562">
        <v>92.265120976563693</v>
      </c>
      <c r="U562">
        <v>2.9351954657362995</v>
      </c>
      <c r="V562">
        <v>-8.3509539921858403E-2</v>
      </c>
      <c r="W562">
        <v>-8.6188355584626702E-2</v>
      </c>
      <c r="X562">
        <v>-6.2117403422328299E-2</v>
      </c>
      <c r="Y562">
        <v>-0.51135009403950604</v>
      </c>
      <c r="Z562">
        <v>-0.669554030021006</v>
      </c>
      <c r="AA562">
        <v>-1.4915282051312999</v>
      </c>
      <c r="AB562">
        <v>1813.5248996931791</v>
      </c>
      <c r="AC562">
        <v>1.6535284399339156</v>
      </c>
      <c r="AD562">
        <v>0.49421760679726223</v>
      </c>
      <c r="AE562">
        <v>-0.18520258641298501</v>
      </c>
      <c r="AF562">
        <v>0.92498887543737895</v>
      </c>
      <c r="AG562">
        <v>-0.40217081144153399</v>
      </c>
      <c r="AH562">
        <v>-1.4112141933403699</v>
      </c>
      <c r="AI562">
        <v>1.4836044289928401</v>
      </c>
      <c r="AJ562">
        <v>0.76193534118230599</v>
      </c>
      <c r="AK562">
        <v>45.071283999999999</v>
      </c>
      <c r="AL562">
        <v>4.8370730000000002</v>
      </c>
      <c r="AM562">
        <v>45.656000000000006</v>
      </c>
      <c r="AN562">
        <v>4.9800000000000004</v>
      </c>
    </row>
    <row r="563" spans="1:40" x14ac:dyDescent="0.35">
      <c r="A563">
        <v>727</v>
      </c>
      <c r="B563">
        <v>42</v>
      </c>
      <c r="C563" t="s">
        <v>48</v>
      </c>
      <c r="D563" t="s">
        <v>41</v>
      </c>
      <c r="E563" t="s">
        <v>42</v>
      </c>
      <c r="F563" t="s">
        <v>49</v>
      </c>
      <c r="G563">
        <v>3</v>
      </c>
      <c r="H563">
        <v>9</v>
      </c>
      <c r="I563">
        <v>5</v>
      </c>
      <c r="J563" t="s">
        <v>56</v>
      </c>
      <c r="K563" t="s">
        <v>46</v>
      </c>
      <c r="L563" t="s">
        <v>60</v>
      </c>
      <c r="M563">
        <v>567.10864805143422</v>
      </c>
      <c r="N563">
        <v>25</v>
      </c>
      <c r="O563">
        <v>37</v>
      </c>
      <c r="P563">
        <v>27</v>
      </c>
      <c r="Q563">
        <v>3.8501476017100584</v>
      </c>
      <c r="R563">
        <v>2.9957322735539909</v>
      </c>
      <c r="S563">
        <v>5.4424177105217932</v>
      </c>
      <c r="T563">
        <v>88.975873222691746</v>
      </c>
      <c r="U563">
        <v>2.5514539469641888</v>
      </c>
      <c r="V563">
        <v>2.9336799326863701</v>
      </c>
      <c r="W563">
        <v>3.3730943146768602</v>
      </c>
      <c r="X563">
        <v>3.6072071704345601</v>
      </c>
      <c r="Y563">
        <v>-0.19189497559235799</v>
      </c>
      <c r="Z563">
        <v>0.17569111512999699</v>
      </c>
      <c r="AA563">
        <v>-0.304970615080496</v>
      </c>
      <c r="AB563">
        <v>1906.836709612184</v>
      </c>
      <c r="AC563">
        <v>0.7978420820676605</v>
      </c>
      <c r="AD563">
        <v>2.1056638128240834</v>
      </c>
      <c r="AE563">
        <v>-0.25037207080954499</v>
      </c>
      <c r="AF563">
        <v>0.94036940846815498</v>
      </c>
      <c r="AG563">
        <v>2.68992718281299E-2</v>
      </c>
      <c r="AH563">
        <v>0.58246877631016802</v>
      </c>
      <c r="AI563">
        <v>0.22666898973149899</v>
      </c>
      <c r="AJ563">
        <v>0.58813751102247802</v>
      </c>
      <c r="AK563">
        <v>44.055988999999997</v>
      </c>
      <c r="AL563">
        <v>4.8317350000000001</v>
      </c>
      <c r="AM563">
        <v>48.856372813999997</v>
      </c>
      <c r="AN563">
        <v>2.3525296170000001</v>
      </c>
    </row>
    <row r="564" spans="1:40" x14ac:dyDescent="0.35">
      <c r="A564">
        <v>728</v>
      </c>
      <c r="B564">
        <v>57</v>
      </c>
      <c r="C564" t="s">
        <v>40</v>
      </c>
      <c r="D564" t="s">
        <v>41</v>
      </c>
      <c r="E564" t="s">
        <v>42</v>
      </c>
      <c r="F564" t="s">
        <v>61</v>
      </c>
      <c r="G564">
        <v>5</v>
      </c>
      <c r="H564">
        <v>25</v>
      </c>
      <c r="I564">
        <v>4</v>
      </c>
      <c r="J564" t="s">
        <v>56</v>
      </c>
      <c r="K564" t="s">
        <v>46</v>
      </c>
      <c r="L564" t="s">
        <v>73</v>
      </c>
      <c r="M564">
        <v>16.82202681724139</v>
      </c>
      <c r="N564">
        <v>660</v>
      </c>
      <c r="O564">
        <v>412</v>
      </c>
      <c r="P564">
        <v>452</v>
      </c>
      <c r="Q564">
        <v>1.9459101490553132</v>
      </c>
      <c r="R564">
        <v>2.9444389791664403</v>
      </c>
      <c r="S564">
        <v>4.2626798770413155</v>
      </c>
      <c r="T564">
        <v>91.872500000000002</v>
      </c>
      <c r="U564">
        <v>2.0033201607997366</v>
      </c>
      <c r="V564">
        <v>7.5580716531248995E-2</v>
      </c>
      <c r="W564">
        <v>0.203376316306385</v>
      </c>
      <c r="X564">
        <v>0.143329752535333</v>
      </c>
      <c r="Y564">
        <v>1.4483117406157899</v>
      </c>
      <c r="Z564">
        <v>1.7680602694732599</v>
      </c>
      <c r="AA564">
        <v>0.26366440732357699</v>
      </c>
      <c r="AB564">
        <v>4236</v>
      </c>
      <c r="AC564">
        <v>0</v>
      </c>
      <c r="AD564">
        <v>4</v>
      </c>
      <c r="AE564">
        <v>1.6751267091712101</v>
      </c>
      <c r="AF564">
        <v>-0.63964945894645597</v>
      </c>
      <c r="AG564">
        <v>1.2139828192145301</v>
      </c>
      <c r="AH564">
        <v>-0.43003087776497601</v>
      </c>
      <c r="AI564">
        <v>8.66623228078678E-2</v>
      </c>
      <c r="AJ564">
        <v>2.9046603335585699E-2</v>
      </c>
      <c r="AK564">
        <v>44.686388999999998</v>
      </c>
      <c r="AL564">
        <v>-0.52383800000000003</v>
      </c>
      <c r="AM564">
        <v>44.792000000000002</v>
      </c>
      <c r="AN564">
        <v>-0.67600000000000005</v>
      </c>
    </row>
    <row r="565" spans="1:40" x14ac:dyDescent="0.35">
      <c r="A565">
        <v>729</v>
      </c>
      <c r="B565">
        <v>57</v>
      </c>
      <c r="C565" t="s">
        <v>48</v>
      </c>
      <c r="D565" t="s">
        <v>41</v>
      </c>
      <c r="E565" t="s">
        <v>42</v>
      </c>
      <c r="F565" t="s">
        <v>49</v>
      </c>
      <c r="G565">
        <v>5</v>
      </c>
      <c r="H565">
        <v>25</v>
      </c>
      <c r="I565">
        <v>5</v>
      </c>
      <c r="J565" t="s">
        <v>50</v>
      </c>
      <c r="K565" t="s">
        <v>46</v>
      </c>
      <c r="L565" t="s">
        <v>72</v>
      </c>
      <c r="M565">
        <v>531.08685358052799</v>
      </c>
      <c r="N565">
        <v>492</v>
      </c>
      <c r="O565">
        <v>357</v>
      </c>
      <c r="P565">
        <v>146</v>
      </c>
      <c r="Q565">
        <v>0.69314718055994529</v>
      </c>
      <c r="R565">
        <v>1.3862943611198906</v>
      </c>
      <c r="S565">
        <v>4.5538768916005408</v>
      </c>
      <c r="T565">
        <v>89.340161030595823</v>
      </c>
      <c r="U565">
        <v>1.4712304197281412</v>
      </c>
      <c r="V565">
        <v>0.59716251398508702</v>
      </c>
      <c r="W565">
        <v>0.91068296986709796</v>
      </c>
      <c r="X565">
        <v>1.2273243988355</v>
      </c>
      <c r="Y565">
        <v>-0.4121809470949</v>
      </c>
      <c r="Z565">
        <v>-0.86472582726521097</v>
      </c>
      <c r="AA565">
        <v>-1.0172779374790899</v>
      </c>
      <c r="AB565">
        <v>1828.1689246701658</v>
      </c>
      <c r="AC565">
        <v>1.1127464888636687</v>
      </c>
      <c r="AD565">
        <v>1.8630656830756136</v>
      </c>
      <c r="AE565">
        <v>-0.53926882203722504</v>
      </c>
      <c r="AF565">
        <v>0.46426159402664902</v>
      </c>
      <c r="AG565">
        <v>0.97284125371294805</v>
      </c>
      <c r="AH565">
        <v>0.224211490475175</v>
      </c>
      <c r="AI565">
        <v>1.162708909901</v>
      </c>
      <c r="AJ565">
        <v>0.96203195566570499</v>
      </c>
      <c r="AK565">
        <v>44.503641999999999</v>
      </c>
      <c r="AL565">
        <v>1.1863669999999999</v>
      </c>
      <c r="AM565">
        <v>49.1905</v>
      </c>
      <c r="AN565">
        <v>2.4909999999999997</v>
      </c>
    </row>
    <row r="566" spans="1:40" x14ac:dyDescent="0.35">
      <c r="A566">
        <v>730</v>
      </c>
      <c r="B566">
        <v>42</v>
      </c>
      <c r="C566" t="s">
        <v>40</v>
      </c>
      <c r="D566" t="s">
        <v>41</v>
      </c>
      <c r="E566" t="s">
        <v>42</v>
      </c>
      <c r="F566" t="s">
        <v>61</v>
      </c>
      <c r="G566">
        <v>5</v>
      </c>
      <c r="H566">
        <v>25</v>
      </c>
      <c r="I566">
        <v>3</v>
      </c>
      <c r="J566" t="s">
        <v>50</v>
      </c>
      <c r="K566" t="s">
        <v>46</v>
      </c>
      <c r="L566" t="s">
        <v>55</v>
      </c>
      <c r="M566">
        <v>379.40698391777141</v>
      </c>
      <c r="N566">
        <v>576</v>
      </c>
      <c r="O566">
        <v>361</v>
      </c>
      <c r="P566">
        <v>326</v>
      </c>
      <c r="Q566">
        <v>2.0794415416798357</v>
      </c>
      <c r="R566">
        <v>2.3025850929940459</v>
      </c>
      <c r="S566">
        <v>3.2580965380214821</v>
      </c>
      <c r="T566">
        <v>95.12</v>
      </c>
      <c r="U566">
        <v>0</v>
      </c>
      <c r="V566">
        <v>1.89305099905856</v>
      </c>
      <c r="W566">
        <v>0.59880690621441701</v>
      </c>
      <c r="X566">
        <v>1.1856460040685599</v>
      </c>
      <c r="Y566">
        <v>-0.15565097555555901</v>
      </c>
      <c r="Z566">
        <v>-0.22748295097212001</v>
      </c>
      <c r="AA566">
        <v>1.0415013010201299</v>
      </c>
      <c r="AB566">
        <v>2939.9504036908884</v>
      </c>
      <c r="AC566">
        <v>2</v>
      </c>
      <c r="AD566">
        <v>0.42868127643214149</v>
      </c>
      <c r="AE566">
        <v>-2.40641039566141E-2</v>
      </c>
      <c r="AF566">
        <v>-2.4104754808638802</v>
      </c>
      <c r="AG566">
        <v>-1.21467940721558</v>
      </c>
      <c r="AH566">
        <v>1.43058111720728</v>
      </c>
      <c r="AI566">
        <v>-0.57294294237542998</v>
      </c>
      <c r="AJ566">
        <v>1.38385834824302</v>
      </c>
      <c r="AK566">
        <v>48.0777517</v>
      </c>
      <c r="AL566">
        <v>7.3579641000000002</v>
      </c>
      <c r="AM566">
        <v>48.856372813999997</v>
      </c>
      <c r="AN566">
        <v>2.3525296170000001</v>
      </c>
    </row>
    <row r="567" spans="1:40" x14ac:dyDescent="0.35">
      <c r="A567">
        <v>731</v>
      </c>
      <c r="B567">
        <v>42</v>
      </c>
      <c r="C567" t="s">
        <v>40</v>
      </c>
      <c r="D567" t="s">
        <v>41</v>
      </c>
      <c r="E567" t="s">
        <v>42</v>
      </c>
      <c r="F567" t="s">
        <v>49</v>
      </c>
      <c r="G567">
        <v>6</v>
      </c>
      <c r="H567">
        <v>36</v>
      </c>
      <c r="I567">
        <v>5</v>
      </c>
      <c r="J567" t="s">
        <v>50</v>
      </c>
      <c r="K567" t="s">
        <v>46</v>
      </c>
      <c r="L567" t="s">
        <v>72</v>
      </c>
      <c r="M567">
        <v>492.64404854898049</v>
      </c>
      <c r="N567">
        <v>873</v>
      </c>
      <c r="O567">
        <v>450</v>
      </c>
      <c r="P567">
        <v>396</v>
      </c>
      <c r="Q567">
        <v>0.69314718055994529</v>
      </c>
      <c r="R567">
        <v>1.3862943611198906</v>
      </c>
      <c r="S567">
        <v>4.5538768916005408</v>
      </c>
      <c r="T567">
        <v>89.340161030595823</v>
      </c>
      <c r="U567">
        <v>1.4712304197281412</v>
      </c>
      <c r="V567">
        <v>0.59716251398508702</v>
      </c>
      <c r="W567">
        <v>0.91068296986709796</v>
      </c>
      <c r="X567">
        <v>1.2273243988355</v>
      </c>
      <c r="Y567">
        <v>-0.4121809470949</v>
      </c>
      <c r="Z567">
        <v>-0.86472582726521097</v>
      </c>
      <c r="AA567">
        <v>-1.0172779374790899</v>
      </c>
      <c r="AB567">
        <v>1828.1689246701658</v>
      </c>
      <c r="AC567">
        <v>1.1127464888636687</v>
      </c>
      <c r="AD567">
        <v>1.8630656830756136</v>
      </c>
      <c r="AE567">
        <v>-0.53926882203722504</v>
      </c>
      <c r="AF567">
        <v>-1.9481908550729099</v>
      </c>
      <c r="AG567">
        <v>1.2095330761177701</v>
      </c>
      <c r="AH567">
        <v>1.36988450686848</v>
      </c>
      <c r="AI567">
        <v>-0.54725653018209197</v>
      </c>
      <c r="AJ567">
        <v>1.43118745976089</v>
      </c>
      <c r="AK567">
        <v>44.503641999999999</v>
      </c>
      <c r="AL567">
        <v>1.1863669999999999</v>
      </c>
      <c r="AM567">
        <v>48.856372813999997</v>
      </c>
      <c r="AN567">
        <v>2.3525296170000001</v>
      </c>
    </row>
    <row r="568" spans="1:40" x14ac:dyDescent="0.35">
      <c r="A568">
        <v>732</v>
      </c>
      <c r="B568">
        <v>72</v>
      </c>
      <c r="C568" t="s">
        <v>40</v>
      </c>
      <c r="D568" t="s">
        <v>52</v>
      </c>
      <c r="E568" t="s">
        <v>42</v>
      </c>
      <c r="F568" t="s">
        <v>49</v>
      </c>
      <c r="G568">
        <v>5</v>
      </c>
      <c r="H568">
        <v>25</v>
      </c>
      <c r="I568">
        <v>5</v>
      </c>
      <c r="J568" t="s">
        <v>56</v>
      </c>
      <c r="K568" t="s">
        <v>46</v>
      </c>
      <c r="L568" t="s">
        <v>65</v>
      </c>
      <c r="M568">
        <v>698.22697995048236</v>
      </c>
      <c r="N568">
        <v>321</v>
      </c>
      <c r="O568">
        <v>204</v>
      </c>
      <c r="P568">
        <v>127</v>
      </c>
      <c r="Q568">
        <v>0</v>
      </c>
      <c r="R568">
        <v>0</v>
      </c>
      <c r="S568">
        <v>4.4543472962535073</v>
      </c>
      <c r="T568">
        <v>89.333044733044744</v>
      </c>
      <c r="U568">
        <v>1.2554235437523662</v>
      </c>
      <c r="V568">
        <v>1.64975517953679</v>
      </c>
      <c r="W568">
        <v>2.4220969657957299</v>
      </c>
      <c r="X568">
        <v>1.68128863126442</v>
      </c>
      <c r="Y568">
        <v>2.0553398017137301</v>
      </c>
      <c r="Z568">
        <v>2.0921400018840099</v>
      </c>
      <c r="AA568">
        <v>2.0596698968962701</v>
      </c>
      <c r="AB568">
        <v>3262.71</v>
      </c>
      <c r="AC568">
        <v>0.33</v>
      </c>
      <c r="AD568">
        <v>0.66</v>
      </c>
      <c r="AE568">
        <v>1.9221838973381</v>
      </c>
      <c r="AF568">
        <v>-0.838220903938526</v>
      </c>
      <c r="AG568">
        <v>0.33192540628651901</v>
      </c>
      <c r="AH568">
        <v>-0.57733983069036099</v>
      </c>
      <c r="AI568">
        <v>-1.2360946912951301</v>
      </c>
      <c r="AJ568">
        <v>8.8338258535846398E-2</v>
      </c>
      <c r="AK568">
        <v>43.537466000000002</v>
      </c>
      <c r="AL568">
        <v>6.4627330000000001</v>
      </c>
      <c r="AM568">
        <v>48.987000000000002</v>
      </c>
      <c r="AN568">
        <v>1.9630000000000001</v>
      </c>
    </row>
    <row r="569" spans="1:40" x14ac:dyDescent="0.35">
      <c r="A569">
        <v>733</v>
      </c>
      <c r="B569">
        <v>42</v>
      </c>
      <c r="C569" t="s">
        <v>48</v>
      </c>
      <c r="D569" t="s">
        <v>41</v>
      </c>
      <c r="E569" t="s">
        <v>42</v>
      </c>
      <c r="F569" t="s">
        <v>49</v>
      </c>
      <c r="G569">
        <v>6</v>
      </c>
      <c r="H569">
        <v>36</v>
      </c>
      <c r="I569">
        <v>5</v>
      </c>
      <c r="J569" t="s">
        <v>50</v>
      </c>
      <c r="K569" t="s">
        <v>46</v>
      </c>
      <c r="L569" t="s">
        <v>77</v>
      </c>
      <c r="M569">
        <v>253.57285753495381</v>
      </c>
      <c r="N569">
        <v>137</v>
      </c>
      <c r="O569">
        <v>90</v>
      </c>
      <c r="P569">
        <v>116</v>
      </c>
      <c r="Q569">
        <v>0</v>
      </c>
      <c r="R569">
        <v>2.3978952727983707</v>
      </c>
      <c r="S569">
        <v>5.1416635565026603</v>
      </c>
      <c r="T569">
        <v>90.472417453603512</v>
      </c>
      <c r="U569">
        <v>2.7735735584863375</v>
      </c>
      <c r="V569">
        <v>-0.15231437986527399</v>
      </c>
      <c r="W569">
        <v>3.49635939345109E-2</v>
      </c>
      <c r="X569">
        <v>-0.19627808847033801</v>
      </c>
      <c r="Y569">
        <v>-0.57382446736590997</v>
      </c>
      <c r="Z569">
        <v>-0.74335605457542497</v>
      </c>
      <c r="AA569">
        <v>-0.53588051656191904</v>
      </c>
      <c r="AB569">
        <v>3937</v>
      </c>
      <c r="AC569">
        <v>0</v>
      </c>
      <c r="AD569">
        <v>1</v>
      </c>
      <c r="AE569">
        <v>-0.72244456620022002</v>
      </c>
      <c r="AF569">
        <v>-0.81304198698476304</v>
      </c>
      <c r="AG569">
        <v>0.90380911454680402</v>
      </c>
      <c r="AH569">
        <v>1.2074074186745101</v>
      </c>
      <c r="AI569">
        <v>-0.13604322419058301</v>
      </c>
      <c r="AJ569">
        <v>0.230885773324293</v>
      </c>
      <c r="AK569">
        <v>47.259622</v>
      </c>
      <c r="AL569">
        <v>-7.8518000000000004E-2</v>
      </c>
      <c r="AM569">
        <v>48.856372813999997</v>
      </c>
      <c r="AN569">
        <v>2.3525296170000001</v>
      </c>
    </row>
    <row r="570" spans="1:40" x14ac:dyDescent="0.35">
      <c r="A570">
        <v>735</v>
      </c>
      <c r="B570">
        <v>57</v>
      </c>
      <c r="C570" t="s">
        <v>40</v>
      </c>
      <c r="D570" t="s">
        <v>52</v>
      </c>
      <c r="E570" t="s">
        <v>42</v>
      </c>
      <c r="F570" t="s">
        <v>49</v>
      </c>
      <c r="G570">
        <v>5</v>
      </c>
      <c r="H570">
        <v>25</v>
      </c>
      <c r="I570">
        <v>5</v>
      </c>
      <c r="J570" t="s">
        <v>45</v>
      </c>
      <c r="K570" t="s">
        <v>46</v>
      </c>
      <c r="L570" t="s">
        <v>62</v>
      </c>
      <c r="M570">
        <v>105.73814446441629</v>
      </c>
      <c r="N570">
        <v>961</v>
      </c>
      <c r="O570">
        <v>855</v>
      </c>
      <c r="P570">
        <v>1800</v>
      </c>
      <c r="Q570">
        <v>0.69314718055994529</v>
      </c>
      <c r="R570">
        <v>3.2580965380214821</v>
      </c>
      <c r="S570">
        <v>3.2580965380214821</v>
      </c>
      <c r="T570">
        <v>95.68</v>
      </c>
      <c r="U570">
        <v>0</v>
      </c>
      <c r="V570">
        <v>1.82802042479695</v>
      </c>
      <c r="W570">
        <v>0.99424279543483596</v>
      </c>
      <c r="X570">
        <v>0.99177342203587404</v>
      </c>
      <c r="Y570">
        <v>-0.96278755162326501</v>
      </c>
      <c r="Z570">
        <v>-0.75605764486205096</v>
      </c>
      <c r="AA570">
        <v>-0.80037586101695801</v>
      </c>
      <c r="AB570">
        <v>2092.91</v>
      </c>
      <c r="AC570">
        <v>0</v>
      </c>
      <c r="AD570">
        <v>2.1</v>
      </c>
      <c r="AE570">
        <v>-1.0768626388726401</v>
      </c>
      <c r="AF570">
        <v>-1.25398094421144</v>
      </c>
      <c r="AG570">
        <v>0.69929332278588796</v>
      </c>
      <c r="AH570">
        <v>0.245307906078537</v>
      </c>
      <c r="AI570">
        <v>-0.68487875760752903</v>
      </c>
      <c r="AJ570">
        <v>0.97405671404105598</v>
      </c>
      <c r="AK570">
        <v>49.042560999999999</v>
      </c>
      <c r="AL570">
        <v>3.9528660000000002</v>
      </c>
      <c r="AM570">
        <v>48.826000000000001</v>
      </c>
      <c r="AN570">
        <v>2.5449999999999999</v>
      </c>
    </row>
    <row r="571" spans="1:40" x14ac:dyDescent="0.35">
      <c r="A571">
        <v>736</v>
      </c>
      <c r="B571">
        <v>57</v>
      </c>
      <c r="C571" t="s">
        <v>40</v>
      </c>
      <c r="D571" t="s">
        <v>52</v>
      </c>
      <c r="E571" t="s">
        <v>42</v>
      </c>
      <c r="F571" t="s">
        <v>49</v>
      </c>
      <c r="G571">
        <v>5</v>
      </c>
      <c r="H571">
        <v>25</v>
      </c>
      <c r="I571">
        <v>4</v>
      </c>
      <c r="J571" t="s">
        <v>56</v>
      </c>
      <c r="K571" t="s">
        <v>46</v>
      </c>
      <c r="L571" t="s">
        <v>78</v>
      </c>
      <c r="M571">
        <v>710.2692430118899</v>
      </c>
      <c r="N571">
        <v>752</v>
      </c>
      <c r="O571">
        <v>457</v>
      </c>
      <c r="P571">
        <v>323</v>
      </c>
      <c r="Q571">
        <v>0</v>
      </c>
      <c r="R571">
        <v>0</v>
      </c>
      <c r="S571">
        <v>3.784189633918261</v>
      </c>
      <c r="T571">
        <v>88.642856449106446</v>
      </c>
      <c r="U571">
        <v>1.0940428522509147</v>
      </c>
      <c r="V571">
        <v>8.5508000285955607E-3</v>
      </c>
      <c r="W571">
        <v>-0.51120442009665101</v>
      </c>
      <c r="X571">
        <v>-0.50395056569549701</v>
      </c>
      <c r="Y571">
        <v>-1.08176131679965</v>
      </c>
      <c r="Z571">
        <v>-1.2254354371323599</v>
      </c>
      <c r="AA571">
        <v>-2.1159072764009799</v>
      </c>
      <c r="AB571">
        <v>465.17385257301805</v>
      </c>
      <c r="AC571">
        <v>0.43254520166898469</v>
      </c>
      <c r="AD571">
        <v>0.43254520166898469</v>
      </c>
      <c r="AE571">
        <v>7.7424783941295205E-2</v>
      </c>
      <c r="AF571">
        <v>-8.49884391632095E-2</v>
      </c>
      <c r="AG571">
        <v>0.87848021253073705</v>
      </c>
      <c r="AH571">
        <v>-1.5101917854286899E-2</v>
      </c>
      <c r="AI571">
        <v>0.40148465047827397</v>
      </c>
      <c r="AJ571">
        <v>1.1070690214174199</v>
      </c>
      <c r="AK571">
        <v>42.680641999999999</v>
      </c>
      <c r="AL571">
        <v>9.3018979999999996</v>
      </c>
      <c r="AM571">
        <v>48.683331000000003</v>
      </c>
      <c r="AN571">
        <v>6.2</v>
      </c>
    </row>
    <row r="572" spans="1:40" x14ac:dyDescent="0.35">
      <c r="A572">
        <v>737</v>
      </c>
      <c r="B572">
        <v>72</v>
      </c>
      <c r="C572" t="s">
        <v>40</v>
      </c>
      <c r="D572" t="s">
        <v>41</v>
      </c>
      <c r="E572" t="s">
        <v>42</v>
      </c>
      <c r="F572" t="s">
        <v>49</v>
      </c>
      <c r="G572">
        <v>6</v>
      </c>
      <c r="H572">
        <v>36</v>
      </c>
      <c r="I572">
        <v>7</v>
      </c>
      <c r="J572" t="s">
        <v>56</v>
      </c>
      <c r="K572" t="s">
        <v>46</v>
      </c>
      <c r="L572" t="s">
        <v>47</v>
      </c>
      <c r="M572">
        <v>633.01516727332989</v>
      </c>
      <c r="N572">
        <v>317</v>
      </c>
      <c r="O572">
        <v>216</v>
      </c>
      <c r="P572">
        <v>158</v>
      </c>
      <c r="Q572">
        <v>5.9107966440405271</v>
      </c>
      <c r="R572">
        <v>6.4997870406558542</v>
      </c>
      <c r="S572">
        <v>8.6415324656718457</v>
      </c>
      <c r="T572">
        <v>89.265350482850479</v>
      </c>
      <c r="U572">
        <v>1.4417786561042019</v>
      </c>
      <c r="V572">
        <v>-0.22886708829074301</v>
      </c>
      <c r="W572">
        <v>0.28745285629339301</v>
      </c>
      <c r="X572">
        <v>-0.15627425222847</v>
      </c>
      <c r="Y572">
        <v>1.45226138127617</v>
      </c>
      <c r="Z572">
        <v>0.98247225355557</v>
      </c>
      <c r="AA572">
        <v>0.627775520474398</v>
      </c>
      <c r="AB572">
        <v>3362.2959371744532</v>
      </c>
      <c r="AC572">
        <v>2.8998317172850387</v>
      </c>
      <c r="AD572">
        <v>2.9499158586425196</v>
      </c>
      <c r="AE572">
        <v>1.06273170356322</v>
      </c>
      <c r="AF572">
        <v>-0.23049510838207499</v>
      </c>
      <c r="AG572">
        <v>0.79557383466675202</v>
      </c>
      <c r="AH572">
        <v>0.27321791848925697</v>
      </c>
      <c r="AI572">
        <v>1.2271501959878901</v>
      </c>
      <c r="AJ572">
        <v>0.34237564498164802</v>
      </c>
      <c r="AK572">
        <v>43.3535629403058</v>
      </c>
      <c r="AL572">
        <v>3.21615314793977</v>
      </c>
      <c r="AM572">
        <v>48.953000000000003</v>
      </c>
      <c r="AN572">
        <v>1.7829999999999999</v>
      </c>
    </row>
    <row r="573" spans="1:40" x14ac:dyDescent="0.35">
      <c r="A573">
        <v>738</v>
      </c>
      <c r="B573">
        <v>29.5</v>
      </c>
      <c r="C573" t="s">
        <v>48</v>
      </c>
      <c r="D573" t="s">
        <v>41</v>
      </c>
      <c r="E573" t="s">
        <v>42</v>
      </c>
      <c r="F573" t="s">
        <v>49</v>
      </c>
      <c r="G573">
        <v>3</v>
      </c>
      <c r="H573">
        <v>9</v>
      </c>
      <c r="I573">
        <v>4</v>
      </c>
      <c r="J573" t="s">
        <v>56</v>
      </c>
      <c r="K573" t="s">
        <v>46</v>
      </c>
      <c r="L573" t="s">
        <v>57</v>
      </c>
      <c r="M573">
        <v>267.21848385047218</v>
      </c>
      <c r="N573">
        <v>492</v>
      </c>
      <c r="O573">
        <v>357</v>
      </c>
      <c r="P573">
        <v>146</v>
      </c>
      <c r="Q573">
        <v>0.69314718055994529</v>
      </c>
      <c r="R573">
        <v>3.6109179126442243</v>
      </c>
      <c r="S573">
        <v>5.8833223884882786</v>
      </c>
      <c r="T573">
        <v>90.922105263157903</v>
      </c>
      <c r="U573">
        <v>2.3923758041545438</v>
      </c>
      <c r="V573">
        <v>-0.399596989308249</v>
      </c>
      <c r="W573">
        <v>-0.58810405700346202</v>
      </c>
      <c r="X573">
        <v>-0.29041857108635599</v>
      </c>
      <c r="Y573">
        <v>-0.846122564821426</v>
      </c>
      <c r="Z573">
        <v>-0.92679578564836795</v>
      </c>
      <c r="AA573">
        <v>0.86332342905974202</v>
      </c>
      <c r="AB573">
        <v>2050</v>
      </c>
      <c r="AC573">
        <v>1</v>
      </c>
      <c r="AD573">
        <v>2</v>
      </c>
      <c r="AE573">
        <v>-0.51011828243844404</v>
      </c>
      <c r="AF573">
        <v>2.1960970053605502</v>
      </c>
      <c r="AG573">
        <v>-1.0498282521153</v>
      </c>
      <c r="AH573">
        <v>0.10047674014854301</v>
      </c>
      <c r="AI573">
        <v>1.4836044289928401</v>
      </c>
      <c r="AJ573">
        <v>0.76193534118230599</v>
      </c>
      <c r="AK573">
        <v>47.023905999999997</v>
      </c>
      <c r="AL573">
        <v>4.8380429999999999</v>
      </c>
      <c r="AM573">
        <v>48.80599999999999</v>
      </c>
      <c r="AN573">
        <v>2.4380000000000002</v>
      </c>
    </row>
    <row r="574" spans="1:40" x14ac:dyDescent="0.35">
      <c r="A574">
        <v>739</v>
      </c>
      <c r="B574">
        <v>29.5</v>
      </c>
      <c r="C574" t="s">
        <v>48</v>
      </c>
      <c r="D574" t="s">
        <v>41</v>
      </c>
      <c r="E574" t="s">
        <v>42</v>
      </c>
      <c r="F574" t="s">
        <v>49</v>
      </c>
      <c r="G574">
        <v>5</v>
      </c>
      <c r="H574">
        <v>25</v>
      </c>
      <c r="I574">
        <v>5</v>
      </c>
      <c r="J574" t="s">
        <v>50</v>
      </c>
      <c r="K574" t="s">
        <v>46</v>
      </c>
      <c r="L574" t="s">
        <v>55</v>
      </c>
      <c r="M574">
        <v>379.40698391777141</v>
      </c>
      <c r="N574">
        <v>927</v>
      </c>
      <c r="O574">
        <v>563</v>
      </c>
      <c r="P574">
        <v>468</v>
      </c>
      <c r="Q574">
        <v>2.0794415416798357</v>
      </c>
      <c r="R574">
        <v>2.3025850929940459</v>
      </c>
      <c r="S574">
        <v>3.2580965380214821</v>
      </c>
      <c r="T574">
        <v>95.12</v>
      </c>
      <c r="U574">
        <v>0</v>
      </c>
      <c r="V574">
        <v>1.89305099905856</v>
      </c>
      <c r="W574">
        <v>0.59880690621441701</v>
      </c>
      <c r="X574">
        <v>1.1856460040685599</v>
      </c>
      <c r="Y574">
        <v>-0.15565097555555901</v>
      </c>
      <c r="Z574">
        <v>-0.22748295097212001</v>
      </c>
      <c r="AA574">
        <v>1.0415013010201299</v>
      </c>
      <c r="AB574">
        <v>2939.9504036908884</v>
      </c>
      <c r="AC574">
        <v>2</v>
      </c>
      <c r="AD574">
        <v>0.42868127643214149</v>
      </c>
      <c r="AE574">
        <v>-2.40641039566141E-2</v>
      </c>
      <c r="AF574">
        <v>0.47392041973432603</v>
      </c>
      <c r="AG574">
        <v>0.333574784700927</v>
      </c>
      <c r="AH574">
        <v>0.53993514503822504</v>
      </c>
      <c r="AI574">
        <v>0.31860136823179702</v>
      </c>
      <c r="AJ574">
        <v>-0.13171900027125</v>
      </c>
      <c r="AK574">
        <v>48.0777517</v>
      </c>
      <c r="AL574">
        <v>7.3579641000000002</v>
      </c>
      <c r="AM574">
        <v>48.856372813999997</v>
      </c>
      <c r="AN574">
        <v>2.3525296170000001</v>
      </c>
    </row>
    <row r="575" spans="1:40" x14ac:dyDescent="0.35">
      <c r="A575">
        <v>740</v>
      </c>
      <c r="B575">
        <v>72</v>
      </c>
      <c r="C575" t="s">
        <v>48</v>
      </c>
      <c r="D575" t="s">
        <v>52</v>
      </c>
      <c r="E575" t="s">
        <v>68</v>
      </c>
      <c r="F575" t="s">
        <v>49</v>
      </c>
      <c r="G575">
        <v>6</v>
      </c>
      <c r="H575">
        <v>36</v>
      </c>
      <c r="I575">
        <v>7</v>
      </c>
      <c r="J575" t="s">
        <v>50</v>
      </c>
      <c r="K575" t="s">
        <v>46</v>
      </c>
      <c r="L575" t="s">
        <v>60</v>
      </c>
      <c r="M575">
        <v>733.1172243891192</v>
      </c>
      <c r="N575">
        <v>330</v>
      </c>
      <c r="O575">
        <v>207</v>
      </c>
      <c r="P575">
        <v>302</v>
      </c>
      <c r="Q575">
        <v>3.8501476017100584</v>
      </c>
      <c r="R575">
        <v>2.9957322735539909</v>
      </c>
      <c r="S575">
        <v>5.4424177105217932</v>
      </c>
      <c r="T575">
        <v>88.975873222691746</v>
      </c>
      <c r="U575">
        <v>2.5514539469641888</v>
      </c>
      <c r="V575">
        <v>2.9336799326863701</v>
      </c>
      <c r="W575">
        <v>3.3730943146768602</v>
      </c>
      <c r="X575">
        <v>3.6072071704345601</v>
      </c>
      <c r="Y575">
        <v>-0.19189497559235799</v>
      </c>
      <c r="Z575">
        <v>0.17569111512999699</v>
      </c>
      <c r="AA575">
        <v>-0.304970615080496</v>
      </c>
      <c r="AB575">
        <v>1906.836709612184</v>
      </c>
      <c r="AC575">
        <v>0.7978420820676605</v>
      </c>
      <c r="AD575">
        <v>2.1056638128240834</v>
      </c>
      <c r="AE575">
        <v>-0.25037207080954499</v>
      </c>
      <c r="AF575">
        <v>0.81361031037409903</v>
      </c>
      <c r="AG575">
        <v>0.78652447640816003</v>
      </c>
      <c r="AH575">
        <v>0.88974722940321904</v>
      </c>
      <c r="AI575">
        <v>-0.122028446250527</v>
      </c>
      <c r="AJ575">
        <v>-7.9624557425401999E-4</v>
      </c>
      <c r="AK575">
        <v>44.055988999999997</v>
      </c>
      <c r="AL575">
        <v>4.8317350000000001</v>
      </c>
      <c r="AM575">
        <v>50.640682937000001</v>
      </c>
      <c r="AN575">
        <v>4.6610704270000003</v>
      </c>
    </row>
    <row r="576" spans="1:40" x14ac:dyDescent="0.35">
      <c r="A576">
        <v>741</v>
      </c>
      <c r="B576">
        <v>42</v>
      </c>
      <c r="C576" t="s">
        <v>40</v>
      </c>
      <c r="D576" t="s">
        <v>41</v>
      </c>
      <c r="E576" t="s">
        <v>42</v>
      </c>
      <c r="F576" t="s">
        <v>61</v>
      </c>
      <c r="G576">
        <v>6</v>
      </c>
      <c r="H576">
        <v>36</v>
      </c>
      <c r="I576">
        <v>5</v>
      </c>
      <c r="J576" t="s">
        <v>50</v>
      </c>
      <c r="K576" t="s">
        <v>46</v>
      </c>
      <c r="L576" t="s">
        <v>75</v>
      </c>
      <c r="M576">
        <v>244.77109965802319</v>
      </c>
      <c r="N576">
        <v>102</v>
      </c>
      <c r="O576">
        <v>92</v>
      </c>
      <c r="P576">
        <v>155</v>
      </c>
      <c r="Q576">
        <v>0</v>
      </c>
      <c r="R576">
        <v>0</v>
      </c>
      <c r="S576">
        <v>3.5553480614894135</v>
      </c>
      <c r="T576">
        <v>87.721111111111114</v>
      </c>
      <c r="U576">
        <v>1.8185946276597997</v>
      </c>
      <c r="V576">
        <v>-1.01058566247205</v>
      </c>
      <c r="W576">
        <v>-0.72487722485772399</v>
      </c>
      <c r="X576">
        <v>-0.83814251792544203</v>
      </c>
      <c r="Y576">
        <v>0.643019057251217</v>
      </c>
      <c r="Z576">
        <v>0.97010361819212798</v>
      </c>
      <c r="AA576">
        <v>-1.0557286875948499</v>
      </c>
      <c r="AB576">
        <v>4179</v>
      </c>
      <c r="AC576">
        <v>0</v>
      </c>
      <c r="AD576">
        <v>0</v>
      </c>
      <c r="AE576">
        <v>0.59808311135132897</v>
      </c>
      <c r="AF576">
        <v>1.0060181786495599</v>
      </c>
      <c r="AG576">
        <v>0.551922641249733</v>
      </c>
      <c r="AH576">
        <v>-0.15299851530015601</v>
      </c>
      <c r="AI576">
        <v>0.21434900839855101</v>
      </c>
      <c r="AJ576">
        <v>0.40288525600778202</v>
      </c>
      <c r="AK576">
        <v>47.087721999999999</v>
      </c>
      <c r="AL576">
        <v>-1.2817419999999999</v>
      </c>
      <c r="AM576">
        <v>45.013571428571431</v>
      </c>
      <c r="AN576">
        <v>-0.22985714285714282</v>
      </c>
    </row>
    <row r="577" spans="1:40" x14ac:dyDescent="0.35">
      <c r="A577">
        <v>742</v>
      </c>
      <c r="B577">
        <v>72</v>
      </c>
      <c r="C577" t="s">
        <v>40</v>
      </c>
      <c r="D577" t="s">
        <v>52</v>
      </c>
      <c r="E577" t="s">
        <v>42</v>
      </c>
      <c r="F577" t="s">
        <v>49</v>
      </c>
      <c r="G577">
        <v>6</v>
      </c>
      <c r="H577">
        <v>36</v>
      </c>
      <c r="I577">
        <v>6</v>
      </c>
      <c r="J577" t="s">
        <v>50</v>
      </c>
      <c r="K577" t="s">
        <v>46</v>
      </c>
      <c r="L577" t="s">
        <v>59</v>
      </c>
      <c r="M577">
        <v>94.152973281036807</v>
      </c>
      <c r="N577">
        <v>794</v>
      </c>
      <c r="O577">
        <v>491</v>
      </c>
      <c r="P577">
        <v>339</v>
      </c>
      <c r="Q577">
        <v>1.3862943611198906</v>
      </c>
      <c r="R577">
        <v>1.3862943611198906</v>
      </c>
      <c r="S577">
        <v>4.9972122737641147</v>
      </c>
      <c r="T577">
        <v>90.035146103896111</v>
      </c>
      <c r="U577">
        <v>1.418823059726001</v>
      </c>
      <c r="V577">
        <v>-0.52223564926899602</v>
      </c>
      <c r="W577">
        <v>-0.46072710968150399</v>
      </c>
      <c r="X577">
        <v>-0.361786268345754</v>
      </c>
      <c r="Y577">
        <v>-0.552694479448822</v>
      </c>
      <c r="Z577">
        <v>2.1676297177028899E-2</v>
      </c>
      <c r="AA577">
        <v>0.625223797005378</v>
      </c>
      <c r="AB577">
        <v>2234.6992515788952</v>
      </c>
      <c r="AC577">
        <v>0</v>
      </c>
      <c r="AD577">
        <v>0.12112735591028891</v>
      </c>
      <c r="AE577">
        <v>-0.60610368582010199</v>
      </c>
      <c r="AF577">
        <v>-0.28962159981261598</v>
      </c>
      <c r="AG577">
        <v>1.0891546151690199</v>
      </c>
      <c r="AH577">
        <v>0.29677996584646898</v>
      </c>
      <c r="AI577">
        <v>-0.96821610291228799</v>
      </c>
      <c r="AJ577">
        <v>1.7325814446583401</v>
      </c>
      <c r="AK577">
        <v>47.411035099999999</v>
      </c>
      <c r="AL577">
        <v>0.98369799999999996</v>
      </c>
      <c r="AM577">
        <v>46.716666666666661</v>
      </c>
      <c r="AN577">
        <v>1.6926666666666665</v>
      </c>
    </row>
    <row r="578" spans="1:40" x14ac:dyDescent="0.35">
      <c r="A578">
        <v>743</v>
      </c>
      <c r="B578">
        <v>72</v>
      </c>
      <c r="C578" t="s">
        <v>40</v>
      </c>
      <c r="D578" t="s">
        <v>52</v>
      </c>
      <c r="E578" t="s">
        <v>42</v>
      </c>
      <c r="F578" t="s">
        <v>49</v>
      </c>
      <c r="G578">
        <v>4</v>
      </c>
      <c r="H578">
        <v>16</v>
      </c>
      <c r="I578">
        <v>2</v>
      </c>
      <c r="J578" t="s">
        <v>56</v>
      </c>
      <c r="K578" t="s">
        <v>46</v>
      </c>
      <c r="L578" t="s">
        <v>47</v>
      </c>
      <c r="M578">
        <v>640.00695137347884</v>
      </c>
      <c r="N578">
        <v>561</v>
      </c>
      <c r="O578">
        <v>290</v>
      </c>
      <c r="P578">
        <v>303</v>
      </c>
      <c r="Q578">
        <v>5.9107966440405271</v>
      </c>
      <c r="R578">
        <v>6.4997870406558542</v>
      </c>
      <c r="S578">
        <v>8.6415324656718457</v>
      </c>
      <c r="T578">
        <v>89.265350482850479</v>
      </c>
      <c r="U578">
        <v>1.4417786561042019</v>
      </c>
      <c r="V578">
        <v>-0.22886708829074301</v>
      </c>
      <c r="W578">
        <v>0.28745285629339301</v>
      </c>
      <c r="X578">
        <v>-0.15627425222847</v>
      </c>
      <c r="Y578">
        <v>1.45226138127617</v>
      </c>
      <c r="Z578">
        <v>0.98247225355557</v>
      </c>
      <c r="AA578">
        <v>0.627775520474398</v>
      </c>
      <c r="AB578">
        <v>3362.2959371744532</v>
      </c>
      <c r="AC578">
        <v>2.8998317172850387</v>
      </c>
      <c r="AD578">
        <v>2.9499158586425196</v>
      </c>
      <c r="AE578">
        <v>1.06273170356322</v>
      </c>
      <c r="AF578">
        <v>-0.96052800384799697</v>
      </c>
      <c r="AG578">
        <v>0.71111869979701703</v>
      </c>
      <c r="AH578">
        <v>1.1444292719172899</v>
      </c>
      <c r="AI578">
        <v>0.76625204919996004</v>
      </c>
      <c r="AJ578">
        <v>-1.5435478824767599</v>
      </c>
      <c r="AK578">
        <v>43.3535629403058</v>
      </c>
      <c r="AL578">
        <v>3.21615314793977</v>
      </c>
      <c r="AM578">
        <v>49.040999999999997</v>
      </c>
      <c r="AN578">
        <v>1.9990000000000001</v>
      </c>
    </row>
    <row r="579" spans="1:40" x14ac:dyDescent="0.35">
      <c r="A579">
        <v>744</v>
      </c>
      <c r="B579">
        <v>42</v>
      </c>
      <c r="C579" t="s">
        <v>40</v>
      </c>
      <c r="D579" t="s">
        <v>66</v>
      </c>
      <c r="E579" t="s">
        <v>42</v>
      </c>
      <c r="F579" t="s">
        <v>49</v>
      </c>
      <c r="G579">
        <v>5</v>
      </c>
      <c r="H579">
        <v>25</v>
      </c>
      <c r="I579">
        <v>7</v>
      </c>
      <c r="J579" t="s">
        <v>50</v>
      </c>
      <c r="K579" t="s">
        <v>46</v>
      </c>
      <c r="L579" t="s">
        <v>69</v>
      </c>
      <c r="M579">
        <v>494.76772654621692</v>
      </c>
      <c r="N579">
        <v>1064</v>
      </c>
      <c r="O579">
        <v>635</v>
      </c>
      <c r="P579">
        <v>398</v>
      </c>
      <c r="Q579">
        <v>2.3978952727983707</v>
      </c>
      <c r="R579">
        <v>4.5538768916005408</v>
      </c>
      <c r="S579">
        <v>5.4847969334906548</v>
      </c>
      <c r="T579">
        <v>93.296000000000006</v>
      </c>
      <c r="U579">
        <v>2.2325431437911538</v>
      </c>
      <c r="V579">
        <v>-0.44922684044461197</v>
      </c>
      <c r="W579">
        <v>-0.76855194782346203</v>
      </c>
      <c r="X579">
        <v>-0.44700324392789598</v>
      </c>
      <c r="Y579">
        <v>-0.846122564821426</v>
      </c>
      <c r="Z579">
        <v>-0.92679578564836795</v>
      </c>
      <c r="AA579">
        <v>0.86332342905974202</v>
      </c>
      <c r="AB579">
        <v>2050</v>
      </c>
      <c r="AC579">
        <v>1</v>
      </c>
      <c r="AD579">
        <v>2</v>
      </c>
      <c r="AE579">
        <v>-0.51011828243844404</v>
      </c>
      <c r="AF579">
        <v>0.79179377991877098</v>
      </c>
      <c r="AG579">
        <v>-0.40588676319831002</v>
      </c>
      <c r="AH579">
        <v>-2.8021025803608501</v>
      </c>
      <c r="AI579">
        <v>-0.97326537919395795</v>
      </c>
      <c r="AJ579">
        <v>-0.56846564555291801</v>
      </c>
      <c r="AK579">
        <v>47.177235000000003</v>
      </c>
      <c r="AL579">
        <v>4.964315</v>
      </c>
      <c r="AM579">
        <v>49.246222222222222</v>
      </c>
      <c r="AN579">
        <v>-0.94166666666666687</v>
      </c>
    </row>
    <row r="580" spans="1:40" x14ac:dyDescent="0.35">
      <c r="A580">
        <v>745</v>
      </c>
      <c r="B580">
        <v>72</v>
      </c>
      <c r="C580" t="s">
        <v>40</v>
      </c>
      <c r="D580" t="s">
        <v>52</v>
      </c>
      <c r="E580" t="s">
        <v>42</v>
      </c>
      <c r="F580" t="s">
        <v>49</v>
      </c>
      <c r="G580">
        <v>5</v>
      </c>
      <c r="H580">
        <v>25</v>
      </c>
      <c r="I580">
        <v>5</v>
      </c>
      <c r="J580" t="s">
        <v>56</v>
      </c>
      <c r="K580" t="s">
        <v>46</v>
      </c>
      <c r="L580" t="s">
        <v>79</v>
      </c>
      <c r="M580">
        <v>881.24622080836161</v>
      </c>
      <c r="N580">
        <v>752</v>
      </c>
      <c r="O580">
        <v>457</v>
      </c>
      <c r="P580">
        <v>323</v>
      </c>
      <c r="Q580">
        <v>0</v>
      </c>
      <c r="R580">
        <v>1.0986122886681098</v>
      </c>
      <c r="S580">
        <v>4.4659081186545837</v>
      </c>
      <c r="T580">
        <v>90.88000000000001</v>
      </c>
      <c r="U580">
        <v>0.63076672920079646</v>
      </c>
      <c r="V580">
        <v>-0.66459185691613598</v>
      </c>
      <c r="W580">
        <v>-0.11297510960708999</v>
      </c>
      <c r="X580">
        <v>-0.19037106594949799</v>
      </c>
      <c r="Y580">
        <v>-0.374020329094302</v>
      </c>
      <c r="Z580">
        <v>-0.78642831806525804</v>
      </c>
      <c r="AA580">
        <v>-1.3830773108541501</v>
      </c>
      <c r="AB580">
        <v>1910</v>
      </c>
      <c r="AC580">
        <v>4</v>
      </c>
      <c r="AD580">
        <v>0</v>
      </c>
      <c r="AE580">
        <v>3.4620335695619099E-2</v>
      </c>
      <c r="AF580">
        <v>-0.27452215235520799</v>
      </c>
      <c r="AG580">
        <v>1.0449803728698699</v>
      </c>
      <c r="AH580">
        <v>0.63087440318743504</v>
      </c>
      <c r="AI580">
        <v>0.3141843186874767</v>
      </c>
      <c r="AJ580">
        <v>0.60002086165385227</v>
      </c>
      <c r="AK580">
        <v>42.698529999999998</v>
      </c>
      <c r="AL580">
        <v>2.8953120000000001</v>
      </c>
      <c r="AM580">
        <v>50.611333333333334</v>
      </c>
      <c r="AN580">
        <v>3.242666666666667</v>
      </c>
    </row>
    <row r="581" spans="1:40" x14ac:dyDescent="0.35">
      <c r="A581">
        <v>746</v>
      </c>
      <c r="B581">
        <v>42</v>
      </c>
      <c r="C581" t="s">
        <v>40</v>
      </c>
      <c r="D581" t="s">
        <v>41</v>
      </c>
      <c r="E581" t="s">
        <v>42</v>
      </c>
      <c r="F581" t="s">
        <v>49</v>
      </c>
      <c r="G581">
        <v>4</v>
      </c>
      <c r="H581">
        <v>16</v>
      </c>
      <c r="I581">
        <v>3</v>
      </c>
      <c r="J581" t="s">
        <v>56</v>
      </c>
      <c r="K581" t="s">
        <v>46</v>
      </c>
      <c r="L581" t="s">
        <v>47</v>
      </c>
      <c r="M581">
        <v>623.90645480203455</v>
      </c>
      <c r="N581">
        <v>134</v>
      </c>
      <c r="O581">
        <v>85</v>
      </c>
      <c r="P581">
        <v>131</v>
      </c>
      <c r="Q581">
        <v>5.9107966440405271</v>
      </c>
      <c r="R581">
        <v>6.4997870406558542</v>
      </c>
      <c r="S581">
        <v>8.6415324656718457</v>
      </c>
      <c r="T581">
        <v>89.265350482850479</v>
      </c>
      <c r="U581">
        <v>1.4417786561042019</v>
      </c>
      <c r="V581">
        <v>-0.22886708829074301</v>
      </c>
      <c r="W581">
        <v>0.28745285629339301</v>
      </c>
      <c r="X581">
        <v>-0.15627425222847</v>
      </c>
      <c r="Y581">
        <v>1.45226138127617</v>
      </c>
      <c r="Z581">
        <v>0.98247225355557</v>
      </c>
      <c r="AA581">
        <v>0.627775520474398</v>
      </c>
      <c r="AB581">
        <v>3362.2959371744532</v>
      </c>
      <c r="AC581">
        <v>2.8998317172850387</v>
      </c>
      <c r="AD581">
        <v>2.9499158586425196</v>
      </c>
      <c r="AE581">
        <v>1.06273170356322</v>
      </c>
      <c r="AF581">
        <v>0.141726119332682</v>
      </c>
      <c r="AG581">
        <v>0.125186599843609</v>
      </c>
      <c r="AH581">
        <v>-1.7021064703190001</v>
      </c>
      <c r="AI581">
        <v>-4.1657818390555601E-2</v>
      </c>
      <c r="AJ581">
        <v>-0.73025892549869498</v>
      </c>
      <c r="AK581">
        <v>43.3535629403058</v>
      </c>
      <c r="AL581">
        <v>3.21615314793977</v>
      </c>
      <c r="AM581">
        <v>48.911999999999999</v>
      </c>
      <c r="AN581">
        <v>2.1779999999999999</v>
      </c>
    </row>
    <row r="582" spans="1:40" x14ac:dyDescent="0.35">
      <c r="A582">
        <v>747</v>
      </c>
      <c r="B582">
        <v>42</v>
      </c>
      <c r="C582" t="s">
        <v>40</v>
      </c>
      <c r="D582" t="s">
        <v>41</v>
      </c>
      <c r="E582" t="s">
        <v>42</v>
      </c>
      <c r="F582" t="s">
        <v>49</v>
      </c>
      <c r="G582">
        <v>4</v>
      </c>
      <c r="H582">
        <v>16</v>
      </c>
      <c r="I582">
        <v>6</v>
      </c>
      <c r="J582" t="s">
        <v>50</v>
      </c>
      <c r="K582" t="s">
        <v>46</v>
      </c>
      <c r="L582" t="s">
        <v>65</v>
      </c>
      <c r="M582">
        <v>92.356020833702601</v>
      </c>
      <c r="N582">
        <v>51</v>
      </c>
      <c r="O582">
        <v>75</v>
      </c>
      <c r="P582">
        <v>30</v>
      </c>
      <c r="Q582">
        <v>0</v>
      </c>
      <c r="R582">
        <v>0</v>
      </c>
      <c r="S582">
        <v>4.4543472962535073</v>
      </c>
      <c r="T582">
        <v>89.333044733044744</v>
      </c>
      <c r="U582">
        <v>1.2554235437523662</v>
      </c>
      <c r="V582">
        <v>1.64975517953679</v>
      </c>
      <c r="W582">
        <v>2.4220969657957299</v>
      </c>
      <c r="X582">
        <v>1.68128863126442</v>
      </c>
      <c r="Y582">
        <v>2.0553398017137301</v>
      </c>
      <c r="Z582">
        <v>2.0921400018840099</v>
      </c>
      <c r="AA582">
        <v>2.0596698968962701</v>
      </c>
      <c r="AB582">
        <v>3262.71</v>
      </c>
      <c r="AC582">
        <v>0.33</v>
      </c>
      <c r="AD582">
        <v>0.66</v>
      </c>
      <c r="AE582">
        <v>1.9221838973381</v>
      </c>
      <c r="AF582">
        <v>-2.129797881365E-2</v>
      </c>
      <c r="AG582">
        <v>0.20152770023015201</v>
      </c>
      <c r="AH582">
        <v>4.8814120647363603E-2</v>
      </c>
      <c r="AI582">
        <v>-0.22779849010095901</v>
      </c>
      <c r="AJ582">
        <v>1.3623185066719401</v>
      </c>
      <c r="AK582">
        <v>43.537466000000002</v>
      </c>
      <c r="AL582">
        <v>6.4627330000000001</v>
      </c>
      <c r="AM582">
        <v>43.305520899999998</v>
      </c>
      <c r="AN582">
        <v>5.3660024000000002</v>
      </c>
    </row>
    <row r="583" spans="1:40" x14ac:dyDescent="0.35">
      <c r="A583">
        <v>748</v>
      </c>
      <c r="B583">
        <v>29.5</v>
      </c>
      <c r="C583" t="s">
        <v>40</v>
      </c>
      <c r="D583" t="s">
        <v>66</v>
      </c>
      <c r="E583" t="s">
        <v>42</v>
      </c>
      <c r="F583" t="s">
        <v>53</v>
      </c>
      <c r="G583">
        <v>5</v>
      </c>
      <c r="H583">
        <v>25</v>
      </c>
      <c r="I583">
        <v>3</v>
      </c>
      <c r="J583" t="s">
        <v>50</v>
      </c>
      <c r="K583" t="s">
        <v>46</v>
      </c>
      <c r="L583" t="s">
        <v>63</v>
      </c>
      <c r="M583">
        <v>21.537204225627391</v>
      </c>
      <c r="N583">
        <v>143</v>
      </c>
      <c r="O583">
        <v>100</v>
      </c>
      <c r="P583">
        <v>80</v>
      </c>
      <c r="Q583">
        <v>0</v>
      </c>
      <c r="R583">
        <v>0</v>
      </c>
      <c r="S583">
        <v>2.1972245773362196</v>
      </c>
      <c r="T583">
        <v>88.571764705882345</v>
      </c>
      <c r="U583">
        <v>1.0581645007873905</v>
      </c>
      <c r="V583">
        <v>-0.86345913794285001</v>
      </c>
      <c r="W583">
        <v>-0.82100750411685597</v>
      </c>
      <c r="X583">
        <v>-0.74332398245148801</v>
      </c>
      <c r="Y583">
        <v>1.4483117406157899</v>
      </c>
      <c r="Z583">
        <v>1.7680602694732599</v>
      </c>
      <c r="AA583">
        <v>0.26366440732357699</v>
      </c>
      <c r="AB583">
        <v>4236</v>
      </c>
      <c r="AC583">
        <v>0</v>
      </c>
      <c r="AD583">
        <v>4</v>
      </c>
      <c r="AE583">
        <v>1.6751267091712101</v>
      </c>
      <c r="AF583">
        <v>4.13076263425717E-2</v>
      </c>
      <c r="AG583">
        <v>-1.2118109735229301</v>
      </c>
      <c r="AH583">
        <v>1.16670305062805</v>
      </c>
      <c r="AI583">
        <v>0.11152654959859901</v>
      </c>
      <c r="AJ583">
        <v>-0.36663289828613899</v>
      </c>
      <c r="AK583">
        <v>45.086143999999997</v>
      </c>
      <c r="AL583">
        <v>-0.60531999999999997</v>
      </c>
      <c r="AM583">
        <v>45.27957142857143</v>
      </c>
      <c r="AN583">
        <v>-0.59942857142857153</v>
      </c>
    </row>
    <row r="584" spans="1:40" x14ac:dyDescent="0.35">
      <c r="A584">
        <v>750</v>
      </c>
      <c r="B584">
        <v>72</v>
      </c>
      <c r="C584" t="s">
        <v>40</v>
      </c>
      <c r="D584" t="s">
        <v>52</v>
      </c>
      <c r="E584" t="s">
        <v>42</v>
      </c>
      <c r="F584" t="s">
        <v>49</v>
      </c>
      <c r="G584">
        <v>4</v>
      </c>
      <c r="H584">
        <v>16</v>
      </c>
      <c r="I584">
        <v>6</v>
      </c>
      <c r="J584" t="s">
        <v>56</v>
      </c>
      <c r="K584" t="s">
        <v>46</v>
      </c>
      <c r="L584" t="s">
        <v>62</v>
      </c>
      <c r="M584">
        <v>118.81389814254101</v>
      </c>
      <c r="N584">
        <v>616</v>
      </c>
      <c r="O584">
        <v>396</v>
      </c>
      <c r="P584">
        <v>223</v>
      </c>
      <c r="Q584">
        <v>0.69314718055994529</v>
      </c>
      <c r="R584">
        <v>3.2580965380214821</v>
      </c>
      <c r="S584">
        <v>3.2580965380214821</v>
      </c>
      <c r="T584">
        <v>95.68</v>
      </c>
      <c r="U584">
        <v>0</v>
      </c>
      <c r="V584">
        <v>1.82802042479695</v>
      </c>
      <c r="W584">
        <v>0.99424279543483596</v>
      </c>
      <c r="X584">
        <v>0.99177342203587404</v>
      </c>
      <c r="Y584">
        <v>-0.96278755162326501</v>
      </c>
      <c r="Z584">
        <v>-0.75605764486205096</v>
      </c>
      <c r="AA584">
        <v>-0.80037586101695801</v>
      </c>
      <c r="AB584">
        <v>2092.91</v>
      </c>
      <c r="AC584">
        <v>0</v>
      </c>
      <c r="AD584">
        <v>2.1</v>
      </c>
      <c r="AE584">
        <v>-1.0768626388726401</v>
      </c>
      <c r="AF584">
        <v>0.124168362930569</v>
      </c>
      <c r="AG584">
        <v>0.41853138582585497</v>
      </c>
      <c r="AH584">
        <v>0.77222223374087196</v>
      </c>
      <c r="AI584">
        <v>1.2930289610854999</v>
      </c>
      <c r="AJ584">
        <v>-0.40850832709685098</v>
      </c>
      <c r="AK584">
        <v>49.042560999999999</v>
      </c>
      <c r="AL584">
        <v>3.9528660000000002</v>
      </c>
      <c r="AM584">
        <v>48.856372813999997</v>
      </c>
      <c r="AN584">
        <v>2.3525296170000001</v>
      </c>
    </row>
    <row r="585" spans="1:40" x14ac:dyDescent="0.35">
      <c r="A585">
        <v>751</v>
      </c>
      <c r="B585">
        <v>72</v>
      </c>
      <c r="C585" t="s">
        <v>40</v>
      </c>
      <c r="D585" t="s">
        <v>52</v>
      </c>
      <c r="E585" t="s">
        <v>42</v>
      </c>
      <c r="F585" t="s">
        <v>61</v>
      </c>
      <c r="G585">
        <v>5</v>
      </c>
      <c r="H585">
        <v>25</v>
      </c>
      <c r="I585">
        <v>5</v>
      </c>
      <c r="J585" t="s">
        <v>45</v>
      </c>
      <c r="K585" t="s">
        <v>46</v>
      </c>
      <c r="L585" t="s">
        <v>54</v>
      </c>
      <c r="M585">
        <v>490.59998388964351</v>
      </c>
      <c r="N585">
        <v>346</v>
      </c>
      <c r="O585">
        <v>190</v>
      </c>
      <c r="P585">
        <v>154</v>
      </c>
      <c r="Q585">
        <v>3.9889840465642745</v>
      </c>
      <c r="R585">
        <v>3.0910424533583161</v>
      </c>
      <c r="S585">
        <v>4.1271343850450917</v>
      </c>
      <c r="T585">
        <v>92.826666666666668</v>
      </c>
      <c r="U585">
        <v>2.9827057067926286</v>
      </c>
      <c r="V585">
        <v>-0.16604708794949699</v>
      </c>
      <c r="W585">
        <v>-0.150727876652859</v>
      </c>
      <c r="X585">
        <v>-0.19602043866096</v>
      </c>
      <c r="Y585">
        <v>1.4483117406157899</v>
      </c>
      <c r="Z585">
        <v>1.7680602694732599</v>
      </c>
      <c r="AA585">
        <v>0.26366440732357699</v>
      </c>
      <c r="AB585">
        <v>4236</v>
      </c>
      <c r="AC585">
        <v>0</v>
      </c>
      <c r="AD585">
        <v>4</v>
      </c>
      <c r="AE585">
        <v>1.6751267091712101</v>
      </c>
      <c r="AF585">
        <v>1.0845462058366799</v>
      </c>
      <c r="AG585">
        <v>0.71118524413313</v>
      </c>
      <c r="AH585">
        <v>0.86768022349059004</v>
      </c>
      <c r="AI585">
        <v>1.4836044289928401</v>
      </c>
      <c r="AJ585">
        <v>0.76193534118230599</v>
      </c>
      <c r="AK585">
        <v>44.917983300000003</v>
      </c>
      <c r="AL585">
        <v>-0.22352169999999999</v>
      </c>
      <c r="AM585">
        <v>48.9955</v>
      </c>
      <c r="AN585">
        <v>2.2290000000000001</v>
      </c>
    </row>
    <row r="586" spans="1:40" x14ac:dyDescent="0.35">
      <c r="A586">
        <v>752</v>
      </c>
      <c r="B586">
        <v>72</v>
      </c>
      <c r="C586" t="s">
        <v>40</v>
      </c>
      <c r="D586" t="s">
        <v>52</v>
      </c>
      <c r="E586" t="s">
        <v>42</v>
      </c>
      <c r="F586" t="s">
        <v>49</v>
      </c>
      <c r="G586">
        <v>5</v>
      </c>
      <c r="H586">
        <v>25</v>
      </c>
      <c r="I586">
        <v>5</v>
      </c>
      <c r="J586" t="s">
        <v>56</v>
      </c>
      <c r="K586" t="s">
        <v>46</v>
      </c>
      <c r="L586" t="s">
        <v>69</v>
      </c>
      <c r="M586">
        <v>268.59296971739383</v>
      </c>
      <c r="N586">
        <v>346</v>
      </c>
      <c r="O586">
        <v>190</v>
      </c>
      <c r="P586">
        <v>154</v>
      </c>
      <c r="Q586">
        <v>2.3978952727983707</v>
      </c>
      <c r="R586">
        <v>4.5538768916005408</v>
      </c>
      <c r="S586">
        <v>5.4847969334906548</v>
      </c>
      <c r="T586">
        <v>93.296000000000006</v>
      </c>
      <c r="U586">
        <v>2.2325431437911538</v>
      </c>
      <c r="V586">
        <v>-0.44922684044461197</v>
      </c>
      <c r="W586">
        <v>-0.76855194782346203</v>
      </c>
      <c r="X586">
        <v>-0.44700324392789598</v>
      </c>
      <c r="Y586">
        <v>-0.846122564821426</v>
      </c>
      <c r="Z586">
        <v>-0.92679578564836795</v>
      </c>
      <c r="AA586">
        <v>0.86332342905974202</v>
      </c>
      <c r="AB586">
        <v>2050</v>
      </c>
      <c r="AC586">
        <v>1</v>
      </c>
      <c r="AD586">
        <v>2</v>
      </c>
      <c r="AE586">
        <v>-0.51011828243844404</v>
      </c>
      <c r="AF586">
        <v>1.0060181786495599</v>
      </c>
      <c r="AG586">
        <v>0.551922641249733</v>
      </c>
      <c r="AH586">
        <v>-0.15299851530015601</v>
      </c>
      <c r="AI586">
        <v>0.61531408119892705</v>
      </c>
      <c r="AJ586">
        <v>-0.340691734971386</v>
      </c>
      <c r="AK586">
        <v>47.177235000000003</v>
      </c>
      <c r="AL586">
        <v>4.964315</v>
      </c>
      <c r="AM586">
        <v>48.814999999999998</v>
      </c>
      <c r="AN586">
        <v>2.3159999999999998</v>
      </c>
    </row>
    <row r="587" spans="1:40" x14ac:dyDescent="0.35">
      <c r="A587">
        <v>753</v>
      </c>
      <c r="B587">
        <v>42</v>
      </c>
      <c r="C587" t="s">
        <v>40</v>
      </c>
      <c r="D587" t="s">
        <v>41</v>
      </c>
      <c r="E587" t="s">
        <v>42</v>
      </c>
      <c r="F587" t="s">
        <v>43</v>
      </c>
      <c r="G587">
        <v>5</v>
      </c>
      <c r="H587">
        <v>25</v>
      </c>
      <c r="I587">
        <v>7</v>
      </c>
      <c r="J587" t="s">
        <v>50</v>
      </c>
      <c r="K587" t="s">
        <v>46</v>
      </c>
      <c r="L587" t="s">
        <v>69</v>
      </c>
      <c r="M587">
        <v>277.97616520664297</v>
      </c>
      <c r="N587">
        <v>224</v>
      </c>
      <c r="O587">
        <v>178</v>
      </c>
      <c r="P587">
        <v>97</v>
      </c>
      <c r="Q587">
        <v>2.3978952727983707</v>
      </c>
      <c r="R587">
        <v>4.5538768916005408</v>
      </c>
      <c r="S587">
        <v>5.4847969334906548</v>
      </c>
      <c r="T587">
        <v>93.296000000000006</v>
      </c>
      <c r="U587">
        <v>2.2325431437911538</v>
      </c>
      <c r="V587">
        <v>-0.44922684044461197</v>
      </c>
      <c r="W587">
        <v>-0.76855194782346203</v>
      </c>
      <c r="X587">
        <v>-0.44700324392789598</v>
      </c>
      <c r="Y587">
        <v>-0.846122564821426</v>
      </c>
      <c r="Z587">
        <v>-0.92679578564836795</v>
      </c>
      <c r="AA587">
        <v>0.86332342905974202</v>
      </c>
      <c r="AB587">
        <v>2050</v>
      </c>
      <c r="AC587">
        <v>1</v>
      </c>
      <c r="AD587">
        <v>2</v>
      </c>
      <c r="AE587">
        <v>-0.51011828243844404</v>
      </c>
      <c r="AF587">
        <v>1.54981664863336</v>
      </c>
      <c r="AG587">
        <v>0.88924885082559901</v>
      </c>
      <c r="AH587">
        <v>0.46037908888645601</v>
      </c>
      <c r="AI587">
        <v>1.36209269515793</v>
      </c>
      <c r="AJ587">
        <v>-0.92035478597892195</v>
      </c>
      <c r="AK587">
        <v>47.177235000000003</v>
      </c>
      <c r="AL587">
        <v>4.964315</v>
      </c>
      <c r="AM587">
        <v>48.884000000000007</v>
      </c>
      <c r="AN587">
        <v>2.238</v>
      </c>
    </row>
    <row r="588" spans="1:40" x14ac:dyDescent="0.35">
      <c r="A588">
        <v>754</v>
      </c>
      <c r="B588">
        <v>42</v>
      </c>
      <c r="C588" t="s">
        <v>40</v>
      </c>
      <c r="D588" t="s">
        <v>41</v>
      </c>
      <c r="E588" t="s">
        <v>42</v>
      </c>
      <c r="F588" t="s">
        <v>49</v>
      </c>
      <c r="G588">
        <v>5</v>
      </c>
      <c r="H588">
        <v>25</v>
      </c>
      <c r="I588">
        <v>5</v>
      </c>
      <c r="J588" t="s">
        <v>50</v>
      </c>
      <c r="K588" t="s">
        <v>46</v>
      </c>
      <c r="L588" t="s">
        <v>59</v>
      </c>
      <c r="M588">
        <v>190.33174110274479</v>
      </c>
      <c r="N588">
        <v>847</v>
      </c>
      <c r="O588">
        <v>492</v>
      </c>
      <c r="P588">
        <v>320</v>
      </c>
      <c r="Q588">
        <v>1.3862943611198906</v>
      </c>
      <c r="R588">
        <v>1.3862943611198906</v>
      </c>
      <c r="S588">
        <v>4.9972122737641147</v>
      </c>
      <c r="T588">
        <v>90.035146103896111</v>
      </c>
      <c r="U588">
        <v>1.418823059726001</v>
      </c>
      <c r="V588">
        <v>-0.52223564926899602</v>
      </c>
      <c r="W588">
        <v>-0.46072710968150399</v>
      </c>
      <c r="X588">
        <v>-0.361786268345754</v>
      </c>
      <c r="Y588">
        <v>-0.552694479448822</v>
      </c>
      <c r="Z588">
        <v>2.1676297177028899E-2</v>
      </c>
      <c r="AA588">
        <v>0.625223797005378</v>
      </c>
      <c r="AB588">
        <v>2234.6992515788952</v>
      </c>
      <c r="AC588">
        <v>0</v>
      </c>
      <c r="AD588">
        <v>0.12112735591028891</v>
      </c>
      <c r="AE588">
        <v>-0.60610368582010199</v>
      </c>
      <c r="AF588">
        <v>1.0368095419871299</v>
      </c>
      <c r="AG588">
        <v>-2.5092966833909398</v>
      </c>
      <c r="AH588">
        <v>0.86328446714210105</v>
      </c>
      <c r="AI588">
        <v>-0.21659744069884401</v>
      </c>
      <c r="AJ588">
        <v>-0.65163191041105395</v>
      </c>
      <c r="AK588">
        <v>47.411035099999999</v>
      </c>
      <c r="AL588">
        <v>0.98369799999999996</v>
      </c>
      <c r="AM588">
        <v>48.856372813999997</v>
      </c>
      <c r="AN588">
        <v>2.3525296170000001</v>
      </c>
    </row>
    <row r="589" spans="1:40" x14ac:dyDescent="0.35">
      <c r="A589">
        <v>755</v>
      </c>
      <c r="B589">
        <v>72</v>
      </c>
      <c r="C589" t="s">
        <v>40</v>
      </c>
      <c r="D589" t="s">
        <v>52</v>
      </c>
      <c r="E589" t="s">
        <v>42</v>
      </c>
      <c r="F589" t="s">
        <v>61</v>
      </c>
      <c r="G589">
        <v>5</v>
      </c>
      <c r="H589">
        <v>25</v>
      </c>
      <c r="I589">
        <v>5</v>
      </c>
      <c r="J589" t="s">
        <v>56</v>
      </c>
      <c r="K589" t="s">
        <v>46</v>
      </c>
      <c r="L589" t="s">
        <v>79</v>
      </c>
      <c r="M589">
        <v>678.29117669471248</v>
      </c>
      <c r="N589">
        <v>224</v>
      </c>
      <c r="O589">
        <v>178</v>
      </c>
      <c r="P589">
        <v>97</v>
      </c>
      <c r="Q589">
        <v>0</v>
      </c>
      <c r="R589">
        <v>1.0986122886681098</v>
      </c>
      <c r="S589">
        <v>4.4659081186545837</v>
      </c>
      <c r="T589">
        <v>90.88000000000001</v>
      </c>
      <c r="U589">
        <v>0.63076672920079646</v>
      </c>
      <c r="V589">
        <v>-0.66459185691613598</v>
      </c>
      <c r="W589">
        <v>-0.11297510960708999</v>
      </c>
      <c r="X589">
        <v>-0.19037106594949799</v>
      </c>
      <c r="Y589">
        <v>-0.374020329094302</v>
      </c>
      <c r="Z589">
        <v>-0.78642831806525804</v>
      </c>
      <c r="AA589">
        <v>-1.3830773108541501</v>
      </c>
      <c r="AB589">
        <v>1910</v>
      </c>
      <c r="AC589">
        <v>4</v>
      </c>
      <c r="AD589">
        <v>0</v>
      </c>
      <c r="AE589">
        <v>3.4620335695619099E-2</v>
      </c>
      <c r="AF589">
        <v>-0.57429236729910205</v>
      </c>
      <c r="AG589">
        <v>-0.54040118936532</v>
      </c>
      <c r="AH589">
        <v>-0.217510442348294</v>
      </c>
      <c r="AI589">
        <v>-0.35080149822263301</v>
      </c>
      <c r="AJ589">
        <v>-0.94843401517160197</v>
      </c>
      <c r="AK589">
        <v>42.698529999999998</v>
      </c>
      <c r="AL589">
        <v>2.8953120000000001</v>
      </c>
      <c r="AM589">
        <v>48.783999999999999</v>
      </c>
      <c r="AN589">
        <v>2.4550000000000001</v>
      </c>
    </row>
    <row r="590" spans="1:40" x14ac:dyDescent="0.35">
      <c r="A590">
        <v>756</v>
      </c>
      <c r="B590">
        <v>42</v>
      </c>
      <c r="C590" t="s">
        <v>40</v>
      </c>
      <c r="D590" t="s">
        <v>41</v>
      </c>
      <c r="E590" t="s">
        <v>42</v>
      </c>
      <c r="F590" t="s">
        <v>49</v>
      </c>
      <c r="G590">
        <v>5</v>
      </c>
      <c r="H590">
        <v>25</v>
      </c>
      <c r="I590">
        <v>4</v>
      </c>
      <c r="J590" t="s">
        <v>45</v>
      </c>
      <c r="K590" t="s">
        <v>46</v>
      </c>
      <c r="L590" t="s">
        <v>59</v>
      </c>
      <c r="M590">
        <v>190.33174110274479</v>
      </c>
      <c r="N590">
        <v>360</v>
      </c>
      <c r="O590">
        <v>231</v>
      </c>
      <c r="P590">
        <v>223</v>
      </c>
      <c r="Q590">
        <v>1.3862943611198906</v>
      </c>
      <c r="R590">
        <v>1.3862943611198906</v>
      </c>
      <c r="S590">
        <v>4.9972122737641147</v>
      </c>
      <c r="T590">
        <v>90.035146103896111</v>
      </c>
      <c r="U590">
        <v>1.418823059726001</v>
      </c>
      <c r="V590">
        <v>-0.52223564926899602</v>
      </c>
      <c r="W590">
        <v>-0.46072710968150399</v>
      </c>
      <c r="X590">
        <v>-0.361786268345754</v>
      </c>
      <c r="Y590">
        <v>-0.552694479448822</v>
      </c>
      <c r="Z590">
        <v>2.1676297177028899E-2</v>
      </c>
      <c r="AA590">
        <v>0.625223797005378</v>
      </c>
      <c r="AB590">
        <v>2234.6992515788952</v>
      </c>
      <c r="AC590">
        <v>0</v>
      </c>
      <c r="AD590">
        <v>0.12112735591028891</v>
      </c>
      <c r="AE590">
        <v>-0.60610368582010199</v>
      </c>
      <c r="AF590">
        <v>0.83197335732117705</v>
      </c>
      <c r="AG590">
        <v>-1.31489835081846E-2</v>
      </c>
      <c r="AH590">
        <v>-1.5826653546582401</v>
      </c>
      <c r="AI590">
        <v>-0.33992793270237398</v>
      </c>
      <c r="AJ590">
        <v>-1.3194292381764401</v>
      </c>
      <c r="AK590">
        <v>47.411035099999999</v>
      </c>
      <c r="AL590">
        <v>0.98369799999999996</v>
      </c>
      <c r="AM590">
        <v>48.856372813999997</v>
      </c>
      <c r="AN590">
        <v>2.3525296170000001</v>
      </c>
    </row>
    <row r="591" spans="1:40" x14ac:dyDescent="0.35">
      <c r="A591">
        <v>758</v>
      </c>
      <c r="B591">
        <v>42</v>
      </c>
      <c r="C591" t="s">
        <v>48</v>
      </c>
      <c r="D591" t="s">
        <v>41</v>
      </c>
      <c r="E591" t="s">
        <v>42</v>
      </c>
      <c r="F591" t="s">
        <v>49</v>
      </c>
      <c r="G591">
        <v>5</v>
      </c>
      <c r="H591">
        <v>25</v>
      </c>
      <c r="I591">
        <v>6</v>
      </c>
      <c r="J591" t="s">
        <v>50</v>
      </c>
      <c r="K591" t="s">
        <v>46</v>
      </c>
      <c r="L591" t="s">
        <v>83</v>
      </c>
      <c r="M591">
        <v>289.4025343253407</v>
      </c>
      <c r="N591">
        <v>869</v>
      </c>
      <c r="O591">
        <v>423</v>
      </c>
      <c r="P591">
        <v>323</v>
      </c>
      <c r="Q591">
        <v>0</v>
      </c>
      <c r="R591">
        <v>0</v>
      </c>
      <c r="S591">
        <v>4.4886363697321396</v>
      </c>
      <c r="T591">
        <v>90.115111111111119</v>
      </c>
      <c r="U591">
        <v>1.2513404171152498</v>
      </c>
      <c r="V591">
        <v>-0.46152060700845399</v>
      </c>
      <c r="W591">
        <v>-0.57121975163865102</v>
      </c>
      <c r="X591">
        <v>-0.33135740862223101</v>
      </c>
      <c r="Y591">
        <v>-0.77598924050104101</v>
      </c>
      <c r="Z591">
        <v>0.47668876811384397</v>
      </c>
      <c r="AA591">
        <v>0.85617757356637403</v>
      </c>
      <c r="AB591">
        <v>2565</v>
      </c>
      <c r="AC591">
        <v>1</v>
      </c>
      <c r="AD591">
        <v>0</v>
      </c>
      <c r="AE591">
        <v>-0.72514205471140702</v>
      </c>
      <c r="AF591">
        <v>0.31330702419790502</v>
      </c>
      <c r="AG591">
        <v>9.2711387629313496E-2</v>
      </c>
      <c r="AH591">
        <v>1.0933201213658501</v>
      </c>
      <c r="AI591">
        <v>-2.2288650789862301E-2</v>
      </c>
      <c r="AJ591">
        <v>-0.37380539186956802</v>
      </c>
      <c r="AK591">
        <v>46.839658</v>
      </c>
      <c r="AL591">
        <v>4.7189269999999999</v>
      </c>
      <c r="AM591">
        <v>48.836999999999996</v>
      </c>
      <c r="AN591">
        <v>2.2390000000000003</v>
      </c>
    </row>
    <row r="592" spans="1:40" x14ac:dyDescent="0.35">
      <c r="A592">
        <v>759</v>
      </c>
      <c r="B592">
        <v>57</v>
      </c>
      <c r="C592" t="s">
        <v>40</v>
      </c>
      <c r="D592" t="s">
        <v>41</v>
      </c>
      <c r="E592" t="s">
        <v>42</v>
      </c>
      <c r="F592" t="s">
        <v>49</v>
      </c>
      <c r="G592">
        <v>5</v>
      </c>
      <c r="H592">
        <v>25</v>
      </c>
      <c r="I592">
        <v>5</v>
      </c>
      <c r="J592" t="s">
        <v>50</v>
      </c>
      <c r="K592" t="s">
        <v>46</v>
      </c>
      <c r="L592" t="s">
        <v>65</v>
      </c>
      <c r="M592">
        <v>671.23208171923795</v>
      </c>
      <c r="N592">
        <v>435</v>
      </c>
      <c r="O592">
        <v>313</v>
      </c>
      <c r="P592">
        <v>215</v>
      </c>
      <c r="Q592">
        <v>0</v>
      </c>
      <c r="R592">
        <v>0</v>
      </c>
      <c r="S592">
        <v>4.4543472962535073</v>
      </c>
      <c r="T592">
        <v>89.333044733044744</v>
      </c>
      <c r="U592">
        <v>1.2554235437523662</v>
      </c>
      <c r="V592">
        <v>1.64975517953679</v>
      </c>
      <c r="W592">
        <v>2.4220969657957299</v>
      </c>
      <c r="X592">
        <v>1.68128863126442</v>
      </c>
      <c r="Y592">
        <v>2.0553398017137301</v>
      </c>
      <c r="Z592">
        <v>2.0921400018840099</v>
      </c>
      <c r="AA592">
        <v>2.0596698968962701</v>
      </c>
      <c r="AB592">
        <v>3262.71</v>
      </c>
      <c r="AC592">
        <v>0.33</v>
      </c>
      <c r="AD592">
        <v>0.66</v>
      </c>
      <c r="AE592">
        <v>1.9221838973381</v>
      </c>
      <c r="AF592">
        <v>-0.24498017666593799</v>
      </c>
      <c r="AG592">
        <v>-0.28049502675436799</v>
      </c>
      <c r="AH592">
        <v>-1.6305686402742401</v>
      </c>
      <c r="AI592">
        <v>-1.43035972464908</v>
      </c>
      <c r="AJ592">
        <v>-8.9763950915508997E-2</v>
      </c>
      <c r="AK592">
        <v>43.537466000000002</v>
      </c>
      <c r="AL592">
        <v>6.4627330000000001</v>
      </c>
      <c r="AM592">
        <v>48.856372813999997</v>
      </c>
      <c r="AN592">
        <v>2.3525296170000001</v>
      </c>
    </row>
    <row r="593" spans="1:40" x14ac:dyDescent="0.35">
      <c r="A593">
        <v>760</v>
      </c>
      <c r="B593">
        <v>57</v>
      </c>
      <c r="C593" t="s">
        <v>40</v>
      </c>
      <c r="D593" t="s">
        <v>52</v>
      </c>
      <c r="E593" t="s">
        <v>42</v>
      </c>
      <c r="F593" t="s">
        <v>49</v>
      </c>
      <c r="G593">
        <v>5</v>
      </c>
      <c r="H593">
        <v>25</v>
      </c>
      <c r="I593">
        <v>5</v>
      </c>
      <c r="J593" t="s">
        <v>50</v>
      </c>
      <c r="K593" t="s">
        <v>46</v>
      </c>
      <c r="L593" t="s">
        <v>55</v>
      </c>
      <c r="M593">
        <v>360.27973518435567</v>
      </c>
      <c r="N593">
        <v>227</v>
      </c>
      <c r="O593">
        <v>173</v>
      </c>
      <c r="P593">
        <v>133</v>
      </c>
      <c r="Q593">
        <v>2.0794415416798357</v>
      </c>
      <c r="R593">
        <v>2.3025850929940459</v>
      </c>
      <c r="S593">
        <v>3.2580965380214821</v>
      </c>
      <c r="T593">
        <v>95.12</v>
      </c>
      <c r="U593">
        <v>0</v>
      </c>
      <c r="V593">
        <v>1.89305099905856</v>
      </c>
      <c r="W593">
        <v>0.59880690621441701</v>
      </c>
      <c r="X593">
        <v>1.1856460040685599</v>
      </c>
      <c r="Y593">
        <v>-0.15565097555555901</v>
      </c>
      <c r="Z593">
        <v>-0.22748295097212001</v>
      </c>
      <c r="AA593">
        <v>1.0415013010201299</v>
      </c>
      <c r="AB593">
        <v>2939.9504036908884</v>
      </c>
      <c r="AC593">
        <v>2</v>
      </c>
      <c r="AD593">
        <v>0.42868127643214149</v>
      </c>
      <c r="AE593">
        <v>-2.40641039566141E-2</v>
      </c>
      <c r="AF593">
        <v>0.193960458242317</v>
      </c>
      <c r="AG593">
        <v>-0.69514139612231096</v>
      </c>
      <c r="AH593">
        <v>-1.0106961294714401</v>
      </c>
      <c r="AI593">
        <v>-0.25297626659498801</v>
      </c>
      <c r="AJ593">
        <v>-1.4433188111250701</v>
      </c>
      <c r="AK593">
        <v>48.0777517</v>
      </c>
      <c r="AL593">
        <v>7.3579641000000002</v>
      </c>
      <c r="AM593">
        <v>49.036307692307687</v>
      </c>
      <c r="AN593">
        <v>2.6865384615384613</v>
      </c>
    </row>
    <row r="594" spans="1:40" x14ac:dyDescent="0.35">
      <c r="A594">
        <v>761</v>
      </c>
      <c r="B594">
        <v>57</v>
      </c>
      <c r="C594" t="s">
        <v>40</v>
      </c>
      <c r="D594" t="s">
        <v>66</v>
      </c>
      <c r="E594" t="s">
        <v>42</v>
      </c>
      <c r="F594" t="s">
        <v>49</v>
      </c>
      <c r="G594">
        <v>6</v>
      </c>
      <c r="H594">
        <v>36</v>
      </c>
      <c r="I594">
        <v>4</v>
      </c>
      <c r="J594" t="s">
        <v>50</v>
      </c>
      <c r="K594" t="s">
        <v>46</v>
      </c>
      <c r="L594" t="s">
        <v>59</v>
      </c>
      <c r="M594">
        <v>184.52562886399531</v>
      </c>
      <c r="N594">
        <v>431</v>
      </c>
      <c r="O594">
        <v>270</v>
      </c>
      <c r="P594">
        <v>183</v>
      </c>
      <c r="Q594">
        <v>1.3862943611198906</v>
      </c>
      <c r="R594">
        <v>1.3862943611198906</v>
      </c>
      <c r="S594">
        <v>4.9972122737641147</v>
      </c>
      <c r="T594">
        <v>90.035146103896111</v>
      </c>
      <c r="U594">
        <v>1.418823059726001</v>
      </c>
      <c r="V594">
        <v>-0.52223564926899602</v>
      </c>
      <c r="W594">
        <v>-0.46072710968150399</v>
      </c>
      <c r="X594">
        <v>-0.361786268345754</v>
      </c>
      <c r="Y594">
        <v>-0.552694479448822</v>
      </c>
      <c r="Z594">
        <v>2.1676297177028899E-2</v>
      </c>
      <c r="AA594">
        <v>0.625223797005378</v>
      </c>
      <c r="AB594">
        <v>2234.6992515788952</v>
      </c>
      <c r="AC594">
        <v>0</v>
      </c>
      <c r="AD594">
        <v>0.12112735591028891</v>
      </c>
      <c r="AE594">
        <v>-0.60610368582010199</v>
      </c>
      <c r="AF594">
        <v>0.82902996830417996</v>
      </c>
      <c r="AG594">
        <v>0.257638346721975</v>
      </c>
      <c r="AH594">
        <v>0.89574893674417599</v>
      </c>
      <c r="AI594">
        <v>-1.798118778022</v>
      </c>
      <c r="AJ594">
        <v>-2.0729402964171299E-2</v>
      </c>
      <c r="AK594">
        <v>47.411035099999999</v>
      </c>
      <c r="AL594">
        <v>0.98369799999999996</v>
      </c>
      <c r="AM594">
        <v>48.822000000000003</v>
      </c>
      <c r="AN594">
        <v>2.2869999999999995</v>
      </c>
    </row>
    <row r="595" spans="1:40" x14ac:dyDescent="0.35">
      <c r="A595">
        <v>762</v>
      </c>
      <c r="B595">
        <v>42</v>
      </c>
      <c r="C595" t="s">
        <v>40</v>
      </c>
      <c r="D595" t="s">
        <v>41</v>
      </c>
      <c r="E595" t="s">
        <v>42</v>
      </c>
      <c r="F595" t="s">
        <v>49</v>
      </c>
      <c r="G595">
        <v>5</v>
      </c>
      <c r="H595">
        <v>25</v>
      </c>
      <c r="I595">
        <v>5</v>
      </c>
      <c r="J595" t="s">
        <v>56</v>
      </c>
      <c r="K595" t="s">
        <v>46</v>
      </c>
      <c r="L595" t="s">
        <v>74</v>
      </c>
      <c r="M595">
        <v>349.80838645269921</v>
      </c>
      <c r="N595">
        <v>311</v>
      </c>
      <c r="O595">
        <v>230</v>
      </c>
      <c r="P595">
        <v>136</v>
      </c>
      <c r="Q595">
        <v>1.6094379124341003</v>
      </c>
      <c r="R595">
        <v>2.5649493574615367</v>
      </c>
      <c r="S595">
        <v>4.8202815656050371</v>
      </c>
      <c r="T595">
        <v>91.984920634920627</v>
      </c>
      <c r="U595">
        <v>1.0351430572167302</v>
      </c>
      <c r="V595">
        <v>-0.45376679124596098</v>
      </c>
      <c r="W595">
        <v>-0.56138574648679695</v>
      </c>
      <c r="X595">
        <v>-0.92192590083580195</v>
      </c>
      <c r="Y595">
        <v>-1.17232967929859</v>
      </c>
      <c r="Z595">
        <v>-0.98267194414701198</v>
      </c>
      <c r="AA595">
        <v>-0.89586780259421905</v>
      </c>
      <c r="AB595">
        <v>1270</v>
      </c>
      <c r="AC595">
        <v>3</v>
      </c>
      <c r="AD595">
        <v>1</v>
      </c>
      <c r="AE595">
        <v>-1.1438350904766701</v>
      </c>
      <c r="AF595">
        <v>-1.18958622259503</v>
      </c>
      <c r="AG595">
        <v>-1.3191054378265401</v>
      </c>
      <c r="AH595">
        <v>1.2457176495992699</v>
      </c>
      <c r="AI595">
        <v>-1.13371313873987</v>
      </c>
      <c r="AJ595">
        <v>-0.46841733831121901</v>
      </c>
      <c r="AK595">
        <v>46.672161000000003</v>
      </c>
      <c r="AL595">
        <v>5.558465</v>
      </c>
      <c r="AM595">
        <v>48.898000000000003</v>
      </c>
      <c r="AN595">
        <v>2.2559999999999998</v>
      </c>
    </row>
    <row r="596" spans="1:40" x14ac:dyDescent="0.35">
      <c r="A596">
        <v>763</v>
      </c>
      <c r="B596">
        <v>29.5</v>
      </c>
      <c r="C596" t="s">
        <v>40</v>
      </c>
      <c r="D596" t="s">
        <v>41</v>
      </c>
      <c r="E596" t="s">
        <v>42</v>
      </c>
      <c r="F596" t="s">
        <v>49</v>
      </c>
      <c r="G596">
        <v>4</v>
      </c>
      <c r="H596">
        <v>16</v>
      </c>
      <c r="I596">
        <v>6</v>
      </c>
      <c r="J596" t="s">
        <v>56</v>
      </c>
      <c r="K596" t="s">
        <v>46</v>
      </c>
      <c r="L596" t="s">
        <v>57</v>
      </c>
      <c r="M596">
        <v>275.59205740706722</v>
      </c>
      <c r="N596">
        <v>94</v>
      </c>
      <c r="O596">
        <v>65</v>
      </c>
      <c r="P596">
        <v>104</v>
      </c>
      <c r="Q596">
        <v>0.69314718055994529</v>
      </c>
      <c r="R596">
        <v>3.6109179126442243</v>
      </c>
      <c r="S596">
        <v>5.8833223884882786</v>
      </c>
      <c r="T596">
        <v>90.922105263157903</v>
      </c>
      <c r="U596">
        <v>2.3923758041545438</v>
      </c>
      <c r="V596">
        <v>-0.399596989308249</v>
      </c>
      <c r="W596">
        <v>-0.58810405700346202</v>
      </c>
      <c r="X596">
        <v>-0.29041857108635599</v>
      </c>
      <c r="Y596">
        <v>-0.846122564821426</v>
      </c>
      <c r="Z596">
        <v>-0.92679578564836795</v>
      </c>
      <c r="AA596">
        <v>0.86332342905974202</v>
      </c>
      <c r="AB596">
        <v>2050</v>
      </c>
      <c r="AC596">
        <v>1</v>
      </c>
      <c r="AD596">
        <v>2</v>
      </c>
      <c r="AE596">
        <v>-0.51011828243844404</v>
      </c>
      <c r="AF596">
        <v>-0.74780937175429396</v>
      </c>
      <c r="AG596">
        <v>-0.927343765988214</v>
      </c>
      <c r="AH596">
        <v>-0.56253612762294203</v>
      </c>
      <c r="AI596">
        <v>-0.30274453810206098</v>
      </c>
      <c r="AJ596">
        <v>-1.9175942204879599</v>
      </c>
      <c r="AK596">
        <v>47.023905999999997</v>
      </c>
      <c r="AL596">
        <v>4.8380429999999999</v>
      </c>
      <c r="AM596">
        <v>48.856372813999997</v>
      </c>
      <c r="AN596">
        <v>2.3525296170000001</v>
      </c>
    </row>
    <row r="597" spans="1:40" x14ac:dyDescent="0.35">
      <c r="A597">
        <v>764</v>
      </c>
      <c r="B597">
        <v>72</v>
      </c>
      <c r="C597" t="s">
        <v>40</v>
      </c>
      <c r="D597" t="s">
        <v>52</v>
      </c>
      <c r="E597" t="s">
        <v>42</v>
      </c>
      <c r="F597" t="s">
        <v>49</v>
      </c>
      <c r="G597">
        <v>5</v>
      </c>
      <c r="H597">
        <v>25</v>
      </c>
      <c r="I597">
        <v>5</v>
      </c>
      <c r="J597" t="s">
        <v>45</v>
      </c>
      <c r="K597" t="s">
        <v>46</v>
      </c>
      <c r="L597" t="s">
        <v>62</v>
      </c>
      <c r="M597">
        <v>41.169818336824562</v>
      </c>
      <c r="N597">
        <v>396</v>
      </c>
      <c r="O597">
        <v>210</v>
      </c>
      <c r="P597">
        <v>90</v>
      </c>
      <c r="Q597">
        <v>0.69314718055994529</v>
      </c>
      <c r="R597">
        <v>3.2580965380214821</v>
      </c>
      <c r="S597">
        <v>3.2580965380214821</v>
      </c>
      <c r="T597">
        <v>95.68</v>
      </c>
      <c r="U597">
        <v>0</v>
      </c>
      <c r="V597">
        <v>1.82802042479695</v>
      </c>
      <c r="W597">
        <v>0.99424279543483596</v>
      </c>
      <c r="X597">
        <v>0.99177342203587404</v>
      </c>
      <c r="Y597">
        <v>-0.96278755162326501</v>
      </c>
      <c r="Z597">
        <v>-0.75605764486205096</v>
      </c>
      <c r="AA597">
        <v>-0.80037586101695801</v>
      </c>
      <c r="AB597">
        <v>2092.91</v>
      </c>
      <c r="AC597">
        <v>0</v>
      </c>
      <c r="AD597">
        <v>2.1</v>
      </c>
      <c r="AE597">
        <v>-1.0768626388726401</v>
      </c>
      <c r="AF597">
        <v>-0.35796621998668299</v>
      </c>
      <c r="AG597">
        <v>0.195574622766684</v>
      </c>
      <c r="AH597">
        <v>-0.983622521903604</v>
      </c>
      <c r="AI597">
        <v>-0.51893271316740697</v>
      </c>
      <c r="AJ597">
        <v>-1.7927915984109</v>
      </c>
      <c r="AK597">
        <v>49.042560999999999</v>
      </c>
      <c r="AL597">
        <v>3.9528660000000002</v>
      </c>
      <c r="AM597">
        <v>49.061043478260871</v>
      </c>
      <c r="AN597">
        <v>3.3892608695652182</v>
      </c>
    </row>
    <row r="598" spans="1:40" x14ac:dyDescent="0.35">
      <c r="A598">
        <v>765</v>
      </c>
      <c r="B598">
        <v>57</v>
      </c>
      <c r="C598" t="s">
        <v>40</v>
      </c>
      <c r="D598" t="s">
        <v>41</v>
      </c>
      <c r="E598" t="s">
        <v>42</v>
      </c>
      <c r="F598" t="s">
        <v>43</v>
      </c>
      <c r="G598">
        <v>3</v>
      </c>
      <c r="H598">
        <v>9</v>
      </c>
      <c r="I598">
        <v>3</v>
      </c>
      <c r="J598" t="s">
        <v>56</v>
      </c>
      <c r="K598" t="s">
        <v>46</v>
      </c>
      <c r="L598" t="s">
        <v>67</v>
      </c>
      <c r="M598">
        <v>339.69553627211502</v>
      </c>
      <c r="N598">
        <v>570</v>
      </c>
      <c r="O598">
        <v>348</v>
      </c>
      <c r="P598">
        <v>479</v>
      </c>
      <c r="Q598">
        <v>0</v>
      </c>
      <c r="R598">
        <v>1.0986122886681098</v>
      </c>
      <c r="S598">
        <v>4.499809670330265</v>
      </c>
      <c r="T598">
        <v>90.053710317460329</v>
      </c>
      <c r="U598">
        <v>1.5728028449904734</v>
      </c>
      <c r="V598">
        <v>-0.577850340007529</v>
      </c>
      <c r="W598">
        <v>-0.32460727773589898</v>
      </c>
      <c r="X598">
        <v>-0.54369568891204501</v>
      </c>
      <c r="Y598">
        <v>-0.77598924050104101</v>
      </c>
      <c r="Z598">
        <v>0.47668876811384397</v>
      </c>
      <c r="AA598">
        <v>0.85617757356637403</v>
      </c>
      <c r="AB598">
        <v>2565</v>
      </c>
      <c r="AC598">
        <v>1</v>
      </c>
      <c r="AD598">
        <v>0</v>
      </c>
      <c r="AE598">
        <v>-0.72514205471140702</v>
      </c>
      <c r="AF598">
        <v>-0.52483884122476498</v>
      </c>
      <c r="AG598">
        <v>0.13046765600945301</v>
      </c>
      <c r="AH598">
        <v>0.15933569881451701</v>
      </c>
      <c r="AI598">
        <v>-0.75971138324579601</v>
      </c>
      <c r="AJ598">
        <v>0.66337293210028503</v>
      </c>
      <c r="AK598">
        <v>46.303668000000002</v>
      </c>
      <c r="AL598">
        <v>4.8322269999999996</v>
      </c>
      <c r="AM598">
        <v>48.856372813999997</v>
      </c>
      <c r="AN598">
        <v>2.3525296170000001</v>
      </c>
    </row>
    <row r="599" spans="1:40" x14ac:dyDescent="0.35">
      <c r="A599">
        <v>766</v>
      </c>
      <c r="B599">
        <v>57</v>
      </c>
      <c r="C599" t="s">
        <v>48</v>
      </c>
      <c r="D599" t="s">
        <v>41</v>
      </c>
      <c r="E599" t="s">
        <v>42</v>
      </c>
      <c r="F599" t="s">
        <v>43</v>
      </c>
      <c r="G599">
        <v>5</v>
      </c>
      <c r="H599">
        <v>25</v>
      </c>
      <c r="I599">
        <v>2</v>
      </c>
      <c r="J599" t="s">
        <v>56</v>
      </c>
      <c r="K599" t="s">
        <v>46</v>
      </c>
      <c r="L599" t="s">
        <v>72</v>
      </c>
      <c r="M599">
        <v>442.48940891854443</v>
      </c>
      <c r="N599">
        <v>33</v>
      </c>
      <c r="O599">
        <v>35</v>
      </c>
      <c r="P599">
        <v>15</v>
      </c>
      <c r="Q599">
        <v>0.69314718055994529</v>
      </c>
      <c r="R599">
        <v>1.3862943611198906</v>
      </c>
      <c r="S599">
        <v>4.5538768916005408</v>
      </c>
      <c r="T599">
        <v>89.340161030595823</v>
      </c>
      <c r="U599">
        <v>1.4712304197281412</v>
      </c>
      <c r="V599">
        <v>0.59716251398508702</v>
      </c>
      <c r="W599">
        <v>0.91068296986709796</v>
      </c>
      <c r="X599">
        <v>1.2273243988355</v>
      </c>
      <c r="Y599">
        <v>-0.4121809470949</v>
      </c>
      <c r="Z599">
        <v>-0.86472582726521097</v>
      </c>
      <c r="AA599">
        <v>-1.0172779374790899</v>
      </c>
      <c r="AB599">
        <v>1828.1689246701658</v>
      </c>
      <c r="AC599">
        <v>1.1127464888636687</v>
      </c>
      <c r="AD599">
        <v>1.8630656830756136</v>
      </c>
      <c r="AE599">
        <v>-0.53926882203722504</v>
      </c>
      <c r="AF599">
        <v>1.04713795321664</v>
      </c>
      <c r="AG599">
        <v>0.18642281048786499</v>
      </c>
      <c r="AH599">
        <v>0.61131724805397303</v>
      </c>
      <c r="AI599">
        <v>1.59610267520031</v>
      </c>
      <c r="AJ599">
        <v>-0.82688117481811496</v>
      </c>
      <c r="AK599">
        <v>44.503641999999999</v>
      </c>
      <c r="AL599">
        <v>1.1863669999999999</v>
      </c>
      <c r="AM599">
        <v>47.392299999999999</v>
      </c>
      <c r="AN599">
        <v>5.1156000000000006</v>
      </c>
    </row>
    <row r="600" spans="1:40" x14ac:dyDescent="0.35">
      <c r="A600">
        <v>768</v>
      </c>
      <c r="B600">
        <v>72</v>
      </c>
      <c r="C600" t="s">
        <v>40</v>
      </c>
      <c r="D600" t="s">
        <v>52</v>
      </c>
      <c r="E600" t="s">
        <v>42</v>
      </c>
      <c r="F600" t="s">
        <v>49</v>
      </c>
      <c r="G600">
        <v>5</v>
      </c>
      <c r="H600">
        <v>25</v>
      </c>
      <c r="I600">
        <v>5</v>
      </c>
      <c r="J600" t="s">
        <v>50</v>
      </c>
      <c r="K600" t="s">
        <v>46</v>
      </c>
      <c r="L600" t="s">
        <v>62</v>
      </c>
      <c r="M600">
        <v>37.041075558222637</v>
      </c>
      <c r="N600">
        <v>216</v>
      </c>
      <c r="O600">
        <v>161</v>
      </c>
      <c r="P600">
        <v>152</v>
      </c>
      <c r="Q600">
        <v>0.69314718055994529</v>
      </c>
      <c r="R600">
        <v>3.2580965380214821</v>
      </c>
      <c r="S600">
        <v>3.2580965380214821</v>
      </c>
      <c r="T600">
        <v>95.68</v>
      </c>
      <c r="U600">
        <v>0</v>
      </c>
      <c r="V600">
        <v>1.82802042479695</v>
      </c>
      <c r="W600">
        <v>0.99424279543483596</v>
      </c>
      <c r="X600">
        <v>0.99177342203587404</v>
      </c>
      <c r="Y600">
        <v>-0.96278755162326501</v>
      </c>
      <c r="Z600">
        <v>-0.75605764486205096</v>
      </c>
      <c r="AA600">
        <v>-0.80037586101695801</v>
      </c>
      <c r="AB600">
        <v>2092.91</v>
      </c>
      <c r="AC600">
        <v>0</v>
      </c>
      <c r="AD600">
        <v>2.1</v>
      </c>
      <c r="AE600">
        <v>-1.0768626388726401</v>
      </c>
      <c r="AF600">
        <v>0.61374511314263502</v>
      </c>
      <c r="AG600">
        <v>0.118966035132254</v>
      </c>
      <c r="AH600">
        <v>-4.0472483348318003E-2</v>
      </c>
      <c r="AI600">
        <v>0.21497756643184099</v>
      </c>
      <c r="AJ600">
        <v>-1.42605224149904</v>
      </c>
      <c r="AK600">
        <v>49.042560999999999</v>
      </c>
      <c r="AL600">
        <v>3.9528660000000002</v>
      </c>
      <c r="AM600">
        <v>48.936499999999995</v>
      </c>
      <c r="AN600">
        <v>4.4335000000000004</v>
      </c>
    </row>
    <row r="601" spans="1:40" x14ac:dyDescent="0.35">
      <c r="A601">
        <v>769</v>
      </c>
      <c r="B601">
        <v>72</v>
      </c>
      <c r="C601" t="s">
        <v>40</v>
      </c>
      <c r="D601" t="s">
        <v>66</v>
      </c>
      <c r="E601" t="s">
        <v>42</v>
      </c>
      <c r="F601" t="s">
        <v>49</v>
      </c>
      <c r="G601">
        <v>6</v>
      </c>
      <c r="H601">
        <v>36</v>
      </c>
      <c r="I601">
        <v>4</v>
      </c>
      <c r="J601" t="s">
        <v>56</v>
      </c>
      <c r="K601" t="s">
        <v>46</v>
      </c>
      <c r="L601" t="s">
        <v>59</v>
      </c>
      <c r="M601">
        <v>165.0205246048501</v>
      </c>
      <c r="N601">
        <v>166</v>
      </c>
      <c r="O601">
        <v>140</v>
      </c>
      <c r="P601">
        <v>165</v>
      </c>
      <c r="Q601">
        <v>1.3862943611198906</v>
      </c>
      <c r="R601">
        <v>1.3862943611198906</v>
      </c>
      <c r="S601">
        <v>4.9972122737641147</v>
      </c>
      <c r="T601">
        <v>90.035146103896111</v>
      </c>
      <c r="U601">
        <v>1.418823059726001</v>
      </c>
      <c r="V601">
        <v>-0.52223564926899602</v>
      </c>
      <c r="W601">
        <v>-0.46072710968150399</v>
      </c>
      <c r="X601">
        <v>-0.361786268345754</v>
      </c>
      <c r="Y601">
        <v>-0.552694479448822</v>
      </c>
      <c r="Z601">
        <v>2.1676297177028899E-2</v>
      </c>
      <c r="AA601">
        <v>0.625223797005378</v>
      </c>
      <c r="AB601">
        <v>2234.6992515788952</v>
      </c>
      <c r="AC601">
        <v>0</v>
      </c>
      <c r="AD601">
        <v>0.12112735591028891</v>
      </c>
      <c r="AE601">
        <v>-0.60610368582010199</v>
      </c>
      <c r="AF601">
        <v>-0.42514237206275302</v>
      </c>
      <c r="AG601">
        <v>-0.64504453746581902</v>
      </c>
      <c r="AH601">
        <v>0.45575846099503498</v>
      </c>
      <c r="AI601">
        <v>6.1965983409399697E-2</v>
      </c>
      <c r="AJ601">
        <v>0.56407431572909394</v>
      </c>
      <c r="AK601">
        <v>47.411035099999999</v>
      </c>
      <c r="AL601">
        <v>0.98369799999999996</v>
      </c>
      <c r="AM601">
        <v>48.786090909090916</v>
      </c>
      <c r="AN601">
        <v>1.8130909090909091</v>
      </c>
    </row>
    <row r="602" spans="1:40" x14ac:dyDescent="0.35">
      <c r="A602">
        <v>770</v>
      </c>
      <c r="B602">
        <v>57</v>
      </c>
      <c r="C602" t="s">
        <v>40</v>
      </c>
      <c r="D602" t="s">
        <v>66</v>
      </c>
      <c r="E602" t="s">
        <v>42</v>
      </c>
      <c r="F602" t="s">
        <v>49</v>
      </c>
      <c r="G602">
        <v>4</v>
      </c>
      <c r="H602">
        <v>16</v>
      </c>
      <c r="I602">
        <v>4</v>
      </c>
      <c r="J602" t="s">
        <v>50</v>
      </c>
      <c r="K602" t="s">
        <v>46</v>
      </c>
      <c r="L602" t="s">
        <v>62</v>
      </c>
      <c r="M602">
        <v>136.83197892668721</v>
      </c>
      <c r="N602">
        <v>492</v>
      </c>
      <c r="O602">
        <v>357</v>
      </c>
      <c r="P602">
        <v>146</v>
      </c>
      <c r="Q602">
        <v>0.69314718055994529</v>
      </c>
      <c r="R602">
        <v>3.2580965380214821</v>
      </c>
      <c r="S602">
        <v>3.2580965380214821</v>
      </c>
      <c r="T602">
        <v>95.68</v>
      </c>
      <c r="U602">
        <v>0</v>
      </c>
      <c r="V602">
        <v>1.82802042479695</v>
      </c>
      <c r="W602">
        <v>0.99424279543483596</v>
      </c>
      <c r="X602">
        <v>0.99177342203587404</v>
      </c>
      <c r="Y602">
        <v>-0.96278755162326501</v>
      </c>
      <c r="Z602">
        <v>-0.75605764486205096</v>
      </c>
      <c r="AA602">
        <v>-0.80037586101695801</v>
      </c>
      <c r="AB602">
        <v>2092.91</v>
      </c>
      <c r="AC602">
        <v>0</v>
      </c>
      <c r="AD602">
        <v>2.1</v>
      </c>
      <c r="AE602">
        <v>-1.0768626388726401</v>
      </c>
      <c r="AF602">
        <v>0.63901465420613102</v>
      </c>
      <c r="AG602">
        <v>-0.395005613592673</v>
      </c>
      <c r="AH602">
        <v>0.643758352200137</v>
      </c>
      <c r="AI602">
        <v>1.4836044289928401</v>
      </c>
      <c r="AJ602">
        <v>0.76193534118230599</v>
      </c>
      <c r="AK602">
        <v>49.042560999999999</v>
      </c>
      <c r="AL602">
        <v>3.9528660000000002</v>
      </c>
      <c r="AM602">
        <v>48.802999999999997</v>
      </c>
      <c r="AN602">
        <v>2.1179999999999999</v>
      </c>
    </row>
    <row r="603" spans="1:40" x14ac:dyDescent="0.35">
      <c r="A603">
        <v>771</v>
      </c>
      <c r="B603">
        <v>72</v>
      </c>
      <c r="C603" t="s">
        <v>40</v>
      </c>
      <c r="D603" t="s">
        <v>52</v>
      </c>
      <c r="E603" t="s">
        <v>42</v>
      </c>
      <c r="F603" t="s">
        <v>43</v>
      </c>
      <c r="G603">
        <v>4</v>
      </c>
      <c r="H603">
        <v>16</v>
      </c>
      <c r="I603">
        <v>7</v>
      </c>
      <c r="J603" t="s">
        <v>56</v>
      </c>
      <c r="K603" t="s">
        <v>46</v>
      </c>
      <c r="L603" t="s">
        <v>55</v>
      </c>
      <c r="M603">
        <v>379.40698391777141</v>
      </c>
      <c r="N603">
        <v>698</v>
      </c>
      <c r="O603">
        <v>350</v>
      </c>
      <c r="P603">
        <v>386</v>
      </c>
      <c r="Q603">
        <v>2.0794415416798357</v>
      </c>
      <c r="R603">
        <v>2.3025850929940459</v>
      </c>
      <c r="S603">
        <v>3.2580965380214821</v>
      </c>
      <c r="T603">
        <v>95.12</v>
      </c>
      <c r="U603">
        <v>0</v>
      </c>
      <c r="V603">
        <v>1.89305099905856</v>
      </c>
      <c r="W603">
        <v>0.59880690621441701</v>
      </c>
      <c r="X603">
        <v>1.1856460040685599</v>
      </c>
      <c r="Y603">
        <v>-0.15565097555555901</v>
      </c>
      <c r="Z603">
        <v>-0.22748295097212001</v>
      </c>
      <c r="AA603">
        <v>1.0415013010201299</v>
      </c>
      <c r="AB603">
        <v>2939.9504036908884</v>
      </c>
      <c r="AC603">
        <v>2</v>
      </c>
      <c r="AD603">
        <v>0.42868127643214149</v>
      </c>
      <c r="AE603">
        <v>-2.40641039566141E-2</v>
      </c>
      <c r="AF603">
        <v>-0.57179109127403804</v>
      </c>
      <c r="AG603">
        <v>0.254429660442549</v>
      </c>
      <c r="AH603">
        <v>2.0026496901172801E-2</v>
      </c>
      <c r="AI603">
        <v>0.12365966801627599</v>
      </c>
      <c r="AJ603">
        <v>-1.66816974044383</v>
      </c>
      <c r="AK603">
        <v>48.0777517</v>
      </c>
      <c r="AL603">
        <v>7.3579641000000002</v>
      </c>
      <c r="AM603">
        <v>48.856372813999997</v>
      </c>
      <c r="AN603">
        <v>2.3525296170000001</v>
      </c>
    </row>
    <row r="604" spans="1:40" x14ac:dyDescent="0.35">
      <c r="A604">
        <v>772</v>
      </c>
      <c r="B604">
        <v>72</v>
      </c>
      <c r="C604" t="s">
        <v>40</v>
      </c>
      <c r="D604" t="s">
        <v>52</v>
      </c>
      <c r="E604" t="s">
        <v>42</v>
      </c>
      <c r="F604" t="s">
        <v>49</v>
      </c>
      <c r="G604">
        <v>5</v>
      </c>
      <c r="H604">
        <v>25</v>
      </c>
      <c r="I604">
        <v>6</v>
      </c>
      <c r="J604" t="s">
        <v>50</v>
      </c>
      <c r="K604" t="s">
        <v>46</v>
      </c>
      <c r="L604" t="s">
        <v>60</v>
      </c>
      <c r="M604">
        <v>491.24422052359222</v>
      </c>
      <c r="N604">
        <v>321</v>
      </c>
      <c r="O604">
        <v>204</v>
      </c>
      <c r="P604">
        <v>127</v>
      </c>
      <c r="Q604">
        <v>3.8501476017100584</v>
      </c>
      <c r="R604">
        <v>2.9957322735539909</v>
      </c>
      <c r="S604">
        <v>5.4424177105217932</v>
      </c>
      <c r="T604">
        <v>88.975873222691746</v>
      </c>
      <c r="U604">
        <v>2.5514539469641888</v>
      </c>
      <c r="V604">
        <v>2.9336799326863701</v>
      </c>
      <c r="W604">
        <v>3.3730943146768602</v>
      </c>
      <c r="X604">
        <v>3.6072071704345601</v>
      </c>
      <c r="Y604">
        <v>-0.19189497559235799</v>
      </c>
      <c r="Z604">
        <v>0.17569111512999699</v>
      </c>
      <c r="AA604">
        <v>-0.304970615080496</v>
      </c>
      <c r="AB604">
        <v>1906.836709612184</v>
      </c>
      <c r="AC604">
        <v>0.7978420820676605</v>
      </c>
      <c r="AD604">
        <v>2.1056638128240834</v>
      </c>
      <c r="AE604">
        <v>-0.25037207080954499</v>
      </c>
      <c r="AF604">
        <v>-2.01262936648865E-2</v>
      </c>
      <c r="AG604">
        <v>0.24410299903668201</v>
      </c>
      <c r="AH604">
        <v>0.61562115228145997</v>
      </c>
      <c r="AI604">
        <v>0.70599584360378997</v>
      </c>
      <c r="AJ604">
        <v>0.55746851230172101</v>
      </c>
      <c r="AK604">
        <v>44.055988999999997</v>
      </c>
      <c r="AL604">
        <v>4.8317350000000001</v>
      </c>
      <c r="AM604">
        <v>47.3905691</v>
      </c>
      <c r="AN604">
        <v>0.68859420000000005</v>
      </c>
    </row>
    <row r="605" spans="1:40" x14ac:dyDescent="0.35">
      <c r="A605">
        <v>773</v>
      </c>
      <c r="B605">
        <v>42</v>
      </c>
      <c r="C605" t="s">
        <v>40</v>
      </c>
      <c r="D605" t="s">
        <v>41</v>
      </c>
      <c r="E605" t="s">
        <v>42</v>
      </c>
      <c r="F605" t="s">
        <v>61</v>
      </c>
      <c r="G605">
        <v>6</v>
      </c>
      <c r="H605">
        <v>36</v>
      </c>
      <c r="I605">
        <v>5</v>
      </c>
      <c r="J605" t="s">
        <v>56</v>
      </c>
      <c r="K605" t="s">
        <v>46</v>
      </c>
      <c r="L605" t="s">
        <v>77</v>
      </c>
      <c r="M605">
        <v>253.57285753495381</v>
      </c>
      <c r="N605">
        <v>179</v>
      </c>
      <c r="O605">
        <v>130</v>
      </c>
      <c r="P605">
        <v>147</v>
      </c>
      <c r="Q605">
        <v>0</v>
      </c>
      <c r="R605">
        <v>2.3978952727983707</v>
      </c>
      <c r="S605">
        <v>5.1416635565026603</v>
      </c>
      <c r="T605">
        <v>90.472417453603512</v>
      </c>
      <c r="U605">
        <v>2.7735735584863375</v>
      </c>
      <c r="V605">
        <v>-0.15231437986527399</v>
      </c>
      <c r="W605">
        <v>3.49635939345109E-2</v>
      </c>
      <c r="X605">
        <v>-0.19627808847033801</v>
      </c>
      <c r="Y605">
        <v>-0.57382446736590997</v>
      </c>
      <c r="Z605">
        <v>-0.74335605457542497</v>
      </c>
      <c r="AA605">
        <v>-0.53588051656191904</v>
      </c>
      <c r="AB605">
        <v>3937</v>
      </c>
      <c r="AC605">
        <v>0</v>
      </c>
      <c r="AD605">
        <v>1</v>
      </c>
      <c r="AE605">
        <v>-0.72244456620022002</v>
      </c>
      <c r="AF605">
        <v>-0.428084953355238</v>
      </c>
      <c r="AG605">
        <v>-0.71848588301276395</v>
      </c>
      <c r="AH605">
        <v>-0.98516394013923403</v>
      </c>
      <c r="AI605">
        <v>-0.95169792043342405</v>
      </c>
      <c r="AJ605">
        <v>-1.8328159654339</v>
      </c>
      <c r="AK605">
        <v>47.259622</v>
      </c>
      <c r="AL605">
        <v>-7.8518000000000004E-2</v>
      </c>
      <c r="AM605">
        <v>48.856372813999997</v>
      </c>
      <c r="AN605">
        <v>2.3525296170000001</v>
      </c>
    </row>
    <row r="606" spans="1:40" x14ac:dyDescent="0.35">
      <c r="A606">
        <v>774</v>
      </c>
      <c r="B606">
        <v>72</v>
      </c>
      <c r="C606" t="s">
        <v>40</v>
      </c>
      <c r="D606" t="s">
        <v>52</v>
      </c>
      <c r="E606" t="s">
        <v>42</v>
      </c>
      <c r="F606" t="s">
        <v>49</v>
      </c>
      <c r="G606">
        <v>5</v>
      </c>
      <c r="H606">
        <v>25</v>
      </c>
      <c r="I606">
        <v>3</v>
      </c>
      <c r="J606" t="s">
        <v>56</v>
      </c>
      <c r="K606" t="s">
        <v>46</v>
      </c>
      <c r="L606" t="s">
        <v>62</v>
      </c>
      <c r="M606">
        <v>121.0165555963755</v>
      </c>
      <c r="N606">
        <v>25</v>
      </c>
      <c r="O606">
        <v>37</v>
      </c>
      <c r="P606">
        <v>27</v>
      </c>
      <c r="Q606">
        <v>0.69314718055994529</v>
      </c>
      <c r="R606">
        <v>3.2580965380214821</v>
      </c>
      <c r="S606">
        <v>3.2580965380214821</v>
      </c>
      <c r="T606">
        <v>95.68</v>
      </c>
      <c r="U606">
        <v>0</v>
      </c>
      <c r="V606">
        <v>1.82802042479695</v>
      </c>
      <c r="W606">
        <v>0.99424279543483596</v>
      </c>
      <c r="X606">
        <v>0.99177342203587404</v>
      </c>
      <c r="Y606">
        <v>-0.96278755162326501</v>
      </c>
      <c r="Z606">
        <v>-0.75605764486205096</v>
      </c>
      <c r="AA606">
        <v>-0.80037586101695801</v>
      </c>
      <c r="AB606">
        <v>2092.91</v>
      </c>
      <c r="AC606">
        <v>0</v>
      </c>
      <c r="AD606">
        <v>2.1</v>
      </c>
      <c r="AE606">
        <v>-1.0768626388726401</v>
      </c>
      <c r="AF606">
        <v>0.62798321984721395</v>
      </c>
      <c r="AG606">
        <v>0.64589461517827795</v>
      </c>
      <c r="AH606">
        <v>0.146933677076026</v>
      </c>
      <c r="AI606">
        <v>0.40310328130643402</v>
      </c>
      <c r="AJ606">
        <v>-0.139511652178016</v>
      </c>
      <c r="AK606">
        <v>49.042560999999999</v>
      </c>
      <c r="AL606">
        <v>3.9528660000000002</v>
      </c>
      <c r="AM606">
        <v>49.005000000000003</v>
      </c>
      <c r="AN606">
        <v>2.2959999999999998</v>
      </c>
    </row>
    <row r="607" spans="1:40" x14ac:dyDescent="0.35">
      <c r="A607">
        <v>775</v>
      </c>
      <c r="B607">
        <v>72</v>
      </c>
      <c r="C607" t="s">
        <v>48</v>
      </c>
      <c r="D607" t="s">
        <v>52</v>
      </c>
      <c r="E607" t="s">
        <v>42</v>
      </c>
      <c r="F607" t="s">
        <v>49</v>
      </c>
      <c r="G607">
        <v>6</v>
      </c>
      <c r="H607">
        <v>36</v>
      </c>
      <c r="I607">
        <v>7</v>
      </c>
      <c r="J607" t="s">
        <v>50</v>
      </c>
      <c r="K607" t="s">
        <v>46</v>
      </c>
      <c r="L607" t="s">
        <v>73</v>
      </c>
      <c r="M607">
        <v>18.86727792800674</v>
      </c>
      <c r="N607">
        <v>644</v>
      </c>
      <c r="O607">
        <v>431</v>
      </c>
      <c r="P607">
        <v>741</v>
      </c>
      <c r="Q607">
        <v>1.9459101490553132</v>
      </c>
      <c r="R607">
        <v>2.9444389791664403</v>
      </c>
      <c r="S607">
        <v>4.2626798770413155</v>
      </c>
      <c r="T607">
        <v>91.872500000000002</v>
      </c>
      <c r="U607">
        <v>2.0033201607997366</v>
      </c>
      <c r="V607">
        <v>7.5580716531248995E-2</v>
      </c>
      <c r="W607">
        <v>0.203376316306385</v>
      </c>
      <c r="X607">
        <v>0.143329752535333</v>
      </c>
      <c r="Y607">
        <v>1.4483117406157899</v>
      </c>
      <c r="Z607">
        <v>1.7680602694732599</v>
      </c>
      <c r="AA607">
        <v>0.26366440732357699</v>
      </c>
      <c r="AB607">
        <v>4236</v>
      </c>
      <c r="AC607">
        <v>0</v>
      </c>
      <c r="AD607">
        <v>4</v>
      </c>
      <c r="AE607">
        <v>1.6751267091712101</v>
      </c>
      <c r="AF607">
        <v>0.243450334207059</v>
      </c>
      <c r="AG607">
        <v>0.43310238527243899</v>
      </c>
      <c r="AH607">
        <v>0.30103574490653101</v>
      </c>
      <c r="AI607">
        <v>1.2247838736657899</v>
      </c>
      <c r="AJ607">
        <v>-2.1534772385086098</v>
      </c>
      <c r="AK607">
        <v>44.686388999999998</v>
      </c>
      <c r="AL607">
        <v>-0.52383800000000003</v>
      </c>
      <c r="AM607">
        <v>44.627000000000002</v>
      </c>
      <c r="AN607">
        <v>-0.747</v>
      </c>
    </row>
    <row r="608" spans="1:40" x14ac:dyDescent="0.35">
      <c r="A608">
        <v>776</v>
      </c>
      <c r="B608">
        <v>57</v>
      </c>
      <c r="C608" t="s">
        <v>40</v>
      </c>
      <c r="D608" t="s">
        <v>41</v>
      </c>
      <c r="E608" t="s">
        <v>42</v>
      </c>
      <c r="F608" t="s">
        <v>49</v>
      </c>
      <c r="G608">
        <v>5</v>
      </c>
      <c r="H608">
        <v>25</v>
      </c>
      <c r="I608">
        <v>5</v>
      </c>
      <c r="J608" t="s">
        <v>50</v>
      </c>
      <c r="K608" t="s">
        <v>46</v>
      </c>
      <c r="L608" t="s">
        <v>58</v>
      </c>
      <c r="M608">
        <v>497.34697242117988</v>
      </c>
      <c r="N608">
        <v>311</v>
      </c>
      <c r="O608">
        <v>230</v>
      </c>
      <c r="P608">
        <v>136</v>
      </c>
      <c r="Q608">
        <v>3.2580965380214821</v>
      </c>
      <c r="R608">
        <v>2.8903717578961645</v>
      </c>
      <c r="S608">
        <v>4.7535901911063645</v>
      </c>
      <c r="T608">
        <v>90.794285714285706</v>
      </c>
      <c r="U608">
        <v>0</v>
      </c>
      <c r="V608">
        <v>0.63905639120027702</v>
      </c>
      <c r="W608">
        <v>0.692565001186083</v>
      </c>
      <c r="X608">
        <v>0.56469097254324596</v>
      </c>
      <c r="Y608">
        <v>1.4483117406157899</v>
      </c>
      <c r="Z608">
        <v>1.7680602694732599</v>
      </c>
      <c r="AA608">
        <v>0.26366440732357699</v>
      </c>
      <c r="AB608">
        <v>4236</v>
      </c>
      <c r="AC608">
        <v>0</v>
      </c>
      <c r="AD608">
        <v>4</v>
      </c>
      <c r="AE608">
        <v>1.6751267091712101</v>
      </c>
      <c r="AF608">
        <v>-0.93606987160708699</v>
      </c>
      <c r="AG608">
        <v>-2.4024867893347199</v>
      </c>
      <c r="AH608">
        <v>-2.82648958945243</v>
      </c>
      <c r="AI608">
        <v>-1.62943921005041</v>
      </c>
      <c r="AJ608">
        <v>-0.30802648265896498</v>
      </c>
      <c r="AK608">
        <v>45.198478000000001</v>
      </c>
      <c r="AL608">
        <v>-0.74874399999999997</v>
      </c>
      <c r="AM608">
        <v>48.246249999999996</v>
      </c>
      <c r="AN608">
        <v>4.0197500000000002</v>
      </c>
    </row>
    <row r="609" spans="1:40" x14ac:dyDescent="0.35">
      <c r="A609">
        <v>777</v>
      </c>
      <c r="B609">
        <v>29.5</v>
      </c>
      <c r="C609" t="s">
        <v>48</v>
      </c>
      <c r="D609" t="s">
        <v>41</v>
      </c>
      <c r="E609" t="s">
        <v>42</v>
      </c>
      <c r="F609" t="s">
        <v>49</v>
      </c>
      <c r="G609">
        <v>3</v>
      </c>
      <c r="H609">
        <v>9</v>
      </c>
      <c r="I609">
        <v>5</v>
      </c>
      <c r="J609" t="s">
        <v>56</v>
      </c>
      <c r="K609" t="s">
        <v>46</v>
      </c>
      <c r="L609" t="s">
        <v>57</v>
      </c>
      <c r="M609">
        <v>275.59205740706722</v>
      </c>
      <c r="N609">
        <v>579</v>
      </c>
      <c r="O609">
        <v>595</v>
      </c>
      <c r="P609">
        <v>1440</v>
      </c>
      <c r="Q609">
        <v>0.69314718055994529</v>
      </c>
      <c r="R609">
        <v>3.6109179126442243</v>
      </c>
      <c r="S609">
        <v>5.8833223884882786</v>
      </c>
      <c r="T609">
        <v>90.922105263157903</v>
      </c>
      <c r="U609">
        <v>2.3923758041545438</v>
      </c>
      <c r="V609">
        <v>-0.399596989308249</v>
      </c>
      <c r="W609">
        <v>-0.58810405700346202</v>
      </c>
      <c r="X609">
        <v>-0.29041857108635599</v>
      </c>
      <c r="Y609">
        <v>-0.846122564821426</v>
      </c>
      <c r="Z609">
        <v>-0.92679578564836795</v>
      </c>
      <c r="AA609">
        <v>0.86332342905974202</v>
      </c>
      <c r="AB609">
        <v>2050</v>
      </c>
      <c r="AC609">
        <v>1</v>
      </c>
      <c r="AD609">
        <v>2</v>
      </c>
      <c r="AE609">
        <v>-0.51011828243844404</v>
      </c>
      <c r="AF609">
        <v>-0.50809276227811195</v>
      </c>
      <c r="AG609">
        <v>0.60108064529919802</v>
      </c>
      <c r="AH609">
        <v>-2.13665569611363</v>
      </c>
      <c r="AI609">
        <v>-0.78489238544398898</v>
      </c>
      <c r="AJ609">
        <v>-0.22759741573732301</v>
      </c>
      <c r="AK609">
        <v>47.023905999999997</v>
      </c>
      <c r="AL609">
        <v>4.8380429999999999</v>
      </c>
      <c r="AM609">
        <v>48.856372813999997</v>
      </c>
      <c r="AN609">
        <v>2.3525296170000001</v>
      </c>
    </row>
    <row r="610" spans="1:40" x14ac:dyDescent="0.35">
      <c r="A610">
        <v>778</v>
      </c>
      <c r="B610">
        <v>29.5</v>
      </c>
      <c r="C610" t="s">
        <v>48</v>
      </c>
      <c r="D610" t="s">
        <v>41</v>
      </c>
      <c r="E610" t="s">
        <v>42</v>
      </c>
      <c r="F610" t="s">
        <v>49</v>
      </c>
      <c r="G610">
        <v>5</v>
      </c>
      <c r="H610">
        <v>25</v>
      </c>
      <c r="I610">
        <v>7</v>
      </c>
      <c r="J610" t="s">
        <v>50</v>
      </c>
      <c r="K610" t="s">
        <v>46</v>
      </c>
      <c r="L610" t="s">
        <v>78</v>
      </c>
      <c r="M610">
        <v>419.8006990446375</v>
      </c>
      <c r="N610">
        <v>311</v>
      </c>
      <c r="O610">
        <v>245</v>
      </c>
      <c r="P610">
        <v>221</v>
      </c>
      <c r="Q610">
        <v>0</v>
      </c>
      <c r="R610">
        <v>0</v>
      </c>
      <c r="S610">
        <v>3.784189633918261</v>
      </c>
      <c r="T610">
        <v>88.642856449106446</v>
      </c>
      <c r="U610">
        <v>1.0940428522509147</v>
      </c>
      <c r="V610">
        <v>8.5508000285955607E-3</v>
      </c>
      <c r="W610">
        <v>-0.51120442009665101</v>
      </c>
      <c r="X610">
        <v>-0.50395056569549701</v>
      </c>
      <c r="Y610">
        <v>-1.08176131679965</v>
      </c>
      <c r="Z610">
        <v>-1.2254354371323599</v>
      </c>
      <c r="AA610">
        <v>-2.1159072764009799</v>
      </c>
      <c r="AB610">
        <v>465.17385257301805</v>
      </c>
      <c r="AC610">
        <v>0.43254520166898469</v>
      </c>
      <c r="AD610">
        <v>0.43254520166898469</v>
      </c>
      <c r="AE610">
        <v>7.7424783941295205E-2</v>
      </c>
      <c r="AF610">
        <v>0.95378383973992698</v>
      </c>
      <c r="AG610">
        <v>1.37225063721565</v>
      </c>
      <c r="AH610">
        <v>-0.84440885614771499</v>
      </c>
      <c r="AI610">
        <v>1.0493356156581899</v>
      </c>
      <c r="AJ610">
        <v>0.68345798285817405</v>
      </c>
      <c r="AK610">
        <v>42.680641999999999</v>
      </c>
      <c r="AL610">
        <v>9.3018979999999996</v>
      </c>
      <c r="AM610">
        <v>45.568666666666665</v>
      </c>
      <c r="AN610">
        <v>5.9220000000000006</v>
      </c>
    </row>
    <row r="611" spans="1:40" x14ac:dyDescent="0.35">
      <c r="A611">
        <v>779</v>
      </c>
      <c r="B611">
        <v>42</v>
      </c>
      <c r="C611" t="s">
        <v>48</v>
      </c>
      <c r="D611" t="s">
        <v>41</v>
      </c>
      <c r="E611" t="s">
        <v>42</v>
      </c>
      <c r="F611" t="s">
        <v>61</v>
      </c>
      <c r="G611">
        <v>3</v>
      </c>
      <c r="H611">
        <v>9</v>
      </c>
      <c r="I611">
        <v>7</v>
      </c>
      <c r="J611" t="s">
        <v>56</v>
      </c>
      <c r="K611" t="s">
        <v>46</v>
      </c>
      <c r="L611" t="s">
        <v>59</v>
      </c>
      <c r="M611">
        <v>232.47854249122031</v>
      </c>
      <c r="N611">
        <v>137</v>
      </c>
      <c r="O611">
        <v>90</v>
      </c>
      <c r="P611">
        <v>116</v>
      </c>
      <c r="Q611">
        <v>1.3862943611198906</v>
      </c>
      <c r="R611">
        <v>1.3862943611198906</v>
      </c>
      <c r="S611">
        <v>4.9972122737641147</v>
      </c>
      <c r="T611">
        <v>90.035146103896111</v>
      </c>
      <c r="U611">
        <v>1.418823059726001</v>
      </c>
      <c r="V611">
        <v>-0.52223564926899602</v>
      </c>
      <c r="W611">
        <v>-0.46072710968150399</v>
      </c>
      <c r="X611">
        <v>-0.361786268345754</v>
      </c>
      <c r="Y611">
        <v>-0.552694479448822</v>
      </c>
      <c r="Z611">
        <v>2.1676297177028899E-2</v>
      </c>
      <c r="AA611">
        <v>0.625223797005378</v>
      </c>
      <c r="AB611">
        <v>2234.6992515788952</v>
      </c>
      <c r="AC611">
        <v>0</v>
      </c>
      <c r="AD611">
        <v>0.12112735591028891</v>
      </c>
      <c r="AE611">
        <v>-0.60610368582010199</v>
      </c>
      <c r="AF611">
        <v>0.92476590626439503</v>
      </c>
      <c r="AG611">
        <v>-0.41668782356871797</v>
      </c>
      <c r="AH611">
        <v>-7.2563529721635101E-2</v>
      </c>
      <c r="AI611">
        <v>1.4836044289928401</v>
      </c>
      <c r="AJ611">
        <v>0.76193534118230599</v>
      </c>
      <c r="AK611">
        <v>47.411035099999999</v>
      </c>
      <c r="AL611">
        <v>0.98369799999999996</v>
      </c>
      <c r="AM611">
        <v>49.195999999999998</v>
      </c>
      <c r="AN611">
        <v>2.6138181818181816</v>
      </c>
    </row>
    <row r="612" spans="1:40" x14ac:dyDescent="0.35">
      <c r="A612">
        <v>780</v>
      </c>
      <c r="B612">
        <v>72</v>
      </c>
      <c r="C612" t="s">
        <v>40</v>
      </c>
      <c r="D612" t="s">
        <v>52</v>
      </c>
      <c r="E612" t="s">
        <v>42</v>
      </c>
      <c r="F612" t="s">
        <v>49</v>
      </c>
      <c r="G612">
        <v>6</v>
      </c>
      <c r="H612">
        <v>36</v>
      </c>
      <c r="I612">
        <v>5</v>
      </c>
      <c r="J612" t="s">
        <v>50</v>
      </c>
      <c r="K612" t="s">
        <v>46</v>
      </c>
      <c r="L612" t="s">
        <v>62</v>
      </c>
      <c r="M612">
        <v>116.5824611845301</v>
      </c>
      <c r="N612">
        <v>757</v>
      </c>
      <c r="O612">
        <v>474</v>
      </c>
      <c r="P612">
        <v>309</v>
      </c>
      <c r="Q612">
        <v>0.69314718055994529</v>
      </c>
      <c r="R612">
        <v>3.2580965380214821</v>
      </c>
      <c r="S612">
        <v>3.2580965380214821</v>
      </c>
      <c r="T612">
        <v>95.68</v>
      </c>
      <c r="U612">
        <v>0</v>
      </c>
      <c r="V612">
        <v>1.82802042479695</v>
      </c>
      <c r="W612">
        <v>0.99424279543483596</v>
      </c>
      <c r="X612">
        <v>0.99177342203587404</v>
      </c>
      <c r="Y612">
        <v>-0.96278755162326501</v>
      </c>
      <c r="Z612">
        <v>-0.75605764486205096</v>
      </c>
      <c r="AA612">
        <v>-0.80037586101695801</v>
      </c>
      <c r="AB612">
        <v>2092.91</v>
      </c>
      <c r="AC612">
        <v>0</v>
      </c>
      <c r="AD612">
        <v>2.1</v>
      </c>
      <c r="AE612">
        <v>-1.0768626388726401</v>
      </c>
      <c r="AF612">
        <v>-0.557101601462892</v>
      </c>
      <c r="AG612">
        <v>-0.47773121550744801</v>
      </c>
      <c r="AH612">
        <v>-0.85913058556231603</v>
      </c>
      <c r="AI612">
        <v>-1.3927213458555201</v>
      </c>
      <c r="AJ612">
        <v>-0.228618669354336</v>
      </c>
      <c r="AK612">
        <v>49.042560999999999</v>
      </c>
      <c r="AL612">
        <v>3.9528660000000002</v>
      </c>
      <c r="AM612">
        <v>48.764000000000003</v>
      </c>
      <c r="AN612">
        <v>2.4169999999999998</v>
      </c>
    </row>
    <row r="613" spans="1:40" x14ac:dyDescent="0.35">
      <c r="A613">
        <v>781</v>
      </c>
      <c r="B613">
        <v>72</v>
      </c>
      <c r="C613" t="s">
        <v>40</v>
      </c>
      <c r="D613" t="s">
        <v>52</v>
      </c>
      <c r="E613" t="s">
        <v>42</v>
      </c>
      <c r="F613" t="s">
        <v>49</v>
      </c>
      <c r="G613">
        <v>6</v>
      </c>
      <c r="H613">
        <v>36</v>
      </c>
      <c r="I613">
        <v>7</v>
      </c>
      <c r="J613" t="s">
        <v>50</v>
      </c>
      <c r="K613" t="s">
        <v>46</v>
      </c>
      <c r="L613" t="s">
        <v>47</v>
      </c>
      <c r="M613">
        <v>616.17410665584759</v>
      </c>
      <c r="N613">
        <v>199</v>
      </c>
      <c r="O613">
        <v>141</v>
      </c>
      <c r="P613">
        <v>113</v>
      </c>
      <c r="Q613">
        <v>5.9107966440405271</v>
      </c>
      <c r="R613">
        <v>6.4997870406558542</v>
      </c>
      <c r="S613">
        <v>8.6415324656718457</v>
      </c>
      <c r="T613">
        <v>89.265350482850479</v>
      </c>
      <c r="U613">
        <v>1.4417786561042019</v>
      </c>
      <c r="V613">
        <v>-0.22886708829074301</v>
      </c>
      <c r="W613">
        <v>0.28745285629339301</v>
      </c>
      <c r="X613">
        <v>-0.15627425222847</v>
      </c>
      <c r="Y613">
        <v>1.45226138127617</v>
      </c>
      <c r="Z613">
        <v>0.98247225355557</v>
      </c>
      <c r="AA613">
        <v>0.627775520474398</v>
      </c>
      <c r="AB613">
        <v>3362.2959371744532</v>
      </c>
      <c r="AC613">
        <v>2.8998317172850387</v>
      </c>
      <c r="AD613">
        <v>2.9499158586425196</v>
      </c>
      <c r="AE613">
        <v>1.06273170356322</v>
      </c>
      <c r="AF613">
        <v>-0.297789702328214</v>
      </c>
      <c r="AG613">
        <v>-0.58846544212084795</v>
      </c>
      <c r="AH613">
        <v>-0.280565650167998</v>
      </c>
      <c r="AI613">
        <v>0.372978009775849</v>
      </c>
      <c r="AJ613">
        <v>1.31732974816191</v>
      </c>
      <c r="AK613">
        <v>43.3535629403058</v>
      </c>
      <c r="AL613">
        <v>3.21615314793977</v>
      </c>
      <c r="AM613">
        <v>48.856372813999997</v>
      </c>
      <c r="AN613">
        <v>2.3525296170000001</v>
      </c>
    </row>
    <row r="614" spans="1:40" x14ac:dyDescent="0.35">
      <c r="A614">
        <v>783</v>
      </c>
      <c r="B614">
        <v>42</v>
      </c>
      <c r="C614" t="s">
        <v>40</v>
      </c>
      <c r="D614" t="s">
        <v>66</v>
      </c>
      <c r="E614" t="s">
        <v>42</v>
      </c>
      <c r="F614" t="s">
        <v>43</v>
      </c>
      <c r="G614">
        <v>5</v>
      </c>
      <c r="H614">
        <v>25</v>
      </c>
      <c r="I614">
        <v>6</v>
      </c>
      <c r="J614" t="s">
        <v>56</v>
      </c>
      <c r="K614" t="s">
        <v>46</v>
      </c>
      <c r="L614" t="s">
        <v>76</v>
      </c>
      <c r="M614">
        <v>173.64663678342501</v>
      </c>
      <c r="N614">
        <v>757</v>
      </c>
      <c r="O614">
        <v>474</v>
      </c>
      <c r="P614">
        <v>309</v>
      </c>
      <c r="Q614">
        <v>0</v>
      </c>
      <c r="R614">
        <v>1.0986122886681098</v>
      </c>
      <c r="S614">
        <v>4.1588830833596715</v>
      </c>
      <c r="T614">
        <v>91.226666666666674</v>
      </c>
      <c r="U614">
        <v>1.418823059726001</v>
      </c>
      <c r="V614">
        <v>-0.39095273818515502</v>
      </c>
      <c r="W614">
        <v>-0.53446083104759001</v>
      </c>
      <c r="X614">
        <v>-0.40804429067029002</v>
      </c>
      <c r="Y614">
        <v>-0.56789545922357498</v>
      </c>
      <c r="Z614">
        <v>-0.94760790482486201</v>
      </c>
      <c r="AA614">
        <v>-1.0848673571571601</v>
      </c>
      <c r="AB614">
        <v>1770.5103102717287</v>
      </c>
      <c r="AC614">
        <v>0.28213528618230871</v>
      </c>
      <c r="AD614">
        <v>1.7130468298323378</v>
      </c>
      <c r="AE614">
        <v>-1.13486126839574</v>
      </c>
      <c r="AF614">
        <v>0.14801667004942801</v>
      </c>
      <c r="AG614">
        <v>0.613365426964817</v>
      </c>
      <c r="AH614">
        <v>-0.67768245329149501</v>
      </c>
      <c r="AI614">
        <v>-2.37458834093687</v>
      </c>
      <c r="AJ614">
        <v>7.2759377444243198E-2</v>
      </c>
      <c r="AK614">
        <v>47.330690599999997</v>
      </c>
      <c r="AL614">
        <v>2.8390453999999998</v>
      </c>
      <c r="AM614">
        <v>48.856372813999997</v>
      </c>
      <c r="AN614">
        <v>2.3525296170000001</v>
      </c>
    </row>
    <row r="615" spans="1:40" x14ac:dyDescent="0.35">
      <c r="A615">
        <v>784</v>
      </c>
      <c r="B615">
        <v>57</v>
      </c>
      <c r="C615" t="s">
        <v>48</v>
      </c>
      <c r="D615" t="s">
        <v>41</v>
      </c>
      <c r="E615" t="s">
        <v>42</v>
      </c>
      <c r="F615" t="s">
        <v>43</v>
      </c>
      <c r="G615">
        <v>5</v>
      </c>
      <c r="H615">
        <v>25</v>
      </c>
      <c r="I615">
        <v>5</v>
      </c>
      <c r="J615" t="s">
        <v>56</v>
      </c>
      <c r="K615" t="s">
        <v>46</v>
      </c>
      <c r="L615" t="s">
        <v>47</v>
      </c>
      <c r="M615">
        <v>616.17410665584759</v>
      </c>
      <c r="N615">
        <v>424</v>
      </c>
      <c r="O615">
        <v>263</v>
      </c>
      <c r="P615">
        <v>261</v>
      </c>
      <c r="Q615">
        <v>5.9107966440405271</v>
      </c>
      <c r="R615">
        <v>6.4997870406558542</v>
      </c>
      <c r="S615">
        <v>8.6415324656718457</v>
      </c>
      <c r="T615">
        <v>89.265350482850479</v>
      </c>
      <c r="U615">
        <v>1.4417786561042019</v>
      </c>
      <c r="V615">
        <v>-0.22886708829074301</v>
      </c>
      <c r="W615">
        <v>0.28745285629339301</v>
      </c>
      <c r="X615">
        <v>-0.15627425222847</v>
      </c>
      <c r="Y615">
        <v>1.45226138127617</v>
      </c>
      <c r="Z615">
        <v>0.98247225355557</v>
      </c>
      <c r="AA615">
        <v>0.627775520474398</v>
      </c>
      <c r="AB615">
        <v>3362.2959371744532</v>
      </c>
      <c r="AC615">
        <v>2.8998317172850387</v>
      </c>
      <c r="AD615">
        <v>2.9499158586425196</v>
      </c>
      <c r="AE615">
        <v>1.06273170356322</v>
      </c>
      <c r="AF615">
        <v>0.659857440947754</v>
      </c>
      <c r="AG615">
        <v>0.44305495768608499</v>
      </c>
      <c r="AH615">
        <v>-1.36314297875972</v>
      </c>
      <c r="AI615">
        <v>0.69213253887471204</v>
      </c>
      <c r="AJ615">
        <v>-1.29289027735915</v>
      </c>
      <c r="AK615">
        <v>43.3535629403058</v>
      </c>
      <c r="AL615">
        <v>3.21615314793977</v>
      </c>
      <c r="AM615">
        <v>48.856372813999997</v>
      </c>
      <c r="AN615">
        <v>2.3525296170000001</v>
      </c>
    </row>
    <row r="616" spans="1:40" x14ac:dyDescent="0.35">
      <c r="A616">
        <v>785</v>
      </c>
      <c r="B616">
        <v>42</v>
      </c>
      <c r="C616" t="s">
        <v>40</v>
      </c>
      <c r="D616" t="s">
        <v>41</v>
      </c>
      <c r="E616" t="s">
        <v>42</v>
      </c>
      <c r="F616" t="s">
        <v>43</v>
      </c>
      <c r="G616">
        <v>4</v>
      </c>
      <c r="H616">
        <v>16</v>
      </c>
      <c r="I616">
        <v>5</v>
      </c>
      <c r="J616" t="s">
        <v>50</v>
      </c>
      <c r="K616" t="s">
        <v>46</v>
      </c>
      <c r="L616" t="s">
        <v>47</v>
      </c>
      <c r="M616">
        <v>349.1502509411817</v>
      </c>
      <c r="N616">
        <v>19</v>
      </c>
      <c r="O616">
        <v>21</v>
      </c>
      <c r="P616">
        <v>42</v>
      </c>
      <c r="Q616">
        <v>5.9107966440405271</v>
      </c>
      <c r="R616">
        <v>6.4997870406558542</v>
      </c>
      <c r="S616">
        <v>8.6415324656718457</v>
      </c>
      <c r="T616">
        <v>89.265350482850479</v>
      </c>
      <c r="U616">
        <v>1.4417786561042019</v>
      </c>
      <c r="V616">
        <v>-0.22886708829074301</v>
      </c>
      <c r="W616">
        <v>0.28745285629339301</v>
      </c>
      <c r="X616">
        <v>-0.15627425222847</v>
      </c>
      <c r="Y616">
        <v>1.45226138127617</v>
      </c>
      <c r="Z616">
        <v>0.98247225355557</v>
      </c>
      <c r="AA616">
        <v>0.627775520474398</v>
      </c>
      <c r="AB616">
        <v>3362.2959371744532</v>
      </c>
      <c r="AC616">
        <v>2.8998317172850387</v>
      </c>
      <c r="AD616">
        <v>2.9499158586425196</v>
      </c>
      <c r="AE616">
        <v>1.06273170356322</v>
      </c>
      <c r="AF616">
        <v>0.64364660378876104</v>
      </c>
      <c r="AG616">
        <v>0.39296879822524899</v>
      </c>
      <c r="AH616">
        <v>0.209227225150319</v>
      </c>
      <c r="AI616">
        <v>0.67831788827511696</v>
      </c>
      <c r="AJ616">
        <v>-0.82912038426100099</v>
      </c>
      <c r="AK616">
        <v>43.3535629403058</v>
      </c>
      <c r="AL616">
        <v>3.21615314793977</v>
      </c>
      <c r="AM616">
        <v>44.849754500000003</v>
      </c>
      <c r="AN616">
        <v>-0.62332259999999995</v>
      </c>
    </row>
    <row r="617" spans="1:40" x14ac:dyDescent="0.35">
      <c r="A617">
        <v>786</v>
      </c>
      <c r="B617">
        <v>57</v>
      </c>
      <c r="C617" t="s">
        <v>48</v>
      </c>
      <c r="D617" t="s">
        <v>41</v>
      </c>
      <c r="E617" t="s">
        <v>42</v>
      </c>
      <c r="F617" t="s">
        <v>43</v>
      </c>
      <c r="G617">
        <v>4</v>
      </c>
      <c r="H617">
        <v>16</v>
      </c>
      <c r="I617">
        <v>3</v>
      </c>
      <c r="J617" t="s">
        <v>56</v>
      </c>
      <c r="K617" t="s">
        <v>46</v>
      </c>
      <c r="L617" t="s">
        <v>51</v>
      </c>
      <c r="M617">
        <v>61.581851046381921</v>
      </c>
      <c r="N617">
        <v>405</v>
      </c>
      <c r="O617">
        <v>256</v>
      </c>
      <c r="P617">
        <v>185</v>
      </c>
      <c r="Q617">
        <v>0</v>
      </c>
      <c r="R617">
        <v>1.3862943611198906</v>
      </c>
      <c r="S617">
        <v>4.3438054218536841</v>
      </c>
      <c r="T617">
        <v>91.16</v>
      </c>
      <c r="U617">
        <v>2.3174698847378039</v>
      </c>
      <c r="V617">
        <v>-0.58471966768986094</v>
      </c>
      <c r="W617">
        <v>-0.55557078097057</v>
      </c>
      <c r="X617">
        <v>-0.47566183223429498</v>
      </c>
      <c r="Y617">
        <v>-0.95884680312505799</v>
      </c>
      <c r="Z617">
        <v>-0.76521334103430205</v>
      </c>
      <c r="AA617">
        <v>-0.77245900699560299</v>
      </c>
      <c r="AB617">
        <v>1376</v>
      </c>
      <c r="AC617">
        <v>0</v>
      </c>
      <c r="AD617">
        <v>2</v>
      </c>
      <c r="AE617">
        <v>-1.2769936012368599</v>
      </c>
      <c r="AF617">
        <v>0.70171341818058697</v>
      </c>
      <c r="AG617">
        <v>-0.185821371411901</v>
      </c>
      <c r="AH617">
        <v>0.275631004557093</v>
      </c>
      <c r="AI617">
        <v>0.582739056635594</v>
      </c>
      <c r="AJ617">
        <v>1.23224658641041</v>
      </c>
      <c r="AK617">
        <v>47.815207299999997</v>
      </c>
      <c r="AL617">
        <v>3.8001657</v>
      </c>
      <c r="AM617">
        <v>48.295999999999999</v>
      </c>
      <c r="AN617">
        <v>3.3908</v>
      </c>
    </row>
    <row r="618" spans="1:40" x14ac:dyDescent="0.35">
      <c r="A618">
        <v>788</v>
      </c>
      <c r="B618">
        <v>42</v>
      </c>
      <c r="C618" t="s">
        <v>40</v>
      </c>
      <c r="D618" t="s">
        <v>41</v>
      </c>
      <c r="E618" t="s">
        <v>42</v>
      </c>
      <c r="F618" t="s">
        <v>49</v>
      </c>
      <c r="G618">
        <v>5</v>
      </c>
      <c r="H618">
        <v>25</v>
      </c>
      <c r="I618">
        <v>7</v>
      </c>
      <c r="J618" t="s">
        <v>50</v>
      </c>
      <c r="K618" t="s">
        <v>46</v>
      </c>
      <c r="L618" t="s">
        <v>75</v>
      </c>
      <c r="M618">
        <v>334.79039592227753</v>
      </c>
      <c r="N618">
        <v>570</v>
      </c>
      <c r="O618">
        <v>405</v>
      </c>
      <c r="P618">
        <v>249</v>
      </c>
      <c r="Q618">
        <v>0</v>
      </c>
      <c r="R618">
        <v>0</v>
      </c>
      <c r="S618">
        <v>3.5553480614894135</v>
      </c>
      <c r="T618">
        <v>87.721111111111114</v>
      </c>
      <c r="U618">
        <v>1.8185946276597997</v>
      </c>
      <c r="V618">
        <v>-1.01058566247205</v>
      </c>
      <c r="W618">
        <v>-0.72487722485772399</v>
      </c>
      <c r="X618">
        <v>-0.83814251792544203</v>
      </c>
      <c r="Y618">
        <v>0.643019057251217</v>
      </c>
      <c r="Z618">
        <v>0.97010361819212798</v>
      </c>
      <c r="AA618">
        <v>-1.0557286875948499</v>
      </c>
      <c r="AB618">
        <v>4179</v>
      </c>
      <c r="AC618">
        <v>0</v>
      </c>
      <c r="AD618">
        <v>0</v>
      </c>
      <c r="AE618">
        <v>0.59808311135132897</v>
      </c>
      <c r="AF618">
        <v>-1.4768070096161501</v>
      </c>
      <c r="AG618">
        <v>5.2155844284267498E-2</v>
      </c>
      <c r="AH618">
        <v>-1.38295770400094</v>
      </c>
      <c r="AI618">
        <v>-0.41575385683967397</v>
      </c>
      <c r="AJ618">
        <v>-0.29780287406918299</v>
      </c>
      <c r="AK618">
        <v>47.087721999999999</v>
      </c>
      <c r="AL618">
        <v>-1.2817419999999999</v>
      </c>
      <c r="AM618">
        <v>48.856372813999997</v>
      </c>
      <c r="AN618">
        <v>2.3525296170000001</v>
      </c>
    </row>
    <row r="619" spans="1:40" x14ac:dyDescent="0.35">
      <c r="A619">
        <v>789</v>
      </c>
      <c r="B619">
        <v>42</v>
      </c>
      <c r="C619" t="s">
        <v>40</v>
      </c>
      <c r="D619" t="s">
        <v>41</v>
      </c>
      <c r="E619" t="s">
        <v>42</v>
      </c>
      <c r="F619" t="s">
        <v>49</v>
      </c>
      <c r="G619">
        <v>5</v>
      </c>
      <c r="H619">
        <v>25</v>
      </c>
      <c r="I619">
        <v>4</v>
      </c>
      <c r="J619" t="s">
        <v>50</v>
      </c>
      <c r="K619" t="s">
        <v>46</v>
      </c>
      <c r="L619" t="s">
        <v>58</v>
      </c>
      <c r="M619">
        <v>463.78402290967449</v>
      </c>
      <c r="N619">
        <v>143</v>
      </c>
      <c r="O619">
        <v>100</v>
      </c>
      <c r="P619">
        <v>80</v>
      </c>
      <c r="Q619">
        <v>3.2580965380214821</v>
      </c>
      <c r="R619">
        <v>2.8903717578961645</v>
      </c>
      <c r="S619">
        <v>4.7535901911063645</v>
      </c>
      <c r="T619">
        <v>90.794285714285706</v>
      </c>
      <c r="U619">
        <v>0</v>
      </c>
      <c r="V619">
        <v>0.63905639120027702</v>
      </c>
      <c r="W619">
        <v>0.692565001186083</v>
      </c>
      <c r="X619">
        <v>0.56469097254324596</v>
      </c>
      <c r="Y619">
        <v>1.4483117406157899</v>
      </c>
      <c r="Z619">
        <v>1.7680602694732599</v>
      </c>
      <c r="AA619">
        <v>0.26366440732357699</v>
      </c>
      <c r="AB619">
        <v>4236</v>
      </c>
      <c r="AC619">
        <v>0</v>
      </c>
      <c r="AD619">
        <v>4</v>
      </c>
      <c r="AE619">
        <v>1.6751267091712101</v>
      </c>
      <c r="AF619">
        <v>-9.9919002061142306E-2</v>
      </c>
      <c r="AG619">
        <v>0.55458304231859601</v>
      </c>
      <c r="AH619">
        <v>0.34607696420478101</v>
      </c>
      <c r="AI619">
        <v>0.36528697639958402</v>
      </c>
      <c r="AJ619">
        <v>-0.79997089149759903</v>
      </c>
      <c r="AK619">
        <v>45.198478000000001</v>
      </c>
      <c r="AL619">
        <v>-0.74874399999999997</v>
      </c>
      <c r="AM619">
        <v>48.824000000000005</v>
      </c>
      <c r="AN619">
        <v>2.2639999999999998</v>
      </c>
    </row>
    <row r="620" spans="1:40" x14ac:dyDescent="0.35">
      <c r="A620">
        <v>790</v>
      </c>
      <c r="B620">
        <v>42</v>
      </c>
      <c r="C620" t="s">
        <v>48</v>
      </c>
      <c r="D620" t="s">
        <v>41</v>
      </c>
      <c r="E620" t="s">
        <v>42</v>
      </c>
      <c r="F620" t="s">
        <v>49</v>
      </c>
      <c r="G620">
        <v>4</v>
      </c>
      <c r="H620">
        <v>16</v>
      </c>
      <c r="I620">
        <v>5</v>
      </c>
      <c r="J620" t="s">
        <v>56</v>
      </c>
      <c r="K620" t="s">
        <v>46</v>
      </c>
      <c r="L620" t="s">
        <v>62</v>
      </c>
      <c r="M620">
        <v>118.81389814254101</v>
      </c>
      <c r="N620">
        <v>841</v>
      </c>
      <c r="O620">
        <v>501</v>
      </c>
      <c r="P620">
        <v>743</v>
      </c>
      <c r="Q620">
        <v>0.69314718055994529</v>
      </c>
      <c r="R620">
        <v>3.2580965380214821</v>
      </c>
      <c r="S620">
        <v>3.2580965380214821</v>
      </c>
      <c r="T620">
        <v>95.68</v>
      </c>
      <c r="U620">
        <v>0</v>
      </c>
      <c r="V620">
        <v>1.82802042479695</v>
      </c>
      <c r="W620">
        <v>0.99424279543483596</v>
      </c>
      <c r="X620">
        <v>0.99177342203587404</v>
      </c>
      <c r="Y620">
        <v>-0.96278755162326501</v>
      </c>
      <c r="Z620">
        <v>-0.75605764486205096</v>
      </c>
      <c r="AA620">
        <v>-0.80037586101695801</v>
      </c>
      <c r="AB620">
        <v>2092.91</v>
      </c>
      <c r="AC620">
        <v>0</v>
      </c>
      <c r="AD620">
        <v>2.1</v>
      </c>
      <c r="AE620">
        <v>-1.0768626388726401</v>
      </c>
      <c r="AF620">
        <v>-0.303456366060887</v>
      </c>
      <c r="AG620">
        <v>0.663586211302856</v>
      </c>
      <c r="AH620">
        <v>-0.78844902220856505</v>
      </c>
      <c r="AI620">
        <v>0.70877900904493962</v>
      </c>
      <c r="AJ620">
        <v>-0.21171853679522323</v>
      </c>
      <c r="AK620">
        <v>49.042560999999999</v>
      </c>
      <c r="AL620">
        <v>3.9528660000000002</v>
      </c>
      <c r="AM620">
        <v>48.856372813999997</v>
      </c>
      <c r="AN620">
        <v>2.3525296170000001</v>
      </c>
    </row>
    <row r="621" spans="1:40" x14ac:dyDescent="0.35">
      <c r="A621">
        <v>791</v>
      </c>
      <c r="B621">
        <v>42</v>
      </c>
      <c r="C621" t="s">
        <v>40</v>
      </c>
      <c r="D621" t="s">
        <v>66</v>
      </c>
      <c r="E621" t="s">
        <v>42</v>
      </c>
      <c r="F621" t="s">
        <v>61</v>
      </c>
      <c r="G621">
        <v>5</v>
      </c>
      <c r="H621">
        <v>25</v>
      </c>
      <c r="I621">
        <v>7</v>
      </c>
      <c r="J621" t="s">
        <v>50</v>
      </c>
      <c r="K621" t="s">
        <v>46</v>
      </c>
      <c r="L621" t="s">
        <v>55</v>
      </c>
      <c r="M621">
        <v>567.37793495632582</v>
      </c>
      <c r="N621">
        <v>143</v>
      </c>
      <c r="O621">
        <v>100</v>
      </c>
      <c r="P621">
        <v>80</v>
      </c>
      <c r="Q621">
        <v>2.0794415416798357</v>
      </c>
      <c r="R621">
        <v>2.3025850929940459</v>
      </c>
      <c r="S621">
        <v>3.2580965380214821</v>
      </c>
      <c r="T621">
        <v>95.12</v>
      </c>
      <c r="U621">
        <v>0</v>
      </c>
      <c r="V621">
        <v>1.89305099905856</v>
      </c>
      <c r="W621">
        <v>0.59880690621441701</v>
      </c>
      <c r="X621">
        <v>1.1856460040685599</v>
      </c>
      <c r="Y621">
        <v>-0.15565097555555901</v>
      </c>
      <c r="Z621">
        <v>-0.22748295097212001</v>
      </c>
      <c r="AA621">
        <v>1.0415013010201299</v>
      </c>
      <c r="AB621">
        <v>2939.9504036908884</v>
      </c>
      <c r="AC621">
        <v>2</v>
      </c>
      <c r="AD621">
        <v>0.42868127643214149</v>
      </c>
      <c r="AE621">
        <v>-2.40641039566141E-2</v>
      </c>
      <c r="AF621">
        <v>0.28916674647033702</v>
      </c>
      <c r="AG621">
        <v>0.89822891334029598</v>
      </c>
      <c r="AH621">
        <v>-1.9320742679757299</v>
      </c>
      <c r="AI621">
        <v>-0.47493655893033099</v>
      </c>
      <c r="AJ621">
        <v>-0.22637945991145</v>
      </c>
      <c r="AK621">
        <v>48.0777517</v>
      </c>
      <c r="AL621">
        <v>7.3579641000000002</v>
      </c>
      <c r="AM621">
        <v>43.088000000000001</v>
      </c>
      <c r="AN621">
        <v>5.8710000000000004</v>
      </c>
    </row>
    <row r="622" spans="1:40" x14ac:dyDescent="0.35">
      <c r="A622">
        <v>792</v>
      </c>
      <c r="B622">
        <v>72</v>
      </c>
      <c r="C622" t="s">
        <v>40</v>
      </c>
      <c r="D622" t="s">
        <v>41</v>
      </c>
      <c r="E622" t="s">
        <v>42</v>
      </c>
      <c r="F622" t="s">
        <v>53</v>
      </c>
      <c r="G622">
        <v>6</v>
      </c>
      <c r="H622">
        <v>36</v>
      </c>
      <c r="I622">
        <v>5</v>
      </c>
      <c r="J622" t="s">
        <v>56</v>
      </c>
      <c r="K622" t="s">
        <v>46</v>
      </c>
      <c r="L622" t="s">
        <v>62</v>
      </c>
      <c r="M622">
        <v>118.81389814254101</v>
      </c>
      <c r="N622">
        <v>932</v>
      </c>
      <c r="O622">
        <v>683</v>
      </c>
      <c r="P622">
        <v>448</v>
      </c>
      <c r="Q622">
        <v>0.69314718055994529</v>
      </c>
      <c r="R622">
        <v>3.2580965380214821</v>
      </c>
      <c r="S622">
        <v>3.2580965380214821</v>
      </c>
      <c r="T622">
        <v>95.68</v>
      </c>
      <c r="U622">
        <v>0</v>
      </c>
      <c r="V622">
        <v>1.82802042479695</v>
      </c>
      <c r="W622">
        <v>0.99424279543483596</v>
      </c>
      <c r="X622">
        <v>0.99177342203587404</v>
      </c>
      <c r="Y622">
        <v>-0.96278755162326501</v>
      </c>
      <c r="Z622">
        <v>-0.75605764486205096</v>
      </c>
      <c r="AA622">
        <v>-0.80037586101695801</v>
      </c>
      <c r="AB622">
        <v>2092.91</v>
      </c>
      <c r="AC622">
        <v>0</v>
      </c>
      <c r="AD622">
        <v>2.1</v>
      </c>
      <c r="AE622">
        <v>-1.0768626388726401</v>
      </c>
      <c r="AF622">
        <v>1.0733709396906601</v>
      </c>
      <c r="AG622">
        <v>0.19679852722772101</v>
      </c>
      <c r="AH622">
        <v>0.86343528158078697</v>
      </c>
      <c r="AI622">
        <v>1.3219003422536699</v>
      </c>
      <c r="AJ622">
        <v>-0.12214170238255399</v>
      </c>
      <c r="AK622">
        <v>49.042560999999999</v>
      </c>
      <c r="AL622">
        <v>3.9528660000000002</v>
      </c>
      <c r="AM622">
        <v>48.856372813999997</v>
      </c>
      <c r="AN622">
        <v>2.3525296170000001</v>
      </c>
    </row>
    <row r="623" spans="1:40" x14ac:dyDescent="0.35">
      <c r="A623">
        <v>794</v>
      </c>
      <c r="B623">
        <v>57</v>
      </c>
      <c r="C623" t="s">
        <v>40</v>
      </c>
      <c r="D623" t="s">
        <v>66</v>
      </c>
      <c r="E623" t="s">
        <v>42</v>
      </c>
      <c r="F623" t="s">
        <v>49</v>
      </c>
      <c r="G623">
        <v>5</v>
      </c>
      <c r="H623">
        <v>25</v>
      </c>
      <c r="I623">
        <v>5</v>
      </c>
      <c r="J623" t="s">
        <v>50</v>
      </c>
      <c r="K623" t="s">
        <v>46</v>
      </c>
      <c r="L623" t="s">
        <v>47</v>
      </c>
      <c r="M623">
        <v>707.44653801928382</v>
      </c>
      <c r="N623">
        <v>185</v>
      </c>
      <c r="O623">
        <v>127</v>
      </c>
      <c r="P623">
        <v>564</v>
      </c>
      <c r="Q623">
        <v>5.9107966440405271</v>
      </c>
      <c r="R623">
        <v>6.4997870406558542</v>
      </c>
      <c r="S623">
        <v>8.6415324656718457</v>
      </c>
      <c r="T623">
        <v>89.265350482850479</v>
      </c>
      <c r="U623">
        <v>1.4417786561042019</v>
      </c>
      <c r="V623">
        <v>-0.22886708829074301</v>
      </c>
      <c r="W623">
        <v>0.28745285629339301</v>
      </c>
      <c r="X623">
        <v>-0.15627425222847</v>
      </c>
      <c r="Y623">
        <v>1.45226138127617</v>
      </c>
      <c r="Z623">
        <v>0.98247225355557</v>
      </c>
      <c r="AA623">
        <v>0.627775520474398</v>
      </c>
      <c r="AB623">
        <v>3362.2959371744532</v>
      </c>
      <c r="AC623">
        <v>2.8998317172850387</v>
      </c>
      <c r="AD623">
        <v>2.9499158586425196</v>
      </c>
      <c r="AE623">
        <v>1.06273170356322</v>
      </c>
      <c r="AF623">
        <v>-0.15437030819582001</v>
      </c>
      <c r="AG623">
        <v>-0.68345198754904601</v>
      </c>
      <c r="AH623">
        <v>-1.8524190408874299</v>
      </c>
      <c r="AI623">
        <v>-1.7762393928656399</v>
      </c>
      <c r="AJ623">
        <v>-0.42335854358271502</v>
      </c>
      <c r="AK623">
        <v>43.3535629403058</v>
      </c>
      <c r="AL623">
        <v>3.21615314793977</v>
      </c>
      <c r="AM623">
        <v>49.378500000000003</v>
      </c>
      <c r="AN623">
        <v>6.1519999999999992</v>
      </c>
    </row>
    <row r="624" spans="1:40" x14ac:dyDescent="0.35">
      <c r="A624">
        <v>795</v>
      </c>
      <c r="B624">
        <v>57</v>
      </c>
      <c r="C624" t="s">
        <v>40</v>
      </c>
      <c r="D624" t="s">
        <v>52</v>
      </c>
      <c r="E624" t="s">
        <v>42</v>
      </c>
      <c r="F624" t="s">
        <v>53</v>
      </c>
      <c r="G624">
        <v>4</v>
      </c>
      <c r="H624">
        <v>16</v>
      </c>
      <c r="I624">
        <v>7</v>
      </c>
      <c r="J624" t="s">
        <v>50</v>
      </c>
      <c r="K624" t="s">
        <v>46</v>
      </c>
      <c r="L624" t="s">
        <v>51</v>
      </c>
      <c r="M624">
        <v>72.000795483513912</v>
      </c>
      <c r="N624">
        <v>312</v>
      </c>
      <c r="O624">
        <v>170</v>
      </c>
      <c r="P624">
        <v>220</v>
      </c>
      <c r="Q624">
        <v>0</v>
      </c>
      <c r="R624">
        <v>1.3862943611198906</v>
      </c>
      <c r="S624">
        <v>4.3438054218536841</v>
      </c>
      <c r="T624">
        <v>91.16</v>
      </c>
      <c r="U624">
        <v>2.3174698847378039</v>
      </c>
      <c r="V624">
        <v>-0.58471966768986094</v>
      </c>
      <c r="W624">
        <v>-0.55557078097057</v>
      </c>
      <c r="X624">
        <v>-0.47566183223429498</v>
      </c>
      <c r="Y624">
        <v>-0.95884680312505799</v>
      </c>
      <c r="Z624">
        <v>-0.76521334103430205</v>
      </c>
      <c r="AA624">
        <v>-0.77245900699560299</v>
      </c>
      <c r="AB624">
        <v>1376</v>
      </c>
      <c r="AC624">
        <v>0</v>
      </c>
      <c r="AD624">
        <v>2</v>
      </c>
      <c r="AE624">
        <v>-1.2769936012368599</v>
      </c>
      <c r="AF624">
        <v>-2.4141862440909598</v>
      </c>
      <c r="AG624">
        <v>0.90550498551650405</v>
      </c>
      <c r="AH624">
        <v>-1.6430458384673401</v>
      </c>
      <c r="AI624">
        <v>-2.1265776609029898</v>
      </c>
      <c r="AJ624">
        <v>0.80151445697479695</v>
      </c>
      <c r="AK624">
        <v>47.815207299999997</v>
      </c>
      <c r="AL624">
        <v>3.8001657</v>
      </c>
      <c r="AM624">
        <v>47.606500000000004</v>
      </c>
      <c r="AN624">
        <v>2.890333333333333</v>
      </c>
    </row>
    <row r="625" spans="1:40" x14ac:dyDescent="0.35">
      <c r="A625">
        <v>796</v>
      </c>
      <c r="B625">
        <v>57</v>
      </c>
      <c r="C625" t="s">
        <v>48</v>
      </c>
      <c r="D625" t="s">
        <v>52</v>
      </c>
      <c r="E625" t="s">
        <v>42</v>
      </c>
      <c r="F625" t="s">
        <v>43</v>
      </c>
      <c r="G625">
        <v>4</v>
      </c>
      <c r="H625">
        <v>16</v>
      </c>
      <c r="I625">
        <v>4</v>
      </c>
      <c r="J625" t="s">
        <v>50</v>
      </c>
      <c r="K625" t="s">
        <v>46</v>
      </c>
      <c r="L625" t="s">
        <v>62</v>
      </c>
      <c r="M625">
        <v>212.14596790125981</v>
      </c>
      <c r="N625">
        <v>343</v>
      </c>
      <c r="O625">
        <v>200</v>
      </c>
      <c r="P625">
        <v>188</v>
      </c>
      <c r="Q625">
        <v>0.69314718055994529</v>
      </c>
      <c r="R625">
        <v>3.2580965380214821</v>
      </c>
      <c r="S625">
        <v>3.2580965380214821</v>
      </c>
      <c r="T625">
        <v>95.68</v>
      </c>
      <c r="U625">
        <v>0</v>
      </c>
      <c r="V625">
        <v>1.82802042479695</v>
      </c>
      <c r="W625">
        <v>0.99424279543483596</v>
      </c>
      <c r="X625">
        <v>0.99177342203587404</v>
      </c>
      <c r="Y625">
        <v>-0.96278755162326501</v>
      </c>
      <c r="Z625">
        <v>-0.75605764486205096</v>
      </c>
      <c r="AA625">
        <v>-0.80037586101695801</v>
      </c>
      <c r="AB625">
        <v>2092.91</v>
      </c>
      <c r="AC625">
        <v>0</v>
      </c>
      <c r="AD625">
        <v>2.1</v>
      </c>
      <c r="AE625">
        <v>-1.0768626388726401</v>
      </c>
      <c r="AF625">
        <v>-0.93128769098569797</v>
      </c>
      <c r="AG625">
        <v>1.69310193705811</v>
      </c>
      <c r="AH625">
        <v>0.65537193606388</v>
      </c>
      <c r="AI625">
        <v>0.80074598986956103</v>
      </c>
      <c r="AJ625">
        <v>9.2951164937519107E-2</v>
      </c>
      <c r="AK625">
        <v>49.042560999999999</v>
      </c>
      <c r="AL625">
        <v>3.9528660000000002</v>
      </c>
      <c r="AM625">
        <v>49.442206599999999</v>
      </c>
      <c r="AN625">
        <v>1.0985132</v>
      </c>
    </row>
    <row r="626" spans="1:40" x14ac:dyDescent="0.35">
      <c r="A626">
        <v>797</v>
      </c>
      <c r="B626">
        <v>57</v>
      </c>
      <c r="C626" t="s">
        <v>40</v>
      </c>
      <c r="D626" t="s">
        <v>52</v>
      </c>
      <c r="E626" t="s">
        <v>42</v>
      </c>
      <c r="F626" t="s">
        <v>43</v>
      </c>
      <c r="G626">
        <v>6</v>
      </c>
      <c r="H626">
        <v>36</v>
      </c>
      <c r="I626">
        <v>6</v>
      </c>
      <c r="J626" t="s">
        <v>56</v>
      </c>
      <c r="K626" t="s">
        <v>46</v>
      </c>
      <c r="L626" t="s">
        <v>69</v>
      </c>
      <c r="M626">
        <v>279.31795490042009</v>
      </c>
      <c r="N626">
        <v>762</v>
      </c>
      <c r="O626">
        <v>464</v>
      </c>
      <c r="P626">
        <v>305</v>
      </c>
      <c r="Q626">
        <v>2.3978952727983707</v>
      </c>
      <c r="R626">
        <v>4.5538768916005408</v>
      </c>
      <c r="S626">
        <v>5.4847969334906548</v>
      </c>
      <c r="T626">
        <v>93.296000000000006</v>
      </c>
      <c r="U626">
        <v>2.2325431437911538</v>
      </c>
      <c r="V626">
        <v>-0.44922684044461197</v>
      </c>
      <c r="W626">
        <v>-0.76855194782346203</v>
      </c>
      <c r="X626">
        <v>-0.44700324392789598</v>
      </c>
      <c r="Y626">
        <v>-0.846122564821426</v>
      </c>
      <c r="Z626">
        <v>-0.92679578564836795</v>
      </c>
      <c r="AA626">
        <v>0.86332342905974202</v>
      </c>
      <c r="AB626">
        <v>2050</v>
      </c>
      <c r="AC626">
        <v>1</v>
      </c>
      <c r="AD626">
        <v>2</v>
      </c>
      <c r="AE626">
        <v>-0.51011828243844404</v>
      </c>
      <c r="AF626">
        <v>0.44880882177398201</v>
      </c>
      <c r="AG626">
        <v>1.3175324160210899</v>
      </c>
      <c r="AH626">
        <v>0.94341260752487199</v>
      </c>
      <c r="AI626">
        <v>0.58455781480421598</v>
      </c>
      <c r="AJ626">
        <v>0.21775378701457801</v>
      </c>
      <c r="AK626">
        <v>47.177235000000003</v>
      </c>
      <c r="AL626">
        <v>4.964315</v>
      </c>
      <c r="AM626">
        <v>48.954999999999998</v>
      </c>
      <c r="AN626">
        <v>2.3140000000000001</v>
      </c>
    </row>
    <row r="627" spans="1:40" x14ac:dyDescent="0.35">
      <c r="A627">
        <v>798</v>
      </c>
      <c r="B627">
        <v>57</v>
      </c>
      <c r="C627" t="s">
        <v>40</v>
      </c>
      <c r="D627" t="s">
        <v>41</v>
      </c>
      <c r="E627" t="s">
        <v>42</v>
      </c>
      <c r="F627" t="s">
        <v>61</v>
      </c>
      <c r="G627">
        <v>5</v>
      </c>
      <c r="H627">
        <v>25</v>
      </c>
      <c r="I627">
        <v>5</v>
      </c>
      <c r="J627" t="s">
        <v>50</v>
      </c>
      <c r="K627" t="s">
        <v>46</v>
      </c>
      <c r="L627" t="s">
        <v>47</v>
      </c>
      <c r="M627">
        <v>612.30027787297956</v>
      </c>
      <c r="N627">
        <v>423</v>
      </c>
      <c r="O627">
        <v>220</v>
      </c>
      <c r="P627">
        <v>168</v>
      </c>
      <c r="Q627">
        <v>5.9107966440405271</v>
      </c>
      <c r="R627">
        <v>6.4997870406558542</v>
      </c>
      <c r="S627">
        <v>8.6415324656718457</v>
      </c>
      <c r="T627">
        <v>89.265350482850479</v>
      </c>
      <c r="U627">
        <v>1.4417786561042019</v>
      </c>
      <c r="V627">
        <v>-0.22886708829074301</v>
      </c>
      <c r="W627">
        <v>0.28745285629339301</v>
      </c>
      <c r="X627">
        <v>-0.15627425222847</v>
      </c>
      <c r="Y627">
        <v>1.45226138127617</v>
      </c>
      <c r="Z627">
        <v>0.98247225355557</v>
      </c>
      <c r="AA627">
        <v>0.627775520474398</v>
      </c>
      <c r="AB627">
        <v>3362.2959371744532</v>
      </c>
      <c r="AC627">
        <v>2.8998317172850387</v>
      </c>
      <c r="AD627">
        <v>2.9499158586425196</v>
      </c>
      <c r="AE627">
        <v>1.06273170356322</v>
      </c>
      <c r="AF627">
        <v>-2.6853806865632199E-2</v>
      </c>
      <c r="AG627">
        <v>-0.66380467439587798</v>
      </c>
      <c r="AH627">
        <v>-0.302632656080627</v>
      </c>
      <c r="AI627">
        <v>-0.46842922571825102</v>
      </c>
      <c r="AJ627">
        <v>-0.96338175480972599</v>
      </c>
      <c r="AK627">
        <v>43.3535629403058</v>
      </c>
      <c r="AL627">
        <v>3.21615314793977</v>
      </c>
      <c r="AM627">
        <v>48.817</v>
      </c>
      <c r="AN627">
        <v>2.2970000000000002</v>
      </c>
    </row>
    <row r="628" spans="1:40" x14ac:dyDescent="0.35">
      <c r="A628">
        <v>799</v>
      </c>
      <c r="B628">
        <v>29.5</v>
      </c>
      <c r="C628" t="s">
        <v>48</v>
      </c>
      <c r="D628" t="s">
        <v>41</v>
      </c>
      <c r="E628" t="s">
        <v>42</v>
      </c>
      <c r="F628" t="s">
        <v>43</v>
      </c>
      <c r="G628">
        <v>4</v>
      </c>
      <c r="H628">
        <v>16</v>
      </c>
      <c r="I628">
        <v>5</v>
      </c>
      <c r="J628" t="s">
        <v>56</v>
      </c>
      <c r="K628" t="s">
        <v>46</v>
      </c>
      <c r="L628" t="s">
        <v>71</v>
      </c>
      <c r="M628">
        <v>461.63476637503351</v>
      </c>
      <c r="N628">
        <v>137</v>
      </c>
      <c r="O628">
        <v>90</v>
      </c>
      <c r="P628">
        <v>116</v>
      </c>
      <c r="Q628">
        <v>4.5747109785033828</v>
      </c>
      <c r="R628">
        <v>3.5263605246161616</v>
      </c>
      <c r="S628">
        <v>5.1416635565026603</v>
      </c>
      <c r="T628">
        <v>92.265120976563693</v>
      </c>
      <c r="U628">
        <v>2.9351954657362995</v>
      </c>
      <c r="V628">
        <v>-8.3509539921858403E-2</v>
      </c>
      <c r="W628">
        <v>-8.6188355584626702E-2</v>
      </c>
      <c r="X628">
        <v>-6.2117403422328299E-2</v>
      </c>
      <c r="Y628">
        <v>-0.51135009403950604</v>
      </c>
      <c r="Z628">
        <v>-0.669554030021006</v>
      </c>
      <c r="AA628">
        <v>-1.4915282051312999</v>
      </c>
      <c r="AB628">
        <v>1813.5248996931791</v>
      </c>
      <c r="AC628">
        <v>1.6535284399339156</v>
      </c>
      <c r="AD628">
        <v>0.49421760679726223</v>
      </c>
      <c r="AE628">
        <v>-0.18520258641298501</v>
      </c>
      <c r="AF628">
        <v>-2.6709541582378198</v>
      </c>
      <c r="AG628">
        <v>-1.51792662991531</v>
      </c>
      <c r="AH628">
        <v>-9.65252586144381E-2</v>
      </c>
      <c r="AI628">
        <v>-1.3881791028764601</v>
      </c>
      <c r="AJ628">
        <v>0.57647401702037104</v>
      </c>
      <c r="AK628">
        <v>45.071283999999999</v>
      </c>
      <c r="AL628">
        <v>4.8370730000000002</v>
      </c>
      <c r="AM628">
        <v>48.856372813999997</v>
      </c>
      <c r="AN628">
        <v>2.3525296170000001</v>
      </c>
    </row>
    <row r="629" spans="1:40" x14ac:dyDescent="0.35">
      <c r="A629">
        <v>800</v>
      </c>
      <c r="B629">
        <v>42</v>
      </c>
      <c r="C629" t="s">
        <v>40</v>
      </c>
      <c r="D629" t="s">
        <v>41</v>
      </c>
      <c r="E629" t="s">
        <v>42</v>
      </c>
      <c r="F629" t="s">
        <v>43</v>
      </c>
      <c r="G629">
        <v>4</v>
      </c>
      <c r="H629">
        <v>16</v>
      </c>
      <c r="I629">
        <v>4</v>
      </c>
      <c r="J629" t="s">
        <v>50</v>
      </c>
      <c r="K629" t="s">
        <v>46</v>
      </c>
      <c r="L629" t="s">
        <v>62</v>
      </c>
      <c r="M629">
        <v>112.8736789984566</v>
      </c>
      <c r="N629">
        <v>396</v>
      </c>
      <c r="O629">
        <v>244</v>
      </c>
      <c r="P629">
        <v>248</v>
      </c>
      <c r="Q629">
        <v>0.69314718055994529</v>
      </c>
      <c r="R629">
        <v>3.2580965380214821</v>
      </c>
      <c r="S629">
        <v>3.2580965380214821</v>
      </c>
      <c r="T629">
        <v>95.68</v>
      </c>
      <c r="U629">
        <v>0</v>
      </c>
      <c r="V629">
        <v>1.82802042479695</v>
      </c>
      <c r="W629">
        <v>0.99424279543483596</v>
      </c>
      <c r="X629">
        <v>0.99177342203587404</v>
      </c>
      <c r="Y629">
        <v>-0.96278755162326501</v>
      </c>
      <c r="Z629">
        <v>-0.75605764486205096</v>
      </c>
      <c r="AA629">
        <v>-0.80037586101695801</v>
      </c>
      <c r="AB629">
        <v>2092.91</v>
      </c>
      <c r="AC629">
        <v>0</v>
      </c>
      <c r="AD629">
        <v>2.1</v>
      </c>
      <c r="AE629">
        <v>-1.0768626388726401</v>
      </c>
      <c r="AF629">
        <v>-0.77451359065392811</v>
      </c>
      <c r="AG629">
        <v>0.58281329829530459</v>
      </c>
      <c r="AH629">
        <v>-1.6450563047568298</v>
      </c>
      <c r="AI629">
        <v>-0.52299351905090297</v>
      </c>
      <c r="AJ629">
        <v>0.74278074540491401</v>
      </c>
      <c r="AK629">
        <v>49.042560999999999</v>
      </c>
      <c r="AL629">
        <v>3.9528660000000002</v>
      </c>
      <c r="AM629">
        <v>48.847000000000001</v>
      </c>
      <c r="AN629">
        <v>2.4380000000000002</v>
      </c>
    </row>
    <row r="630" spans="1:40" x14ac:dyDescent="0.35">
      <c r="A630">
        <v>801</v>
      </c>
      <c r="B630">
        <v>57</v>
      </c>
      <c r="C630" t="s">
        <v>40</v>
      </c>
      <c r="D630" t="s">
        <v>41</v>
      </c>
      <c r="E630" t="s">
        <v>42</v>
      </c>
      <c r="F630" t="s">
        <v>61</v>
      </c>
      <c r="G630">
        <v>3</v>
      </c>
      <c r="H630">
        <v>9</v>
      </c>
      <c r="I630">
        <v>4</v>
      </c>
      <c r="J630" t="s">
        <v>50</v>
      </c>
      <c r="K630" t="s">
        <v>46</v>
      </c>
      <c r="L630" t="s">
        <v>75</v>
      </c>
      <c r="M630">
        <v>305.92018365447262</v>
      </c>
      <c r="N630">
        <v>1069</v>
      </c>
      <c r="O630">
        <v>648</v>
      </c>
      <c r="P630">
        <v>421</v>
      </c>
      <c r="Q630">
        <v>0</v>
      </c>
      <c r="R630">
        <v>0</v>
      </c>
      <c r="S630">
        <v>3.5553480614894135</v>
      </c>
      <c r="T630">
        <v>87.721111111111114</v>
      </c>
      <c r="U630">
        <v>1.8185946276597997</v>
      </c>
      <c r="V630">
        <v>-1.01058566247205</v>
      </c>
      <c r="W630">
        <v>-0.72487722485772399</v>
      </c>
      <c r="X630">
        <v>-0.83814251792544203</v>
      </c>
      <c r="Y630">
        <v>0.643019057251217</v>
      </c>
      <c r="Z630">
        <v>0.97010361819212798</v>
      </c>
      <c r="AA630">
        <v>-1.0557286875948499</v>
      </c>
      <c r="AB630">
        <v>4179</v>
      </c>
      <c r="AC630">
        <v>0</v>
      </c>
      <c r="AD630">
        <v>0</v>
      </c>
      <c r="AE630">
        <v>0.59808311135132897</v>
      </c>
      <c r="AF630">
        <v>0.10641998230696199</v>
      </c>
      <c r="AG630">
        <v>-2.98206437165162</v>
      </c>
      <c r="AH630">
        <v>0.65452068695032495</v>
      </c>
      <c r="AI630">
        <v>0.73668598294057996</v>
      </c>
      <c r="AJ630">
        <v>-0.170657662379816</v>
      </c>
      <c r="AK630">
        <v>47.087721999999999</v>
      </c>
      <c r="AL630">
        <v>-1.2817419999999999</v>
      </c>
      <c r="AM630">
        <v>48.562666666666672</v>
      </c>
      <c r="AN630">
        <v>2.1726666666666667</v>
      </c>
    </row>
    <row r="631" spans="1:40" x14ac:dyDescent="0.35">
      <c r="A631">
        <v>802</v>
      </c>
      <c r="B631">
        <v>57</v>
      </c>
      <c r="C631" t="s">
        <v>40</v>
      </c>
      <c r="D631" t="s">
        <v>52</v>
      </c>
      <c r="E631" t="s">
        <v>68</v>
      </c>
      <c r="F631" t="s">
        <v>49</v>
      </c>
      <c r="G631">
        <v>5</v>
      </c>
      <c r="H631">
        <v>25</v>
      </c>
      <c r="I631">
        <v>5</v>
      </c>
      <c r="J631" t="s">
        <v>50</v>
      </c>
      <c r="K631" t="s">
        <v>46</v>
      </c>
      <c r="L631" t="s">
        <v>47</v>
      </c>
      <c r="M631">
        <v>818.53849504709979</v>
      </c>
      <c r="N631">
        <v>762</v>
      </c>
      <c r="O631">
        <v>464</v>
      </c>
      <c r="P631">
        <v>305</v>
      </c>
      <c r="Q631">
        <v>5.9107966440405271</v>
      </c>
      <c r="R631">
        <v>6.4997870406558542</v>
      </c>
      <c r="S631">
        <v>8.6415324656718457</v>
      </c>
      <c r="T631">
        <v>89.265350482850479</v>
      </c>
      <c r="U631">
        <v>1.4417786561042019</v>
      </c>
      <c r="V631">
        <v>-0.22886708829074301</v>
      </c>
      <c r="W631">
        <v>0.28745285629339301</v>
      </c>
      <c r="X631">
        <v>-0.15627425222847</v>
      </c>
      <c r="Y631">
        <v>1.45226138127617</v>
      </c>
      <c r="Z631">
        <v>0.98247225355557</v>
      </c>
      <c r="AA631">
        <v>0.627775520474398</v>
      </c>
      <c r="AB631">
        <v>3362.2959371744532</v>
      </c>
      <c r="AC631">
        <v>2.8998317172850387</v>
      </c>
      <c r="AD631">
        <v>2.9499158586425196</v>
      </c>
      <c r="AE631">
        <v>1.06273170356322</v>
      </c>
      <c r="AF631">
        <v>1.05087455626854</v>
      </c>
      <c r="AG631">
        <v>-1.8670800058908099</v>
      </c>
      <c r="AH631">
        <v>1.0703214253345601E-2</v>
      </c>
      <c r="AI631">
        <v>0.74318681618151405</v>
      </c>
      <c r="AJ631">
        <v>1.13219827916871</v>
      </c>
      <c r="AK631">
        <v>43.3535629403058</v>
      </c>
      <c r="AL631">
        <v>3.21615314793977</v>
      </c>
      <c r="AM631">
        <v>50.640682937000001</v>
      </c>
      <c r="AN631">
        <v>4.6610704270000003</v>
      </c>
    </row>
    <row r="632" spans="1:40" x14ac:dyDescent="0.35">
      <c r="A632">
        <v>803</v>
      </c>
      <c r="B632">
        <v>72</v>
      </c>
      <c r="C632" t="s">
        <v>40</v>
      </c>
      <c r="D632" t="s">
        <v>52</v>
      </c>
      <c r="E632" t="s">
        <v>42</v>
      </c>
      <c r="F632" t="s">
        <v>49</v>
      </c>
      <c r="G632">
        <v>4</v>
      </c>
      <c r="H632">
        <v>16</v>
      </c>
      <c r="I632">
        <v>5</v>
      </c>
      <c r="J632" t="s">
        <v>50</v>
      </c>
      <c r="K632" t="s">
        <v>46</v>
      </c>
      <c r="L632" t="s">
        <v>47</v>
      </c>
      <c r="M632">
        <v>613.37287989677179</v>
      </c>
      <c r="N632">
        <v>566</v>
      </c>
      <c r="O632">
        <v>409</v>
      </c>
      <c r="P632">
        <v>222</v>
      </c>
      <c r="Q632">
        <v>5.9107966440405271</v>
      </c>
      <c r="R632">
        <v>6.4997870406558542</v>
      </c>
      <c r="S632">
        <v>8.6415324656718457</v>
      </c>
      <c r="T632">
        <v>89.265350482850479</v>
      </c>
      <c r="U632">
        <v>1.4417786561042019</v>
      </c>
      <c r="V632">
        <v>-0.22886708829074301</v>
      </c>
      <c r="W632">
        <v>0.28745285629339301</v>
      </c>
      <c r="X632">
        <v>-0.15627425222847</v>
      </c>
      <c r="Y632">
        <v>1.45226138127617</v>
      </c>
      <c r="Z632">
        <v>0.98247225355557</v>
      </c>
      <c r="AA632">
        <v>0.627775520474398</v>
      </c>
      <c r="AB632">
        <v>3362.2959371744532</v>
      </c>
      <c r="AC632">
        <v>2.8998317172850387</v>
      </c>
      <c r="AD632">
        <v>2.9499158586425196</v>
      </c>
      <c r="AE632">
        <v>1.06273170356322</v>
      </c>
      <c r="AF632">
        <v>8.8899448733520403E-2</v>
      </c>
      <c r="AG632">
        <v>0.71347493150909203</v>
      </c>
      <c r="AH632">
        <v>0.99526758182977604</v>
      </c>
      <c r="AI632">
        <v>0.53604587049039498</v>
      </c>
      <c r="AJ632">
        <v>0.72760372845825005</v>
      </c>
      <c r="AK632">
        <v>43.3535629403058</v>
      </c>
      <c r="AL632">
        <v>3.21615314793977</v>
      </c>
      <c r="AM632">
        <v>48.824000000000005</v>
      </c>
      <c r="AN632">
        <v>2.2639999999999998</v>
      </c>
    </row>
    <row r="633" spans="1:40" x14ac:dyDescent="0.35">
      <c r="A633">
        <v>804</v>
      </c>
      <c r="B633">
        <v>57</v>
      </c>
      <c r="C633" t="s">
        <v>40</v>
      </c>
      <c r="D633" t="s">
        <v>41</v>
      </c>
      <c r="E633" t="s">
        <v>42</v>
      </c>
      <c r="F633" t="s">
        <v>43</v>
      </c>
      <c r="G633">
        <v>7</v>
      </c>
      <c r="H633">
        <v>49</v>
      </c>
      <c r="I633">
        <v>6</v>
      </c>
      <c r="J633" t="s">
        <v>50</v>
      </c>
      <c r="K633" t="s">
        <v>46</v>
      </c>
      <c r="L633" t="s">
        <v>58</v>
      </c>
      <c r="M633">
        <v>470.20785645571289</v>
      </c>
      <c r="N633">
        <v>459</v>
      </c>
      <c r="O633">
        <v>240</v>
      </c>
      <c r="P633">
        <v>243</v>
      </c>
      <c r="Q633">
        <v>3.2580965380214821</v>
      </c>
      <c r="R633">
        <v>2.8903717578961645</v>
      </c>
      <c r="S633">
        <v>4.7535901911063645</v>
      </c>
      <c r="T633">
        <v>90.794285714285706</v>
      </c>
      <c r="U633">
        <v>0</v>
      </c>
      <c r="V633">
        <v>0.63905639120027702</v>
      </c>
      <c r="W633">
        <v>0.692565001186083</v>
      </c>
      <c r="X633">
        <v>0.56469097254324596</v>
      </c>
      <c r="Y633">
        <v>1.4483117406157899</v>
      </c>
      <c r="Z633">
        <v>1.7680602694732599</v>
      </c>
      <c r="AA633">
        <v>0.26366440732357699</v>
      </c>
      <c r="AB633">
        <v>4236</v>
      </c>
      <c r="AC633">
        <v>0</v>
      </c>
      <c r="AD633">
        <v>4</v>
      </c>
      <c r="AE633">
        <v>1.6751267091712101</v>
      </c>
      <c r="AF633">
        <v>1.60371173034829</v>
      </c>
      <c r="AG633">
        <v>-0.50159287663254803</v>
      </c>
      <c r="AH633">
        <v>0.10199162871431</v>
      </c>
      <c r="AI633">
        <v>1.82711777488729</v>
      </c>
      <c r="AJ633">
        <v>-1.4003229496407501</v>
      </c>
      <c r="AK633">
        <v>45.198478000000001</v>
      </c>
      <c r="AL633">
        <v>-0.74874399999999997</v>
      </c>
      <c r="AM633">
        <v>48.856372813999997</v>
      </c>
      <c r="AN633">
        <v>2.3525296170000001</v>
      </c>
    </row>
    <row r="634" spans="1:40" x14ac:dyDescent="0.35">
      <c r="A634">
        <v>805</v>
      </c>
      <c r="B634">
        <v>72</v>
      </c>
      <c r="C634" t="s">
        <v>40</v>
      </c>
      <c r="D634" t="s">
        <v>41</v>
      </c>
      <c r="E634" t="s">
        <v>42</v>
      </c>
      <c r="F634" t="s">
        <v>49</v>
      </c>
      <c r="G634">
        <v>1</v>
      </c>
      <c r="H634">
        <v>1</v>
      </c>
      <c r="I634">
        <v>5</v>
      </c>
      <c r="J634" t="s">
        <v>50</v>
      </c>
      <c r="K634" t="s">
        <v>46</v>
      </c>
      <c r="L634" t="s">
        <v>69</v>
      </c>
      <c r="M634">
        <v>445.88727014568951</v>
      </c>
      <c r="N634">
        <v>146</v>
      </c>
      <c r="O634">
        <v>90</v>
      </c>
      <c r="P634">
        <v>130</v>
      </c>
      <c r="Q634">
        <v>2.3978952727983707</v>
      </c>
      <c r="R634">
        <v>4.5538768916005408</v>
      </c>
      <c r="S634">
        <v>5.4847969334906548</v>
      </c>
      <c r="T634">
        <v>93.296000000000006</v>
      </c>
      <c r="U634">
        <v>2.2325431437911538</v>
      </c>
      <c r="V634">
        <v>-0.44922684044461197</v>
      </c>
      <c r="W634">
        <v>-0.76855194782346203</v>
      </c>
      <c r="X634">
        <v>-0.44700324392789598</v>
      </c>
      <c r="Y634">
        <v>-0.846122564821426</v>
      </c>
      <c r="Z634">
        <v>-0.92679578564836795</v>
      </c>
      <c r="AA634">
        <v>0.86332342905974202</v>
      </c>
      <c r="AB634">
        <v>2050</v>
      </c>
      <c r="AC634">
        <v>1</v>
      </c>
      <c r="AD634">
        <v>2</v>
      </c>
      <c r="AE634">
        <v>-0.51011828243844404</v>
      </c>
      <c r="AF634">
        <v>-0.49418083879782398</v>
      </c>
      <c r="AG634">
        <v>-2.0446421463280902</v>
      </c>
      <c r="AH634">
        <v>1.52150279098816</v>
      </c>
      <c r="AI634">
        <v>-0.1212322222100783</v>
      </c>
      <c r="AJ634">
        <v>0.8222168343882621</v>
      </c>
      <c r="AK634">
        <v>47.177235000000003</v>
      </c>
      <c r="AL634">
        <v>4.964315</v>
      </c>
      <c r="AM634">
        <v>49.73266666666666</v>
      </c>
      <c r="AN634">
        <v>0.311</v>
      </c>
    </row>
    <row r="635" spans="1:40" x14ac:dyDescent="0.35">
      <c r="A635">
        <v>806</v>
      </c>
      <c r="B635">
        <v>72</v>
      </c>
      <c r="C635" t="s">
        <v>40</v>
      </c>
      <c r="D635" t="s">
        <v>41</v>
      </c>
      <c r="E635" t="s">
        <v>42</v>
      </c>
      <c r="F635" t="s">
        <v>49</v>
      </c>
      <c r="G635">
        <v>5</v>
      </c>
      <c r="H635">
        <v>25</v>
      </c>
      <c r="I635">
        <v>4</v>
      </c>
      <c r="J635" t="s">
        <v>56</v>
      </c>
      <c r="K635" t="s">
        <v>46</v>
      </c>
      <c r="L635" t="s">
        <v>71</v>
      </c>
      <c r="M635">
        <v>56.717912796923763</v>
      </c>
      <c r="N635">
        <v>722</v>
      </c>
      <c r="O635">
        <v>400</v>
      </c>
      <c r="P635">
        <v>314</v>
      </c>
      <c r="Q635">
        <v>4.5747109785033828</v>
      </c>
      <c r="R635">
        <v>3.5263605246161616</v>
      </c>
      <c r="S635">
        <v>5.1416635565026603</v>
      </c>
      <c r="T635">
        <v>92.265120976563693</v>
      </c>
      <c r="U635">
        <v>2.9351954657362995</v>
      </c>
      <c r="V635">
        <v>-8.3509539921858403E-2</v>
      </c>
      <c r="W635">
        <v>-8.6188355584626702E-2</v>
      </c>
      <c r="X635">
        <v>-6.2117403422328299E-2</v>
      </c>
      <c r="Y635">
        <v>-0.51135009403950604</v>
      </c>
      <c r="Z635">
        <v>-0.669554030021006</v>
      </c>
      <c r="AA635">
        <v>-1.4915282051312999</v>
      </c>
      <c r="AB635">
        <v>1813.5248996931791</v>
      </c>
      <c r="AC635">
        <v>1.6535284399339156</v>
      </c>
      <c r="AD635">
        <v>0.49421760679726223</v>
      </c>
      <c r="AE635">
        <v>-0.18520258641298501</v>
      </c>
      <c r="AF635">
        <v>-0.69166141846932405</v>
      </c>
      <c r="AG635">
        <v>1.2273555916571799</v>
      </c>
      <c r="AH635">
        <v>-0.83865322803987097</v>
      </c>
      <c r="AI635">
        <v>-0.17966132497390699</v>
      </c>
      <c r="AJ635">
        <v>-0.304124533217144</v>
      </c>
      <c r="AK635">
        <v>45.071283999999999</v>
      </c>
      <c r="AL635">
        <v>4.8370730000000002</v>
      </c>
      <c r="AM635">
        <v>44.567</v>
      </c>
      <c r="AN635">
        <v>4.7344999999999997</v>
      </c>
    </row>
    <row r="636" spans="1:40" x14ac:dyDescent="0.35">
      <c r="A636">
        <v>807</v>
      </c>
      <c r="B636">
        <v>57</v>
      </c>
      <c r="C636" t="s">
        <v>48</v>
      </c>
      <c r="D636" t="s">
        <v>52</v>
      </c>
      <c r="E636" t="s">
        <v>42</v>
      </c>
      <c r="F636" t="s">
        <v>49</v>
      </c>
      <c r="G636">
        <v>5</v>
      </c>
      <c r="H636">
        <v>25</v>
      </c>
      <c r="I636">
        <v>6</v>
      </c>
      <c r="J636" t="s">
        <v>56</v>
      </c>
      <c r="K636" t="s">
        <v>46</v>
      </c>
      <c r="L636" t="s">
        <v>60</v>
      </c>
      <c r="M636">
        <v>588.22961349396712</v>
      </c>
      <c r="N636">
        <v>184</v>
      </c>
      <c r="O636">
        <v>154</v>
      </c>
      <c r="P636">
        <v>161</v>
      </c>
      <c r="Q636">
        <v>3.8501476017100584</v>
      </c>
      <c r="R636">
        <v>2.9957322735539909</v>
      </c>
      <c r="S636">
        <v>5.4424177105217932</v>
      </c>
      <c r="T636">
        <v>88.975873222691746</v>
      </c>
      <c r="U636">
        <v>2.5514539469641888</v>
      </c>
      <c r="V636">
        <v>2.9336799326863701</v>
      </c>
      <c r="W636">
        <v>3.3730943146768602</v>
      </c>
      <c r="X636">
        <v>3.6072071704345601</v>
      </c>
      <c r="Y636">
        <v>-0.19189497559235799</v>
      </c>
      <c r="Z636">
        <v>0.17569111512999699</v>
      </c>
      <c r="AA636">
        <v>-0.304970615080496</v>
      </c>
      <c r="AB636">
        <v>1906.836709612184</v>
      </c>
      <c r="AC636">
        <v>0.7978420820676605</v>
      </c>
      <c r="AD636">
        <v>2.1056638128240834</v>
      </c>
      <c r="AE636">
        <v>-0.25037207080954499</v>
      </c>
      <c r="AF636">
        <v>0.74654164019472302</v>
      </c>
      <c r="AG636">
        <v>1.04381732583204</v>
      </c>
      <c r="AH636">
        <v>0.90166274587238404</v>
      </c>
      <c r="AI636">
        <v>1.45809916861695</v>
      </c>
      <c r="AJ636">
        <v>-0.40074678253656498</v>
      </c>
      <c r="AK636">
        <v>44.055988999999997</v>
      </c>
      <c r="AL636">
        <v>4.8317350000000001</v>
      </c>
      <c r="AM636">
        <v>49.01</v>
      </c>
      <c r="AN636">
        <v>2.1555</v>
      </c>
    </row>
    <row r="637" spans="1:40" x14ac:dyDescent="0.35">
      <c r="A637">
        <v>808</v>
      </c>
      <c r="B637">
        <v>72</v>
      </c>
      <c r="C637" t="s">
        <v>40</v>
      </c>
      <c r="D637" t="s">
        <v>52</v>
      </c>
      <c r="E637" t="s">
        <v>42</v>
      </c>
      <c r="F637" t="s">
        <v>49</v>
      </c>
      <c r="G637">
        <v>5</v>
      </c>
      <c r="H637">
        <v>25</v>
      </c>
      <c r="I637">
        <v>5</v>
      </c>
      <c r="J637" t="s">
        <v>50</v>
      </c>
      <c r="K637" t="s">
        <v>46</v>
      </c>
      <c r="L637" t="s">
        <v>51</v>
      </c>
      <c r="M637">
        <v>157.82131685425651</v>
      </c>
      <c r="N637">
        <v>423</v>
      </c>
      <c r="O637">
        <v>220</v>
      </c>
      <c r="P637">
        <v>168</v>
      </c>
      <c r="Q637">
        <v>0</v>
      </c>
      <c r="R637">
        <v>1.3862943611198906</v>
      </c>
      <c r="S637">
        <v>4.3438054218536841</v>
      </c>
      <c r="T637">
        <v>91.16</v>
      </c>
      <c r="U637">
        <v>2.3174698847378039</v>
      </c>
      <c r="V637">
        <v>-0.58471966768986094</v>
      </c>
      <c r="W637">
        <v>-0.55557078097057</v>
      </c>
      <c r="X637">
        <v>-0.47566183223429498</v>
      </c>
      <c r="Y637">
        <v>-0.95884680312505799</v>
      </c>
      <c r="Z637">
        <v>-0.76521334103430205</v>
      </c>
      <c r="AA637">
        <v>-0.77245900699560299</v>
      </c>
      <c r="AB637">
        <v>1376</v>
      </c>
      <c r="AC637">
        <v>0</v>
      </c>
      <c r="AD637">
        <v>2</v>
      </c>
      <c r="AE637">
        <v>-1.2769936012368599</v>
      </c>
      <c r="AF637">
        <v>-1.20218439402737</v>
      </c>
      <c r="AG637">
        <v>-0.48010034571952298</v>
      </c>
      <c r="AH637">
        <v>1.1491601515077701</v>
      </c>
      <c r="AI637">
        <v>0.44129572422462399</v>
      </c>
      <c r="AJ637">
        <v>1.1921210758224501</v>
      </c>
      <c r="AK637">
        <v>47.815207299999997</v>
      </c>
      <c r="AL637">
        <v>3.8001657</v>
      </c>
      <c r="AM637">
        <v>48.856372813999997</v>
      </c>
      <c r="AN637">
        <v>2.3525296170000001</v>
      </c>
    </row>
    <row r="638" spans="1:40" x14ac:dyDescent="0.35">
      <c r="A638">
        <v>809</v>
      </c>
      <c r="B638">
        <v>57</v>
      </c>
      <c r="C638" t="s">
        <v>40</v>
      </c>
      <c r="D638" t="s">
        <v>41</v>
      </c>
      <c r="E638" t="s">
        <v>42</v>
      </c>
      <c r="F638" t="s">
        <v>49</v>
      </c>
      <c r="G638">
        <v>6</v>
      </c>
      <c r="H638">
        <v>36</v>
      </c>
      <c r="I638">
        <v>6</v>
      </c>
      <c r="J638" t="s">
        <v>56</v>
      </c>
      <c r="K638" t="s">
        <v>46</v>
      </c>
      <c r="L638" t="s">
        <v>70</v>
      </c>
      <c r="M638">
        <v>355.48069403017831</v>
      </c>
      <c r="N638">
        <v>137</v>
      </c>
      <c r="O638">
        <v>90</v>
      </c>
      <c r="P638">
        <v>116</v>
      </c>
      <c r="Q638">
        <v>0</v>
      </c>
      <c r="R638">
        <v>0</v>
      </c>
      <c r="S638">
        <v>5.3230099791384085</v>
      </c>
      <c r="T638">
        <v>90.615999999999985</v>
      </c>
      <c r="U638">
        <v>1.11573792223403</v>
      </c>
      <c r="V638">
        <v>0.80288722813325297</v>
      </c>
      <c r="W638">
        <v>0.52082154240315903</v>
      </c>
      <c r="X638">
        <v>0.61908815691345198</v>
      </c>
      <c r="Y638">
        <v>1.5007680231051199</v>
      </c>
      <c r="Z638">
        <v>0.24292628533916899</v>
      </c>
      <c r="AA638">
        <v>8.5217386942517098E-2</v>
      </c>
      <c r="AB638">
        <v>3943</v>
      </c>
      <c r="AC638">
        <v>0</v>
      </c>
      <c r="AD638">
        <v>1</v>
      </c>
      <c r="AE638">
        <v>1.1088815174583</v>
      </c>
      <c r="AF638">
        <v>0.17016886605557399</v>
      </c>
      <c r="AG638">
        <v>0.78582664929557999</v>
      </c>
      <c r="AH638">
        <v>-0.43253846579128302</v>
      </c>
      <c r="AI638">
        <v>8.4657515247342899E-2</v>
      </c>
      <c r="AJ638">
        <v>-5.5511958736483298E-2</v>
      </c>
      <c r="AK638">
        <v>46.098678999999997</v>
      </c>
      <c r="AL638">
        <v>4.7359530000000003</v>
      </c>
      <c r="AM638">
        <v>48.856372813999997</v>
      </c>
      <c r="AN638">
        <v>2.3525296170000001</v>
      </c>
    </row>
    <row r="639" spans="1:40" x14ac:dyDescent="0.35">
      <c r="A639">
        <v>810</v>
      </c>
      <c r="B639">
        <v>72</v>
      </c>
      <c r="C639" t="s">
        <v>40</v>
      </c>
      <c r="D639" t="s">
        <v>52</v>
      </c>
      <c r="E639" t="s">
        <v>42</v>
      </c>
      <c r="F639" t="s">
        <v>53</v>
      </c>
      <c r="G639">
        <v>5</v>
      </c>
      <c r="H639">
        <v>25</v>
      </c>
      <c r="I639">
        <v>3</v>
      </c>
      <c r="J639" t="s">
        <v>56</v>
      </c>
      <c r="K639" t="s">
        <v>46</v>
      </c>
      <c r="L639" t="s">
        <v>62</v>
      </c>
      <c r="M639">
        <v>121.5271698001079</v>
      </c>
      <c r="N639">
        <v>332</v>
      </c>
      <c r="O639">
        <v>223</v>
      </c>
      <c r="P639">
        <v>209</v>
      </c>
      <c r="Q639">
        <v>0.69314718055994529</v>
      </c>
      <c r="R639">
        <v>3.2580965380214821</v>
      </c>
      <c r="S639">
        <v>3.2580965380214821</v>
      </c>
      <c r="T639">
        <v>95.68</v>
      </c>
      <c r="U639">
        <v>0</v>
      </c>
      <c r="V639">
        <v>1.82802042479695</v>
      </c>
      <c r="W639">
        <v>0.99424279543483596</v>
      </c>
      <c r="X639">
        <v>0.99177342203587404</v>
      </c>
      <c r="Y639">
        <v>-0.96278755162326501</v>
      </c>
      <c r="Z639">
        <v>-0.75605764486205096</v>
      </c>
      <c r="AA639">
        <v>-0.80037586101695801</v>
      </c>
      <c r="AB639">
        <v>2092.91</v>
      </c>
      <c r="AC639">
        <v>0</v>
      </c>
      <c r="AD639">
        <v>2.1</v>
      </c>
      <c r="AE639">
        <v>-1.0768626388726401</v>
      </c>
      <c r="AF639">
        <v>1.2862761403723599</v>
      </c>
      <c r="AG639">
        <v>0.31336884180093599</v>
      </c>
      <c r="AH639">
        <v>-0.58147754708873201</v>
      </c>
      <c r="AI639">
        <v>4.4846441500993199E-2</v>
      </c>
      <c r="AJ639">
        <v>-0.14056401314150799</v>
      </c>
      <c r="AK639">
        <v>49.042560999999999</v>
      </c>
      <c r="AL639">
        <v>3.9528660000000002</v>
      </c>
      <c r="AM639">
        <v>48.75</v>
      </c>
      <c r="AN639">
        <v>2.3530000000000002</v>
      </c>
    </row>
    <row r="640" spans="1:40" x14ac:dyDescent="0.35">
      <c r="A640">
        <v>811</v>
      </c>
      <c r="B640">
        <v>42</v>
      </c>
      <c r="C640" t="s">
        <v>40</v>
      </c>
      <c r="D640" t="s">
        <v>41</v>
      </c>
      <c r="E640" t="s">
        <v>42</v>
      </c>
      <c r="F640" t="s">
        <v>43</v>
      </c>
      <c r="G640">
        <v>6</v>
      </c>
      <c r="H640">
        <v>36</v>
      </c>
      <c r="I640">
        <v>3</v>
      </c>
      <c r="J640" t="s">
        <v>50</v>
      </c>
      <c r="K640" t="s">
        <v>46</v>
      </c>
      <c r="L640" t="s">
        <v>77</v>
      </c>
      <c r="M640">
        <v>258.94577512505612</v>
      </c>
      <c r="N640">
        <v>570</v>
      </c>
      <c r="O640">
        <v>342</v>
      </c>
      <c r="P640">
        <v>302</v>
      </c>
      <c r="Q640">
        <v>0</v>
      </c>
      <c r="R640">
        <v>2.3978952727983707</v>
      </c>
      <c r="S640">
        <v>5.1416635565026603</v>
      </c>
      <c r="T640">
        <v>90.472417453603512</v>
      </c>
      <c r="U640">
        <v>2.7735735584863375</v>
      </c>
      <c r="V640">
        <v>-0.15231437986527399</v>
      </c>
      <c r="W640">
        <v>3.49635939345109E-2</v>
      </c>
      <c r="X640">
        <v>-0.19627808847033801</v>
      </c>
      <c r="Y640">
        <v>-0.57382446736590997</v>
      </c>
      <c r="Z640">
        <v>-0.74335605457542497</v>
      </c>
      <c r="AA640">
        <v>-0.53588051656191904</v>
      </c>
      <c r="AB640">
        <v>3937</v>
      </c>
      <c r="AC640">
        <v>0</v>
      </c>
      <c r="AD640">
        <v>1</v>
      </c>
      <c r="AE640">
        <v>-0.72244456620022002</v>
      </c>
      <c r="AF640">
        <v>-0.635197460761871</v>
      </c>
      <c r="AG640">
        <v>0.83355090814500199</v>
      </c>
      <c r="AH640">
        <v>0.98445977174963195</v>
      </c>
      <c r="AI640">
        <v>1.4836044289928401</v>
      </c>
      <c r="AJ640">
        <v>0.76193534118230599</v>
      </c>
      <c r="AK640">
        <v>47.259622</v>
      </c>
      <c r="AL640">
        <v>-7.8518000000000004E-2</v>
      </c>
      <c r="AM640">
        <v>48.969000000000001</v>
      </c>
      <c r="AN640">
        <v>2.2850000000000001</v>
      </c>
    </row>
    <row r="641" spans="1:40" x14ac:dyDescent="0.35">
      <c r="A641">
        <v>812</v>
      </c>
      <c r="B641">
        <v>29.5</v>
      </c>
      <c r="C641" t="s">
        <v>40</v>
      </c>
      <c r="D641" t="s">
        <v>41</v>
      </c>
      <c r="E641" t="s">
        <v>42</v>
      </c>
      <c r="F641" t="s">
        <v>49</v>
      </c>
      <c r="G641">
        <v>4</v>
      </c>
      <c r="H641">
        <v>16</v>
      </c>
      <c r="I641">
        <v>5</v>
      </c>
      <c r="J641" t="s">
        <v>56</v>
      </c>
      <c r="K641" t="s">
        <v>46</v>
      </c>
      <c r="L641" t="s">
        <v>73</v>
      </c>
      <c r="M641">
        <v>436.88651881852451</v>
      </c>
      <c r="N641">
        <v>852</v>
      </c>
      <c r="O641">
        <v>430</v>
      </c>
      <c r="P641">
        <v>546</v>
      </c>
      <c r="Q641">
        <v>1.9459101490553132</v>
      </c>
      <c r="R641">
        <v>2.9444389791664403</v>
      </c>
      <c r="S641">
        <v>4.2626798770413155</v>
      </c>
      <c r="T641">
        <v>91.872500000000002</v>
      </c>
      <c r="U641">
        <v>2.0033201607997366</v>
      </c>
      <c r="V641">
        <v>7.5580716531248995E-2</v>
      </c>
      <c r="W641">
        <v>0.203376316306385</v>
      </c>
      <c r="X641">
        <v>0.143329752535333</v>
      </c>
      <c r="Y641">
        <v>1.4483117406157899</v>
      </c>
      <c r="Z641">
        <v>1.7680602694732599</v>
      </c>
      <c r="AA641">
        <v>0.26366440732357699</v>
      </c>
      <c r="AB641">
        <v>4236</v>
      </c>
      <c r="AC641">
        <v>0</v>
      </c>
      <c r="AD641">
        <v>4</v>
      </c>
      <c r="AE641">
        <v>1.6751267091712101</v>
      </c>
      <c r="AF641">
        <v>-0.45795113211492999</v>
      </c>
      <c r="AG641">
        <v>-1.0351405931175599</v>
      </c>
      <c r="AH641">
        <v>1.3280310005486999</v>
      </c>
      <c r="AI641">
        <v>0.79686956150768196</v>
      </c>
      <c r="AJ641">
        <v>-0.40149647340707301</v>
      </c>
      <c r="AK641">
        <v>44.686388999999998</v>
      </c>
      <c r="AL641">
        <v>-0.52383800000000003</v>
      </c>
      <c r="AM641">
        <v>45.767306300000001</v>
      </c>
      <c r="AN641">
        <v>4.8343065000000003</v>
      </c>
    </row>
    <row r="642" spans="1:40" x14ac:dyDescent="0.35">
      <c r="A642">
        <v>813</v>
      </c>
      <c r="B642">
        <v>72</v>
      </c>
      <c r="C642" t="s">
        <v>48</v>
      </c>
      <c r="D642" t="s">
        <v>52</v>
      </c>
      <c r="E642" t="s">
        <v>42</v>
      </c>
      <c r="F642" t="s">
        <v>43</v>
      </c>
      <c r="G642">
        <v>5</v>
      </c>
      <c r="H642">
        <v>25</v>
      </c>
      <c r="I642">
        <v>7</v>
      </c>
      <c r="J642" t="s">
        <v>56</v>
      </c>
      <c r="K642" t="s">
        <v>46</v>
      </c>
      <c r="L642" t="s">
        <v>65</v>
      </c>
      <c r="M642">
        <v>662.68014452633668</v>
      </c>
      <c r="N642">
        <v>581</v>
      </c>
      <c r="O642">
        <v>359</v>
      </c>
      <c r="P642">
        <v>365</v>
      </c>
      <c r="Q642">
        <v>0</v>
      </c>
      <c r="R642">
        <v>0</v>
      </c>
      <c r="S642">
        <v>4.4543472962535073</v>
      </c>
      <c r="T642">
        <v>89.333044733044744</v>
      </c>
      <c r="U642">
        <v>1.2554235437523662</v>
      </c>
      <c r="V642">
        <v>1.64975517953679</v>
      </c>
      <c r="W642">
        <v>2.4220969657957299</v>
      </c>
      <c r="X642">
        <v>1.68128863126442</v>
      </c>
      <c r="Y642">
        <v>2.0553398017137301</v>
      </c>
      <c r="Z642">
        <v>2.0921400018840099</v>
      </c>
      <c r="AA642">
        <v>2.0596698968962701</v>
      </c>
      <c r="AB642">
        <v>3262.71</v>
      </c>
      <c r="AC642">
        <v>0.33</v>
      </c>
      <c r="AD642">
        <v>0.66</v>
      </c>
      <c r="AE642">
        <v>1.9221838973381</v>
      </c>
      <c r="AF642">
        <v>-1.4007450157793</v>
      </c>
      <c r="AG642">
        <v>1.28826085259399</v>
      </c>
      <c r="AH642">
        <v>0.685602715811096</v>
      </c>
      <c r="AI642">
        <v>-0.53050096377887901</v>
      </c>
      <c r="AJ642">
        <v>0.237460469405185</v>
      </c>
      <c r="AK642">
        <v>43.537466000000002</v>
      </c>
      <c r="AL642">
        <v>6.4627330000000001</v>
      </c>
      <c r="AM642">
        <v>49.252000000000002</v>
      </c>
      <c r="AN642">
        <v>4.04</v>
      </c>
    </row>
    <row r="643" spans="1:40" x14ac:dyDescent="0.35">
      <c r="A643">
        <v>815</v>
      </c>
      <c r="B643">
        <v>57</v>
      </c>
      <c r="C643" t="s">
        <v>40</v>
      </c>
      <c r="D643" t="s">
        <v>41</v>
      </c>
      <c r="E643" t="s">
        <v>42</v>
      </c>
      <c r="F643" t="s">
        <v>49</v>
      </c>
      <c r="G643">
        <v>6</v>
      </c>
      <c r="H643">
        <v>36</v>
      </c>
      <c r="I643">
        <v>5</v>
      </c>
      <c r="J643" t="s">
        <v>56</v>
      </c>
      <c r="K643" t="s">
        <v>46</v>
      </c>
      <c r="L643" t="s">
        <v>72</v>
      </c>
      <c r="M643">
        <v>495.997771115592</v>
      </c>
      <c r="N643">
        <v>755</v>
      </c>
      <c r="O643">
        <v>464</v>
      </c>
      <c r="P643">
        <v>352</v>
      </c>
      <c r="Q643">
        <v>0.69314718055994529</v>
      </c>
      <c r="R643">
        <v>1.3862943611198906</v>
      </c>
      <c r="S643">
        <v>4.5538768916005408</v>
      </c>
      <c r="T643">
        <v>89.340161030595823</v>
      </c>
      <c r="U643">
        <v>1.4712304197281412</v>
      </c>
      <c r="V643">
        <v>0.59716251398508702</v>
      </c>
      <c r="W643">
        <v>0.91068296986709796</v>
      </c>
      <c r="X643">
        <v>1.2273243988355</v>
      </c>
      <c r="Y643">
        <v>-0.4121809470949</v>
      </c>
      <c r="Z643">
        <v>-0.86472582726521097</v>
      </c>
      <c r="AA643">
        <v>-1.0172779374790899</v>
      </c>
      <c r="AB643">
        <v>1828.1689246701658</v>
      </c>
      <c r="AC643">
        <v>1.1127464888636687</v>
      </c>
      <c r="AD643">
        <v>1.8630656830756136</v>
      </c>
      <c r="AE643">
        <v>-0.53926882203722504</v>
      </c>
      <c r="AF643">
        <v>1.55031664774622</v>
      </c>
      <c r="AG643">
        <v>-0.56189757457968603</v>
      </c>
      <c r="AH643">
        <v>-1.54866072240241</v>
      </c>
      <c r="AI643">
        <v>0.94382692863169804</v>
      </c>
      <c r="AJ643">
        <v>0.23393688833064599</v>
      </c>
      <c r="AK643">
        <v>44.503641999999999</v>
      </c>
      <c r="AL643">
        <v>1.1863669999999999</v>
      </c>
      <c r="AM643">
        <v>48.895000000000003</v>
      </c>
      <c r="AN643">
        <v>2.2869999999999999</v>
      </c>
    </row>
    <row r="644" spans="1:40" x14ac:dyDescent="0.35">
      <c r="A644">
        <v>816</v>
      </c>
      <c r="B644">
        <v>72</v>
      </c>
      <c r="C644" t="s">
        <v>40</v>
      </c>
      <c r="D644" t="s">
        <v>52</v>
      </c>
      <c r="E644" t="s">
        <v>42</v>
      </c>
      <c r="F644" t="s">
        <v>49</v>
      </c>
      <c r="G644">
        <v>5</v>
      </c>
      <c r="H644">
        <v>25</v>
      </c>
      <c r="I644">
        <v>4</v>
      </c>
      <c r="J644" t="s">
        <v>56</v>
      </c>
      <c r="K644" t="s">
        <v>46</v>
      </c>
      <c r="L644" t="s">
        <v>47</v>
      </c>
      <c r="M644">
        <v>612.03331666969359</v>
      </c>
      <c r="N644">
        <v>214</v>
      </c>
      <c r="O644">
        <v>150</v>
      </c>
      <c r="P644">
        <v>145</v>
      </c>
      <c r="Q644">
        <v>5.9107966440405271</v>
      </c>
      <c r="R644">
        <v>6.4997870406558542</v>
      </c>
      <c r="S644">
        <v>8.6415324656718457</v>
      </c>
      <c r="T644">
        <v>89.265350482850479</v>
      </c>
      <c r="U644">
        <v>1.4417786561042019</v>
      </c>
      <c r="V644">
        <v>-0.22886708829074301</v>
      </c>
      <c r="W644">
        <v>0.28745285629339301</v>
      </c>
      <c r="X644">
        <v>-0.15627425222847</v>
      </c>
      <c r="Y644">
        <v>1.45226138127617</v>
      </c>
      <c r="Z644">
        <v>0.98247225355557</v>
      </c>
      <c r="AA644">
        <v>0.627775520474398</v>
      </c>
      <c r="AB644">
        <v>3362.2959371744532</v>
      </c>
      <c r="AC644">
        <v>2.8998317172850387</v>
      </c>
      <c r="AD644">
        <v>2.9499158586425196</v>
      </c>
      <c r="AE644">
        <v>1.06273170356322</v>
      </c>
      <c r="AF644">
        <v>0.68280034411843804</v>
      </c>
      <c r="AG644">
        <v>-0.346835052515578</v>
      </c>
      <c r="AH644">
        <v>1.2384858236876101E-2</v>
      </c>
      <c r="AI644">
        <v>-4.2105224606392301E-2</v>
      </c>
      <c r="AJ644">
        <v>-1.6674440192876099E-2</v>
      </c>
      <c r="AK644">
        <v>43.3535629403058</v>
      </c>
      <c r="AL644">
        <v>3.21615314793977</v>
      </c>
      <c r="AM644">
        <v>48.823</v>
      </c>
      <c r="AN644">
        <v>2.4079999999999999</v>
      </c>
    </row>
    <row r="645" spans="1:40" x14ac:dyDescent="0.35">
      <c r="A645">
        <v>817</v>
      </c>
      <c r="B645">
        <v>42</v>
      </c>
      <c r="C645" t="s">
        <v>48</v>
      </c>
      <c r="D645" t="s">
        <v>66</v>
      </c>
      <c r="E645" t="s">
        <v>42</v>
      </c>
      <c r="F645" t="s">
        <v>49</v>
      </c>
      <c r="G645">
        <v>4</v>
      </c>
      <c r="H645">
        <v>16</v>
      </c>
      <c r="I645">
        <v>4</v>
      </c>
      <c r="J645" t="s">
        <v>56</v>
      </c>
      <c r="K645" t="s">
        <v>46</v>
      </c>
      <c r="L645" t="s">
        <v>76</v>
      </c>
      <c r="M645">
        <v>173.5159450107806</v>
      </c>
      <c r="N645">
        <v>321</v>
      </c>
      <c r="O645">
        <v>204</v>
      </c>
      <c r="P645">
        <v>127</v>
      </c>
      <c r="Q645">
        <v>0</v>
      </c>
      <c r="R645">
        <v>1.0986122886681098</v>
      </c>
      <c r="S645">
        <v>4.1588830833596715</v>
      </c>
      <c r="T645">
        <v>91.226666666666674</v>
      </c>
      <c r="U645">
        <v>1.418823059726001</v>
      </c>
      <c r="V645">
        <v>-0.39095273818515502</v>
      </c>
      <c r="W645">
        <v>-0.53446083104759001</v>
      </c>
      <c r="X645">
        <v>-0.40804429067029002</v>
      </c>
      <c r="Y645">
        <v>-0.56789545922357498</v>
      </c>
      <c r="Z645">
        <v>-0.94760790482486201</v>
      </c>
      <c r="AA645">
        <v>-1.0848673571571601</v>
      </c>
      <c r="AB645">
        <v>1770.5103102717287</v>
      </c>
      <c r="AC645">
        <v>0.28213528618230871</v>
      </c>
      <c r="AD645">
        <v>1.7130468298323378</v>
      </c>
      <c r="AE645">
        <v>-1.13486126839574</v>
      </c>
      <c r="AF645">
        <v>1.1278040788757899</v>
      </c>
      <c r="AG645">
        <v>0.58122675707520199</v>
      </c>
      <c r="AH645">
        <v>-0.84833442455611496</v>
      </c>
      <c r="AI645">
        <v>0.61531408119892705</v>
      </c>
      <c r="AJ645">
        <v>-0.340691734971386</v>
      </c>
      <c r="AK645">
        <v>47.330690599999997</v>
      </c>
      <c r="AL645">
        <v>2.8390453999999998</v>
      </c>
      <c r="AM645">
        <v>48.836999999999996</v>
      </c>
      <c r="AN645">
        <v>2.2390000000000003</v>
      </c>
    </row>
    <row r="646" spans="1:40" x14ac:dyDescent="0.35">
      <c r="A646">
        <v>818</v>
      </c>
      <c r="B646">
        <v>42</v>
      </c>
      <c r="C646" t="s">
        <v>40</v>
      </c>
      <c r="D646" t="s">
        <v>41</v>
      </c>
      <c r="E646" t="s">
        <v>42</v>
      </c>
      <c r="F646" t="s">
        <v>49</v>
      </c>
      <c r="G646">
        <v>5</v>
      </c>
      <c r="H646">
        <v>25</v>
      </c>
      <c r="I646">
        <v>5</v>
      </c>
      <c r="J646" t="s">
        <v>50</v>
      </c>
      <c r="K646" t="s">
        <v>46</v>
      </c>
      <c r="L646" t="s">
        <v>77</v>
      </c>
      <c r="M646">
        <v>253.57285753495381</v>
      </c>
      <c r="N646">
        <v>667</v>
      </c>
      <c r="O646">
        <v>330</v>
      </c>
      <c r="P646">
        <v>391</v>
      </c>
      <c r="Q646">
        <v>0</v>
      </c>
      <c r="R646">
        <v>2.3978952727983707</v>
      </c>
      <c r="S646">
        <v>5.1416635565026603</v>
      </c>
      <c r="T646">
        <v>90.472417453603512</v>
      </c>
      <c r="U646">
        <v>2.7735735584863375</v>
      </c>
      <c r="V646">
        <v>-0.15231437986527399</v>
      </c>
      <c r="W646">
        <v>3.49635939345109E-2</v>
      </c>
      <c r="X646">
        <v>-0.19627808847033801</v>
      </c>
      <c r="Y646">
        <v>-0.57382446736590997</v>
      </c>
      <c r="Z646">
        <v>-0.74335605457542497</v>
      </c>
      <c r="AA646">
        <v>-0.53588051656191904</v>
      </c>
      <c r="AB646">
        <v>3937</v>
      </c>
      <c r="AC646">
        <v>0</v>
      </c>
      <c r="AD646">
        <v>1</v>
      </c>
      <c r="AE646">
        <v>-0.72244456620022002</v>
      </c>
      <c r="AF646">
        <v>-0.70241958520665904</v>
      </c>
      <c r="AG646">
        <v>-0.47999405541152601</v>
      </c>
      <c r="AH646">
        <v>9.1198929574244306E-3</v>
      </c>
      <c r="AI646">
        <v>1.05031811047565</v>
      </c>
      <c r="AJ646">
        <v>9.2920057591039495E-2</v>
      </c>
      <c r="AK646">
        <v>47.259622</v>
      </c>
      <c r="AL646">
        <v>-7.8518000000000004E-2</v>
      </c>
      <c r="AM646">
        <v>48.856372813999997</v>
      </c>
      <c r="AN646">
        <v>2.3525296170000001</v>
      </c>
    </row>
    <row r="647" spans="1:40" x14ac:dyDescent="0.35">
      <c r="A647">
        <v>820</v>
      </c>
      <c r="B647">
        <v>72</v>
      </c>
      <c r="C647" t="s">
        <v>40</v>
      </c>
      <c r="D647" t="s">
        <v>52</v>
      </c>
      <c r="E647" t="s">
        <v>42</v>
      </c>
      <c r="F647" t="s">
        <v>49</v>
      </c>
      <c r="G647">
        <v>4</v>
      </c>
      <c r="H647">
        <v>16</v>
      </c>
      <c r="I647">
        <v>4</v>
      </c>
      <c r="J647" t="s">
        <v>50</v>
      </c>
      <c r="K647" t="s">
        <v>46</v>
      </c>
      <c r="L647" t="s">
        <v>71</v>
      </c>
      <c r="M647">
        <v>393.62117634405621</v>
      </c>
      <c r="N647">
        <v>224</v>
      </c>
      <c r="O647">
        <v>178</v>
      </c>
      <c r="P647">
        <v>97</v>
      </c>
      <c r="Q647">
        <v>4.5747109785033828</v>
      </c>
      <c r="R647">
        <v>3.5263605246161616</v>
      </c>
      <c r="S647">
        <v>5.1416635565026603</v>
      </c>
      <c r="T647">
        <v>92.265120976563693</v>
      </c>
      <c r="U647">
        <v>2.9351954657362995</v>
      </c>
      <c r="V647">
        <v>-8.3509539921858403E-2</v>
      </c>
      <c r="W647">
        <v>-8.6188355584626702E-2</v>
      </c>
      <c r="X647">
        <v>-6.2117403422328299E-2</v>
      </c>
      <c r="Y647">
        <v>-0.51135009403950604</v>
      </c>
      <c r="Z647">
        <v>-0.669554030021006</v>
      </c>
      <c r="AA647">
        <v>-1.4915282051312999</v>
      </c>
      <c r="AB647">
        <v>1813.5248996931791</v>
      </c>
      <c r="AC647">
        <v>1.6535284399339156</v>
      </c>
      <c r="AD647">
        <v>0.49421760679726223</v>
      </c>
      <c r="AE647">
        <v>-0.18520258641298501</v>
      </c>
      <c r="AF647">
        <v>-1.2142387786647999E-2</v>
      </c>
      <c r="AG647">
        <v>0.74022768798147698</v>
      </c>
      <c r="AH647">
        <v>0.713489028893461</v>
      </c>
      <c r="AI647">
        <v>0.51136279551711605</v>
      </c>
      <c r="AJ647">
        <v>7.9302178789740305E-3</v>
      </c>
      <c r="AK647">
        <v>45.071283999999999</v>
      </c>
      <c r="AL647">
        <v>4.8370730000000002</v>
      </c>
      <c r="AM647">
        <v>45.202249999999999</v>
      </c>
      <c r="AN647">
        <v>-0.172875</v>
      </c>
    </row>
    <row r="648" spans="1:40" x14ac:dyDescent="0.35">
      <c r="A648">
        <v>821</v>
      </c>
      <c r="B648">
        <v>72</v>
      </c>
      <c r="C648" t="s">
        <v>40</v>
      </c>
      <c r="D648" t="s">
        <v>66</v>
      </c>
      <c r="E648" t="s">
        <v>42</v>
      </c>
      <c r="F648" t="s">
        <v>49</v>
      </c>
      <c r="G648">
        <v>5</v>
      </c>
      <c r="H648">
        <v>25</v>
      </c>
      <c r="I648">
        <v>7</v>
      </c>
      <c r="J648" t="s">
        <v>50</v>
      </c>
      <c r="K648" t="s">
        <v>46</v>
      </c>
      <c r="L648" t="s">
        <v>59</v>
      </c>
      <c r="M648">
        <v>190.33174110274479</v>
      </c>
      <c r="N648">
        <v>416</v>
      </c>
      <c r="O648">
        <v>262</v>
      </c>
      <c r="P648">
        <v>160</v>
      </c>
      <c r="Q648">
        <v>1.3862943611198906</v>
      </c>
      <c r="R648">
        <v>1.3862943611198906</v>
      </c>
      <c r="S648">
        <v>4.9972122737641147</v>
      </c>
      <c r="T648">
        <v>90.035146103896111</v>
      </c>
      <c r="U648">
        <v>1.418823059726001</v>
      </c>
      <c r="V648">
        <v>-0.52223564926899602</v>
      </c>
      <c r="W648">
        <v>-0.46072710968150399</v>
      </c>
      <c r="X648">
        <v>-0.361786268345754</v>
      </c>
      <c r="Y648">
        <v>-0.552694479448822</v>
      </c>
      <c r="Z648">
        <v>2.1676297177028899E-2</v>
      </c>
      <c r="AA648">
        <v>0.625223797005378</v>
      </c>
      <c r="AB648">
        <v>2234.6992515788952</v>
      </c>
      <c r="AC648">
        <v>0</v>
      </c>
      <c r="AD648">
        <v>0.12112735591028891</v>
      </c>
      <c r="AE648">
        <v>-0.60610368582010199</v>
      </c>
      <c r="AF648">
        <v>0.81035824830285696</v>
      </c>
      <c r="AG648">
        <v>-0.20095243366191701</v>
      </c>
      <c r="AH648">
        <v>0.90621979968904298</v>
      </c>
      <c r="AI648">
        <v>-0.28705489722694899</v>
      </c>
      <c r="AJ648">
        <v>9.1166518955589207E-2</v>
      </c>
      <c r="AK648">
        <v>47.411035099999999</v>
      </c>
      <c r="AL648">
        <v>0.98369799999999996</v>
      </c>
      <c r="AM648">
        <v>48.856372813999997</v>
      </c>
      <c r="AN648">
        <v>2.3525296170000001</v>
      </c>
    </row>
    <row r="649" spans="1:40" x14ac:dyDescent="0.35">
      <c r="A649">
        <v>822</v>
      </c>
      <c r="B649">
        <v>57</v>
      </c>
      <c r="C649" t="s">
        <v>40</v>
      </c>
      <c r="D649" t="s">
        <v>52</v>
      </c>
      <c r="E649" t="s">
        <v>42</v>
      </c>
      <c r="F649" t="s">
        <v>49</v>
      </c>
      <c r="G649">
        <v>5</v>
      </c>
      <c r="H649">
        <v>25</v>
      </c>
      <c r="I649">
        <v>4</v>
      </c>
      <c r="J649" t="s">
        <v>50</v>
      </c>
      <c r="K649" t="s">
        <v>46</v>
      </c>
      <c r="L649" t="s">
        <v>74</v>
      </c>
      <c r="M649">
        <v>341.50632792300848</v>
      </c>
      <c r="N649">
        <v>214</v>
      </c>
      <c r="O649">
        <v>150</v>
      </c>
      <c r="P649">
        <v>145</v>
      </c>
      <c r="Q649">
        <v>1.6094379124341003</v>
      </c>
      <c r="R649">
        <v>2.5649493574615367</v>
      </c>
      <c r="S649">
        <v>4.8202815656050371</v>
      </c>
      <c r="T649">
        <v>91.984920634920627</v>
      </c>
      <c r="U649">
        <v>1.0351430572167302</v>
      </c>
      <c r="V649">
        <v>-0.45376679124596098</v>
      </c>
      <c r="W649">
        <v>-0.56138574648679695</v>
      </c>
      <c r="X649">
        <v>-0.92192590083580195</v>
      </c>
      <c r="Y649">
        <v>-1.17232967929859</v>
      </c>
      <c r="Z649">
        <v>-0.98267194414701198</v>
      </c>
      <c r="AA649">
        <v>-0.89586780259421905</v>
      </c>
      <c r="AB649">
        <v>1270</v>
      </c>
      <c r="AC649">
        <v>3</v>
      </c>
      <c r="AD649">
        <v>1</v>
      </c>
      <c r="AE649">
        <v>-1.1438350904766701</v>
      </c>
      <c r="AF649">
        <v>0.348698569611672</v>
      </c>
      <c r="AG649">
        <v>0.31040577155311899</v>
      </c>
      <c r="AH649">
        <v>-0.60491157787452199</v>
      </c>
      <c r="AI649">
        <v>1.0640823352733499</v>
      </c>
      <c r="AJ649">
        <v>0.93210166468531497</v>
      </c>
      <c r="AK649">
        <v>46.672161000000003</v>
      </c>
      <c r="AL649">
        <v>5.558465</v>
      </c>
      <c r="AM649">
        <v>48.856372813999997</v>
      </c>
      <c r="AN649">
        <v>2.3525296170000001</v>
      </c>
    </row>
    <row r="650" spans="1:40" x14ac:dyDescent="0.35">
      <c r="A650">
        <v>823</v>
      </c>
      <c r="B650">
        <v>42</v>
      </c>
      <c r="C650" t="s">
        <v>40</v>
      </c>
      <c r="D650" t="s">
        <v>41</v>
      </c>
      <c r="E650" t="s">
        <v>42</v>
      </c>
      <c r="F650" t="s">
        <v>61</v>
      </c>
      <c r="G650">
        <v>4</v>
      </c>
      <c r="H650">
        <v>16</v>
      </c>
      <c r="I650">
        <v>3</v>
      </c>
      <c r="J650" t="s">
        <v>50</v>
      </c>
      <c r="K650" t="s">
        <v>46</v>
      </c>
      <c r="L650" t="s">
        <v>76</v>
      </c>
      <c r="M650">
        <v>181.054332954215</v>
      </c>
      <c r="N650">
        <v>263</v>
      </c>
      <c r="O650">
        <v>214</v>
      </c>
      <c r="P650">
        <v>168</v>
      </c>
      <c r="Q650">
        <v>0</v>
      </c>
      <c r="R650">
        <v>1.0986122886681098</v>
      </c>
      <c r="S650">
        <v>4.1588830833596715</v>
      </c>
      <c r="T650">
        <v>91.226666666666674</v>
      </c>
      <c r="U650">
        <v>1.418823059726001</v>
      </c>
      <c r="V650">
        <v>-0.39095273818515502</v>
      </c>
      <c r="W650">
        <v>-0.53446083104759001</v>
      </c>
      <c r="X650">
        <v>-0.40804429067029002</v>
      </c>
      <c r="Y650">
        <v>-0.56789545922357498</v>
      </c>
      <c r="Z650">
        <v>-0.94760790482486201</v>
      </c>
      <c r="AA650">
        <v>-1.0848673571571601</v>
      </c>
      <c r="AB650">
        <v>1770.5103102717287</v>
      </c>
      <c r="AC650">
        <v>0.28213528618230871</v>
      </c>
      <c r="AD650">
        <v>1.7130468298323378</v>
      </c>
      <c r="AE650">
        <v>-1.13486126839574</v>
      </c>
      <c r="AF650">
        <v>-0.43548034055682</v>
      </c>
      <c r="AG650">
        <v>-6.7266641713071895E-2</v>
      </c>
      <c r="AH650">
        <v>7.8759701748583794E-2</v>
      </c>
      <c r="AI650">
        <v>-1.0549064121957401</v>
      </c>
      <c r="AJ650">
        <v>4.3835170833257699E-2</v>
      </c>
      <c r="AK650">
        <v>47.330690599999997</v>
      </c>
      <c r="AL650">
        <v>2.8390453999999998</v>
      </c>
      <c r="AM650">
        <v>48.915000000000006</v>
      </c>
      <c r="AN650">
        <v>2.2879999999999998</v>
      </c>
    </row>
    <row r="651" spans="1:40" x14ac:dyDescent="0.35">
      <c r="A651">
        <v>824</v>
      </c>
      <c r="B651">
        <v>72</v>
      </c>
      <c r="C651" t="s">
        <v>40</v>
      </c>
      <c r="D651" t="s">
        <v>52</v>
      </c>
      <c r="E651" t="s">
        <v>42</v>
      </c>
      <c r="F651" t="s">
        <v>43</v>
      </c>
      <c r="G651">
        <v>6</v>
      </c>
      <c r="H651">
        <v>36</v>
      </c>
      <c r="I651">
        <v>6</v>
      </c>
      <c r="J651" t="s">
        <v>50</v>
      </c>
      <c r="K651" t="s">
        <v>46</v>
      </c>
      <c r="L651" t="s">
        <v>59</v>
      </c>
      <c r="M651">
        <v>202.13359328129641</v>
      </c>
      <c r="N651">
        <v>576</v>
      </c>
      <c r="O651">
        <v>361</v>
      </c>
      <c r="P651">
        <v>326</v>
      </c>
      <c r="Q651">
        <v>1.3862943611198906</v>
      </c>
      <c r="R651">
        <v>1.3862943611198906</v>
      </c>
      <c r="S651">
        <v>4.9972122737641147</v>
      </c>
      <c r="T651">
        <v>90.035146103896111</v>
      </c>
      <c r="U651">
        <v>1.418823059726001</v>
      </c>
      <c r="V651">
        <v>-0.52223564926899602</v>
      </c>
      <c r="W651">
        <v>-0.46072710968150399</v>
      </c>
      <c r="X651">
        <v>-0.361786268345754</v>
      </c>
      <c r="Y651">
        <v>-0.552694479448822</v>
      </c>
      <c r="Z651">
        <v>2.1676297177028899E-2</v>
      </c>
      <c r="AA651">
        <v>0.625223797005378</v>
      </c>
      <c r="AB651">
        <v>2234.6992515788952</v>
      </c>
      <c r="AC651">
        <v>0</v>
      </c>
      <c r="AD651">
        <v>0.12112735591028891</v>
      </c>
      <c r="AE651">
        <v>-0.60610368582010199</v>
      </c>
      <c r="AF651">
        <v>-2.1762104345937501</v>
      </c>
      <c r="AG651">
        <v>0.55671017246548304</v>
      </c>
      <c r="AH651">
        <v>0.230525744573743</v>
      </c>
      <c r="AI651">
        <v>-8.6729936876758507E-2</v>
      </c>
      <c r="AJ651">
        <v>0.24585091881448801</v>
      </c>
      <c r="AK651">
        <v>47.411035099999999</v>
      </c>
      <c r="AL651">
        <v>0.98369799999999996</v>
      </c>
      <c r="AM651">
        <v>49.02</v>
      </c>
      <c r="AN651">
        <v>2.2469999999999999</v>
      </c>
    </row>
    <row r="652" spans="1:40" x14ac:dyDescent="0.35">
      <c r="A652">
        <v>825</v>
      </c>
      <c r="B652">
        <v>29.5</v>
      </c>
      <c r="C652" t="s">
        <v>48</v>
      </c>
      <c r="D652" t="s">
        <v>41</v>
      </c>
      <c r="E652" t="s">
        <v>42</v>
      </c>
      <c r="F652" t="s">
        <v>43</v>
      </c>
      <c r="G652">
        <v>5</v>
      </c>
      <c r="H652">
        <v>25</v>
      </c>
      <c r="I652">
        <v>5</v>
      </c>
      <c r="J652" t="s">
        <v>56</v>
      </c>
      <c r="K652" t="s">
        <v>46</v>
      </c>
      <c r="L652" t="s">
        <v>72</v>
      </c>
      <c r="M652">
        <v>492.64404854898049</v>
      </c>
      <c r="N652">
        <v>316</v>
      </c>
      <c r="O652">
        <v>191</v>
      </c>
      <c r="P652">
        <v>168</v>
      </c>
      <c r="Q652">
        <v>0.69314718055994529</v>
      </c>
      <c r="R652">
        <v>1.3862943611198906</v>
      </c>
      <c r="S652">
        <v>4.5538768916005408</v>
      </c>
      <c r="T652">
        <v>89.340161030595823</v>
      </c>
      <c r="U652">
        <v>1.4712304197281412</v>
      </c>
      <c r="V652">
        <v>0.59716251398508702</v>
      </c>
      <c r="W652">
        <v>0.91068296986709796</v>
      </c>
      <c r="X652">
        <v>1.2273243988355</v>
      </c>
      <c r="Y652">
        <v>-0.4121809470949</v>
      </c>
      <c r="Z652">
        <v>-0.86472582726521097</v>
      </c>
      <c r="AA652">
        <v>-1.0172779374790899</v>
      </c>
      <c r="AB652">
        <v>1828.1689246701658</v>
      </c>
      <c r="AC652">
        <v>1.1127464888636687</v>
      </c>
      <c r="AD652">
        <v>1.8630656830756136</v>
      </c>
      <c r="AE652">
        <v>-0.53926882203722504</v>
      </c>
      <c r="AF652">
        <v>-0.65081911757401401</v>
      </c>
      <c r="AG652">
        <v>1.5463134829644301</v>
      </c>
      <c r="AH652">
        <v>1.0083875693992901</v>
      </c>
      <c r="AI652">
        <v>1.08326791422575</v>
      </c>
      <c r="AJ652">
        <v>-0.32342516534534599</v>
      </c>
      <c r="AK652">
        <v>44.503641999999999</v>
      </c>
      <c r="AL652">
        <v>1.1863669999999999</v>
      </c>
      <c r="AM652">
        <v>48.856372813999997</v>
      </c>
      <c r="AN652">
        <v>2.3525296170000001</v>
      </c>
    </row>
    <row r="653" spans="1:40" x14ac:dyDescent="0.35">
      <c r="A653">
        <v>826</v>
      </c>
      <c r="B653">
        <v>72</v>
      </c>
      <c r="C653" t="s">
        <v>40</v>
      </c>
      <c r="D653" t="s">
        <v>52</v>
      </c>
      <c r="E653" t="s">
        <v>42</v>
      </c>
      <c r="F653" t="s">
        <v>49</v>
      </c>
      <c r="G653">
        <v>6</v>
      </c>
      <c r="H653">
        <v>36</v>
      </c>
      <c r="I653">
        <v>7</v>
      </c>
      <c r="J653" t="s">
        <v>50</v>
      </c>
      <c r="K653" t="s">
        <v>46</v>
      </c>
      <c r="L653" t="s">
        <v>77</v>
      </c>
      <c r="M653">
        <v>226.93107132666</v>
      </c>
      <c r="N653">
        <v>573</v>
      </c>
      <c r="O653">
        <v>376</v>
      </c>
      <c r="P653">
        <v>220</v>
      </c>
      <c r="Q653">
        <v>0</v>
      </c>
      <c r="R653">
        <v>2.3978952727983707</v>
      </c>
      <c r="S653">
        <v>5.1416635565026603</v>
      </c>
      <c r="T653">
        <v>90.472417453603512</v>
      </c>
      <c r="U653">
        <v>2.7735735584863375</v>
      </c>
      <c r="V653">
        <v>-0.15231437986527399</v>
      </c>
      <c r="W653">
        <v>3.49635939345109E-2</v>
      </c>
      <c r="X653">
        <v>-0.19627808847033801</v>
      </c>
      <c r="Y653">
        <v>-0.57382446736590997</v>
      </c>
      <c r="Z653">
        <v>-0.74335605457542497</v>
      </c>
      <c r="AA653">
        <v>-0.53588051656191904</v>
      </c>
      <c r="AB653">
        <v>3937</v>
      </c>
      <c r="AC653">
        <v>0</v>
      </c>
      <c r="AD653">
        <v>1</v>
      </c>
      <c r="AE653">
        <v>-0.72244456620022002</v>
      </c>
      <c r="AF653">
        <v>-1.63642282028497</v>
      </c>
      <c r="AG653">
        <v>-1.5817620720557399</v>
      </c>
      <c r="AH653">
        <v>0.80087285640611705</v>
      </c>
      <c r="AI653">
        <v>-0.11748620327147</v>
      </c>
      <c r="AJ653">
        <v>0.80429644080045304</v>
      </c>
      <c r="AK653">
        <v>47.259622</v>
      </c>
      <c r="AL653">
        <v>-7.8518000000000004E-2</v>
      </c>
      <c r="AM653">
        <v>48.722000000000001</v>
      </c>
      <c r="AN653">
        <v>2.044</v>
      </c>
    </row>
    <row r="654" spans="1:40" x14ac:dyDescent="0.35">
      <c r="A654">
        <v>827</v>
      </c>
      <c r="B654">
        <v>72</v>
      </c>
      <c r="C654" t="s">
        <v>40</v>
      </c>
      <c r="D654" t="s">
        <v>52</v>
      </c>
      <c r="E654" t="s">
        <v>42</v>
      </c>
      <c r="F654" t="s">
        <v>49</v>
      </c>
      <c r="G654">
        <v>5</v>
      </c>
      <c r="H654">
        <v>25</v>
      </c>
      <c r="I654">
        <v>7</v>
      </c>
      <c r="J654" t="s">
        <v>56</v>
      </c>
      <c r="K654" t="s">
        <v>46</v>
      </c>
      <c r="L654" t="s">
        <v>55</v>
      </c>
      <c r="M654">
        <v>398.39081769077609</v>
      </c>
      <c r="N654">
        <v>216</v>
      </c>
      <c r="O654">
        <v>161</v>
      </c>
      <c r="P654">
        <v>152</v>
      </c>
      <c r="Q654">
        <v>2.0794415416798357</v>
      </c>
      <c r="R654">
        <v>2.3025850929940459</v>
      </c>
      <c r="S654">
        <v>3.2580965380214821</v>
      </c>
      <c r="T654">
        <v>95.12</v>
      </c>
      <c r="U654">
        <v>0</v>
      </c>
      <c r="V654">
        <v>1.89305099905856</v>
      </c>
      <c r="W654">
        <v>0.59880690621441701</v>
      </c>
      <c r="X654">
        <v>1.1856460040685599</v>
      </c>
      <c r="Y654">
        <v>-0.15565097555555901</v>
      </c>
      <c r="Z654">
        <v>-0.22748295097212001</v>
      </c>
      <c r="AA654">
        <v>1.0415013010201299</v>
      </c>
      <c r="AB654">
        <v>2939.9504036908884</v>
      </c>
      <c r="AC654">
        <v>2</v>
      </c>
      <c r="AD654">
        <v>0.42868127643214149</v>
      </c>
      <c r="AE654">
        <v>-2.40641039566141E-2</v>
      </c>
      <c r="AF654">
        <v>-1.1755247248554801</v>
      </c>
      <c r="AG654">
        <v>0.40356641647399899</v>
      </c>
      <c r="AH654">
        <v>-1.0226909697559601</v>
      </c>
      <c r="AI654">
        <v>-0.44537049267095002</v>
      </c>
      <c r="AJ654">
        <v>-1.5992696800084001</v>
      </c>
      <c r="AK654">
        <v>48.0777517</v>
      </c>
      <c r="AL654">
        <v>7.3579641000000002</v>
      </c>
      <c r="AM654">
        <v>48.865000000000002</v>
      </c>
      <c r="AN654">
        <v>2.0910000000000002</v>
      </c>
    </row>
    <row r="655" spans="1:40" x14ac:dyDescent="0.35">
      <c r="A655">
        <v>828</v>
      </c>
      <c r="B655">
        <v>42</v>
      </c>
      <c r="C655" t="s">
        <v>40</v>
      </c>
      <c r="D655" t="s">
        <v>66</v>
      </c>
      <c r="E655" t="s">
        <v>42</v>
      </c>
      <c r="F655" t="s">
        <v>49</v>
      </c>
      <c r="G655">
        <v>6</v>
      </c>
      <c r="H655">
        <v>36</v>
      </c>
      <c r="I655">
        <v>5</v>
      </c>
      <c r="J655" t="s">
        <v>50</v>
      </c>
      <c r="K655" t="s">
        <v>46</v>
      </c>
      <c r="L655" t="s">
        <v>59</v>
      </c>
      <c r="M655">
        <v>170.63103831833081</v>
      </c>
      <c r="N655">
        <v>573</v>
      </c>
      <c r="O655">
        <v>376</v>
      </c>
      <c r="P655">
        <v>220</v>
      </c>
      <c r="Q655">
        <v>1.3862943611198906</v>
      </c>
      <c r="R655">
        <v>1.3862943611198906</v>
      </c>
      <c r="S655">
        <v>4.9972122737641147</v>
      </c>
      <c r="T655">
        <v>90.035146103896111</v>
      </c>
      <c r="U655">
        <v>1.418823059726001</v>
      </c>
      <c r="V655">
        <v>-0.52223564926899602</v>
      </c>
      <c r="W655">
        <v>-0.46072710968150399</v>
      </c>
      <c r="X655">
        <v>-0.361786268345754</v>
      </c>
      <c r="Y655">
        <v>-0.552694479448822</v>
      </c>
      <c r="Z655">
        <v>2.1676297177028899E-2</v>
      </c>
      <c r="AA655">
        <v>0.625223797005378</v>
      </c>
      <c r="AB655">
        <v>2234.6992515788952</v>
      </c>
      <c r="AC655">
        <v>0</v>
      </c>
      <c r="AD655">
        <v>0.12112735591028891</v>
      </c>
      <c r="AE655">
        <v>-0.60610368582010199</v>
      </c>
      <c r="AF655">
        <v>0.55159329113212696</v>
      </c>
      <c r="AG655">
        <v>0.72217335599882004</v>
      </c>
      <c r="AH655">
        <v>-3.3540754731155502</v>
      </c>
      <c r="AI655">
        <v>-0.92063622761402897</v>
      </c>
      <c r="AJ655">
        <v>0.51031792828937905</v>
      </c>
      <c r="AK655">
        <v>47.411035099999999</v>
      </c>
      <c r="AL655">
        <v>0.98369799999999996</v>
      </c>
      <c r="AM655">
        <v>48.820250000000001</v>
      </c>
      <c r="AN655">
        <v>1.8869999999999998</v>
      </c>
    </row>
    <row r="656" spans="1:40" x14ac:dyDescent="0.35">
      <c r="A656">
        <v>829</v>
      </c>
      <c r="B656">
        <v>57</v>
      </c>
      <c r="C656" t="s">
        <v>40</v>
      </c>
      <c r="D656" t="s">
        <v>41</v>
      </c>
      <c r="E656" t="s">
        <v>42</v>
      </c>
      <c r="F656" t="s">
        <v>49</v>
      </c>
      <c r="G656">
        <v>5</v>
      </c>
      <c r="H656">
        <v>25</v>
      </c>
      <c r="I656">
        <v>5</v>
      </c>
      <c r="J656" t="s">
        <v>50</v>
      </c>
      <c r="K656" t="s">
        <v>46</v>
      </c>
      <c r="L656" t="s">
        <v>55</v>
      </c>
      <c r="M656">
        <v>399.48125811576739</v>
      </c>
      <c r="N656">
        <v>251</v>
      </c>
      <c r="O656">
        <v>165</v>
      </c>
      <c r="P656">
        <v>237</v>
      </c>
      <c r="Q656">
        <v>2.0794415416798357</v>
      </c>
      <c r="R656">
        <v>2.3025850929940459</v>
      </c>
      <c r="S656">
        <v>3.2580965380214821</v>
      </c>
      <c r="T656">
        <v>95.12</v>
      </c>
      <c r="U656">
        <v>0</v>
      </c>
      <c r="V656">
        <v>1.89305099905856</v>
      </c>
      <c r="W656">
        <v>0.59880690621441701</v>
      </c>
      <c r="X656">
        <v>1.1856460040685599</v>
      </c>
      <c r="Y656">
        <v>-0.15565097555555901</v>
      </c>
      <c r="Z656">
        <v>-0.22748295097212001</v>
      </c>
      <c r="AA656">
        <v>1.0415013010201299</v>
      </c>
      <c r="AB656">
        <v>2939.9504036908884</v>
      </c>
      <c r="AC656">
        <v>2</v>
      </c>
      <c r="AD656">
        <v>0.42868127643214149</v>
      </c>
      <c r="AE656">
        <v>-2.40641039566141E-2</v>
      </c>
      <c r="AF656">
        <v>0.50371657015493998</v>
      </c>
      <c r="AG656">
        <v>-0.76105260865797297</v>
      </c>
      <c r="AH656">
        <v>-0.29165262513069501</v>
      </c>
      <c r="AI656">
        <v>-0.18428377295944401</v>
      </c>
      <c r="AJ656">
        <v>-0.41193438501912999</v>
      </c>
      <c r="AK656">
        <v>48.0777517</v>
      </c>
      <c r="AL656">
        <v>7.3579641000000002</v>
      </c>
      <c r="AM656">
        <v>48.759</v>
      </c>
      <c r="AN656">
        <v>2.048</v>
      </c>
    </row>
    <row r="657" spans="1:40" x14ac:dyDescent="0.35">
      <c r="A657">
        <v>830</v>
      </c>
      <c r="B657">
        <v>29.5</v>
      </c>
      <c r="C657" t="s">
        <v>48</v>
      </c>
      <c r="D657" t="s">
        <v>41</v>
      </c>
      <c r="E657" t="s">
        <v>42</v>
      </c>
      <c r="F657" t="s">
        <v>43</v>
      </c>
      <c r="G657">
        <v>3</v>
      </c>
      <c r="H657">
        <v>9</v>
      </c>
      <c r="I657">
        <v>4</v>
      </c>
      <c r="J657" t="s">
        <v>45</v>
      </c>
      <c r="K657" t="s">
        <v>46</v>
      </c>
      <c r="L657" t="s">
        <v>57</v>
      </c>
      <c r="M657">
        <v>159.51067583208541</v>
      </c>
      <c r="N657">
        <v>416</v>
      </c>
      <c r="O657">
        <v>254</v>
      </c>
      <c r="P657">
        <v>210</v>
      </c>
      <c r="Q657">
        <v>0.69314718055994529</v>
      </c>
      <c r="R657">
        <v>3.6109179126442243</v>
      </c>
      <c r="S657">
        <v>5.8833223884882786</v>
      </c>
      <c r="T657">
        <v>90.922105263157903</v>
      </c>
      <c r="U657">
        <v>2.3923758041545438</v>
      </c>
      <c r="V657">
        <v>-0.399596989308249</v>
      </c>
      <c r="W657">
        <v>-0.58810405700346202</v>
      </c>
      <c r="X657">
        <v>-0.29041857108635599</v>
      </c>
      <c r="Y657">
        <v>-0.846122564821426</v>
      </c>
      <c r="Z657">
        <v>-0.92679578564836795</v>
      </c>
      <c r="AA657">
        <v>0.86332342905974202</v>
      </c>
      <c r="AB657">
        <v>2050</v>
      </c>
      <c r="AC657">
        <v>1</v>
      </c>
      <c r="AD657">
        <v>2</v>
      </c>
      <c r="AE657">
        <v>-0.51011828243844404</v>
      </c>
      <c r="AF657">
        <v>2.2401921760516101</v>
      </c>
      <c r="AG657">
        <v>-8.7622126515079501E-2</v>
      </c>
      <c r="AH657">
        <v>-1.98829172523481</v>
      </c>
      <c r="AI657">
        <v>1.4183542219285299</v>
      </c>
      <c r="AJ657">
        <v>-0.31611818424601601</v>
      </c>
      <c r="AK657">
        <v>47.023905999999997</v>
      </c>
      <c r="AL657">
        <v>4.8380429999999999</v>
      </c>
      <c r="AM657">
        <v>45.899765500000001</v>
      </c>
      <c r="AN657">
        <v>6.1280853999999998</v>
      </c>
    </row>
    <row r="658" spans="1:40" x14ac:dyDescent="0.35">
      <c r="A658">
        <v>831</v>
      </c>
      <c r="B658">
        <v>72</v>
      </c>
      <c r="C658" t="s">
        <v>48</v>
      </c>
      <c r="D658" t="s">
        <v>52</v>
      </c>
      <c r="E658" t="s">
        <v>42</v>
      </c>
      <c r="F658" t="s">
        <v>49</v>
      </c>
      <c r="G658">
        <v>4</v>
      </c>
      <c r="H658">
        <v>16</v>
      </c>
      <c r="I658">
        <v>6</v>
      </c>
      <c r="J658" t="s">
        <v>56</v>
      </c>
      <c r="K658" t="s">
        <v>46</v>
      </c>
      <c r="L658" t="s">
        <v>80</v>
      </c>
      <c r="M658">
        <v>323.70764685194831</v>
      </c>
      <c r="N658">
        <v>318</v>
      </c>
      <c r="O658">
        <v>230</v>
      </c>
      <c r="P658">
        <v>275</v>
      </c>
      <c r="Q658">
        <v>0</v>
      </c>
      <c r="R658">
        <v>0</v>
      </c>
      <c r="S658">
        <v>2.3978952727983707</v>
      </c>
      <c r="T658">
        <v>89.244444444444454</v>
      </c>
      <c r="U658">
        <v>2.8365341397427142</v>
      </c>
      <c r="V658">
        <v>-0.913094936359653</v>
      </c>
      <c r="W658">
        <v>-0.65053416903877104</v>
      </c>
      <c r="X658">
        <v>-0.84161646442580296</v>
      </c>
      <c r="Y658">
        <v>-0.417210198705049</v>
      </c>
      <c r="Z658">
        <v>-0.72387803684780205</v>
      </c>
      <c r="AA658">
        <v>-1.2864028892777799</v>
      </c>
      <c r="AB658">
        <v>1649.4284274193549</v>
      </c>
      <c r="AC658">
        <v>3.0423387096774195</v>
      </c>
      <c r="AD658">
        <v>1.344758064516129</v>
      </c>
      <c r="AE658">
        <v>-0.93842607425381097</v>
      </c>
      <c r="AF658">
        <v>-7.7367009978685106E-2</v>
      </c>
      <c r="AG658">
        <v>-1.61988290890553</v>
      </c>
      <c r="AH658">
        <v>-0.58951297047945395</v>
      </c>
      <c r="AI658">
        <v>-0.65238393805067596</v>
      </c>
      <c r="AJ658">
        <v>9.8401227231977501E-2</v>
      </c>
      <c r="AK658">
        <v>46.124017000000002</v>
      </c>
      <c r="AL658">
        <v>3.420366</v>
      </c>
      <c r="AM658">
        <v>48.922000000000004</v>
      </c>
      <c r="AN658">
        <v>2.2469999999999999</v>
      </c>
    </row>
    <row r="659" spans="1:40" x14ac:dyDescent="0.35">
      <c r="A659">
        <v>832</v>
      </c>
      <c r="B659">
        <v>42</v>
      </c>
      <c r="C659" t="s">
        <v>48</v>
      </c>
      <c r="D659" t="s">
        <v>66</v>
      </c>
      <c r="E659" t="s">
        <v>68</v>
      </c>
      <c r="F659" t="s">
        <v>49</v>
      </c>
      <c r="G659">
        <v>5</v>
      </c>
      <c r="H659">
        <v>25</v>
      </c>
      <c r="I659">
        <v>6</v>
      </c>
      <c r="J659" t="s">
        <v>50</v>
      </c>
      <c r="K659" t="s">
        <v>46</v>
      </c>
      <c r="L659" t="s">
        <v>70</v>
      </c>
      <c r="M659">
        <v>505.64381411453508</v>
      </c>
      <c r="N659">
        <v>972</v>
      </c>
      <c r="O659">
        <v>619</v>
      </c>
      <c r="P659">
        <v>345</v>
      </c>
      <c r="Q659">
        <v>0</v>
      </c>
      <c r="R659">
        <v>0</v>
      </c>
      <c r="S659">
        <v>5.3230099791384085</v>
      </c>
      <c r="T659">
        <v>90.615999999999985</v>
      </c>
      <c r="U659">
        <v>1.11573792223403</v>
      </c>
      <c r="V659">
        <v>0.80288722813325297</v>
      </c>
      <c r="W659">
        <v>0.52082154240315903</v>
      </c>
      <c r="X659">
        <v>0.61908815691345198</v>
      </c>
      <c r="Y659">
        <v>1.5007680231051199</v>
      </c>
      <c r="Z659">
        <v>0.24292628533916899</v>
      </c>
      <c r="AA659">
        <v>8.5217386942517098E-2</v>
      </c>
      <c r="AB659">
        <v>3943</v>
      </c>
      <c r="AC659">
        <v>0</v>
      </c>
      <c r="AD659">
        <v>1</v>
      </c>
      <c r="AE659">
        <v>1.1088815174583</v>
      </c>
      <c r="AF659">
        <v>-2.09917721407035</v>
      </c>
      <c r="AG659">
        <v>-2.4347909879856799</v>
      </c>
      <c r="AH659">
        <v>0.31576503674892897</v>
      </c>
      <c r="AI659">
        <v>-1.78836928557915</v>
      </c>
      <c r="AJ659">
        <v>-1.0364886713844199</v>
      </c>
      <c r="AK659">
        <v>46.098678999999997</v>
      </c>
      <c r="AL659">
        <v>4.7359530000000003</v>
      </c>
      <c r="AM659">
        <v>50.640682937000001</v>
      </c>
      <c r="AN659">
        <v>4.6610704270000003</v>
      </c>
    </row>
    <row r="660" spans="1:40" x14ac:dyDescent="0.35">
      <c r="A660">
        <v>833</v>
      </c>
      <c r="B660">
        <v>57</v>
      </c>
      <c r="C660" t="s">
        <v>40</v>
      </c>
      <c r="D660" t="s">
        <v>66</v>
      </c>
      <c r="E660" t="s">
        <v>42</v>
      </c>
      <c r="F660" t="s">
        <v>43</v>
      </c>
      <c r="G660">
        <v>6</v>
      </c>
      <c r="H660">
        <v>36</v>
      </c>
      <c r="I660">
        <v>7</v>
      </c>
      <c r="J660" t="s">
        <v>50</v>
      </c>
      <c r="K660" t="s">
        <v>46</v>
      </c>
      <c r="L660" t="s">
        <v>47</v>
      </c>
      <c r="M660">
        <v>814.86750087181417</v>
      </c>
      <c r="N660">
        <v>574</v>
      </c>
      <c r="O660">
        <v>350</v>
      </c>
      <c r="P660">
        <v>374</v>
      </c>
      <c r="Q660">
        <v>5.9107966440405271</v>
      </c>
      <c r="R660">
        <v>6.4997870406558542</v>
      </c>
      <c r="S660">
        <v>8.6415324656718457</v>
      </c>
      <c r="T660">
        <v>89.265350482850479</v>
      </c>
      <c r="U660">
        <v>1.4417786561042019</v>
      </c>
      <c r="V660">
        <v>-0.22886708829074301</v>
      </c>
      <c r="W660">
        <v>0.28745285629339301</v>
      </c>
      <c r="X660">
        <v>-0.15627425222847</v>
      </c>
      <c r="Y660">
        <v>1.45226138127617</v>
      </c>
      <c r="Z660">
        <v>0.98247225355557</v>
      </c>
      <c r="AA660">
        <v>0.627775520474398</v>
      </c>
      <c r="AB660">
        <v>3362.2959371744532</v>
      </c>
      <c r="AC660">
        <v>2.8998317172850387</v>
      </c>
      <c r="AD660">
        <v>2.9499158586425196</v>
      </c>
      <c r="AE660">
        <v>1.06273170356322</v>
      </c>
      <c r="AF660">
        <v>0.70695997721621995</v>
      </c>
      <c r="AG660">
        <v>0.32616549549463703</v>
      </c>
      <c r="AH660">
        <v>0.56273553265002496</v>
      </c>
      <c r="AI660">
        <v>0.85837886859294099</v>
      </c>
      <c r="AJ660">
        <v>0.39627945258040898</v>
      </c>
      <c r="AK660">
        <v>43.3535629403058</v>
      </c>
      <c r="AL660">
        <v>3.21615314793977</v>
      </c>
      <c r="AM660">
        <v>50.67</v>
      </c>
      <c r="AN660">
        <v>2.8765000000000001</v>
      </c>
    </row>
    <row r="661" spans="1:40" x14ac:dyDescent="0.35">
      <c r="A661">
        <v>834</v>
      </c>
      <c r="B661">
        <v>57</v>
      </c>
      <c r="C661" t="s">
        <v>40</v>
      </c>
      <c r="D661" t="s">
        <v>41</v>
      </c>
      <c r="E661" t="s">
        <v>42</v>
      </c>
      <c r="F661" t="s">
        <v>49</v>
      </c>
      <c r="G661">
        <v>5</v>
      </c>
      <c r="H661">
        <v>25</v>
      </c>
      <c r="I661">
        <v>5</v>
      </c>
      <c r="J661" t="s">
        <v>50</v>
      </c>
      <c r="K661" t="s">
        <v>46</v>
      </c>
      <c r="L661" t="s">
        <v>72</v>
      </c>
      <c r="M661">
        <v>489.78397047287677</v>
      </c>
      <c r="N661">
        <v>190</v>
      </c>
      <c r="O661">
        <v>151</v>
      </c>
      <c r="P661">
        <v>242</v>
      </c>
      <c r="Q661">
        <v>0.69314718055994529</v>
      </c>
      <c r="R661">
        <v>1.3862943611198906</v>
      </c>
      <c r="S661">
        <v>4.5538768916005408</v>
      </c>
      <c r="T661">
        <v>89.340161030595823</v>
      </c>
      <c r="U661">
        <v>1.4712304197281412</v>
      </c>
      <c r="V661">
        <v>0.59716251398508702</v>
      </c>
      <c r="W661">
        <v>0.91068296986709796</v>
      </c>
      <c r="X661">
        <v>1.2273243988355</v>
      </c>
      <c r="Y661">
        <v>-0.4121809470949</v>
      </c>
      <c r="Z661">
        <v>-0.86472582726521097</v>
      </c>
      <c r="AA661">
        <v>-1.0172779374790899</v>
      </c>
      <c r="AB661">
        <v>1828.1689246701658</v>
      </c>
      <c r="AC661">
        <v>1.1127464888636687</v>
      </c>
      <c r="AD661">
        <v>1.8630656830756136</v>
      </c>
      <c r="AE661">
        <v>-0.53926882203722504</v>
      </c>
      <c r="AF661">
        <v>-0.63488908320083903</v>
      </c>
      <c r="AG661">
        <v>-2.0414886672992401</v>
      </c>
      <c r="AH661">
        <v>0.30420456615984698</v>
      </c>
      <c r="AI661">
        <v>-1.39154522366875</v>
      </c>
      <c r="AJ661">
        <v>1.45278951602494</v>
      </c>
      <c r="AK661">
        <v>44.503641999999999</v>
      </c>
      <c r="AL661">
        <v>1.1863669999999999</v>
      </c>
      <c r="AM661">
        <v>48.823</v>
      </c>
      <c r="AN661">
        <v>2.4079999999999999</v>
      </c>
    </row>
    <row r="662" spans="1:40" x14ac:dyDescent="0.35">
      <c r="A662">
        <v>835</v>
      </c>
      <c r="B662">
        <v>72</v>
      </c>
      <c r="C662" t="s">
        <v>40</v>
      </c>
      <c r="D662" t="s">
        <v>52</v>
      </c>
      <c r="E662" t="s">
        <v>42</v>
      </c>
      <c r="F662" t="s">
        <v>49</v>
      </c>
      <c r="G662">
        <v>5</v>
      </c>
      <c r="H662">
        <v>25</v>
      </c>
      <c r="I662">
        <v>7</v>
      </c>
      <c r="J662" t="s">
        <v>50</v>
      </c>
      <c r="K662" t="s">
        <v>46</v>
      </c>
      <c r="L662" t="s">
        <v>51</v>
      </c>
      <c r="M662">
        <v>167.23591296782689</v>
      </c>
      <c r="N662">
        <v>576</v>
      </c>
      <c r="O662">
        <v>361</v>
      </c>
      <c r="P662">
        <v>326</v>
      </c>
      <c r="Q662">
        <v>0</v>
      </c>
      <c r="R662">
        <v>1.3862943611198906</v>
      </c>
      <c r="S662">
        <v>4.3438054218536841</v>
      </c>
      <c r="T662">
        <v>91.16</v>
      </c>
      <c r="U662">
        <v>2.3174698847378039</v>
      </c>
      <c r="V662">
        <v>-0.58471966768986094</v>
      </c>
      <c r="W662">
        <v>-0.55557078097057</v>
      </c>
      <c r="X662">
        <v>-0.47566183223429498</v>
      </c>
      <c r="Y662">
        <v>-0.95884680312505799</v>
      </c>
      <c r="Z662">
        <v>-0.76521334103430205</v>
      </c>
      <c r="AA662">
        <v>-0.77245900699560299</v>
      </c>
      <c r="AB662">
        <v>1376</v>
      </c>
      <c r="AC662">
        <v>0</v>
      </c>
      <c r="AD662">
        <v>2</v>
      </c>
      <c r="AE662">
        <v>-1.2769936012368599</v>
      </c>
      <c r="AF662">
        <v>-1.02821482786037</v>
      </c>
      <c r="AG662">
        <v>-1.2038882556024699</v>
      </c>
      <c r="AH662">
        <v>0.15179803868995401</v>
      </c>
      <c r="AI662">
        <v>1.00226115035508</v>
      </c>
      <c r="AJ662">
        <v>1.0620802629074</v>
      </c>
      <c r="AK662">
        <v>47.815207299999997</v>
      </c>
      <c r="AL662">
        <v>3.8001657</v>
      </c>
      <c r="AM662">
        <v>48.826999999999998</v>
      </c>
      <c r="AN662">
        <v>2.13</v>
      </c>
    </row>
    <row r="663" spans="1:40" x14ac:dyDescent="0.35">
      <c r="A663">
        <v>837</v>
      </c>
      <c r="B663">
        <v>57</v>
      </c>
      <c r="C663" t="s">
        <v>40</v>
      </c>
      <c r="D663" t="s">
        <v>41</v>
      </c>
      <c r="E663" t="s">
        <v>42</v>
      </c>
      <c r="F663" t="s">
        <v>53</v>
      </c>
      <c r="G663">
        <v>4</v>
      </c>
      <c r="H663">
        <v>16</v>
      </c>
      <c r="I663">
        <v>4</v>
      </c>
      <c r="J663" t="s">
        <v>45</v>
      </c>
      <c r="K663" t="s">
        <v>46</v>
      </c>
      <c r="L663" t="s">
        <v>72</v>
      </c>
      <c r="M663">
        <v>492.64404854898049</v>
      </c>
      <c r="N663">
        <v>869</v>
      </c>
      <c r="O663">
        <v>423</v>
      </c>
      <c r="P663">
        <v>323</v>
      </c>
      <c r="Q663">
        <v>0.69314718055994529</v>
      </c>
      <c r="R663">
        <v>1.3862943611198906</v>
      </c>
      <c r="S663">
        <v>4.5538768916005408</v>
      </c>
      <c r="T663">
        <v>89.340161030595823</v>
      </c>
      <c r="U663">
        <v>1.4712304197281412</v>
      </c>
      <c r="V663">
        <v>0.59716251398508702</v>
      </c>
      <c r="W663">
        <v>0.91068296986709796</v>
      </c>
      <c r="X663">
        <v>1.2273243988355</v>
      </c>
      <c r="Y663">
        <v>-0.4121809470949</v>
      </c>
      <c r="Z663">
        <v>-0.86472582726521097</v>
      </c>
      <c r="AA663">
        <v>-1.0172779374790899</v>
      </c>
      <c r="AB663">
        <v>1828.1689246701658</v>
      </c>
      <c r="AC663">
        <v>1.1127464888636687</v>
      </c>
      <c r="AD663">
        <v>1.8630656830756136</v>
      </c>
      <c r="AE663">
        <v>-0.53926882203722504</v>
      </c>
      <c r="AF663">
        <v>0.26029630737807902</v>
      </c>
      <c r="AG663">
        <v>-0.375611258381021</v>
      </c>
      <c r="AH663">
        <v>-1.4460840760739699</v>
      </c>
      <c r="AI663">
        <v>-0.92895259331942104</v>
      </c>
      <c r="AJ663">
        <v>-1.6927121838227199</v>
      </c>
      <c r="AK663">
        <v>44.503641999999999</v>
      </c>
      <c r="AL663">
        <v>1.1863669999999999</v>
      </c>
      <c r="AM663">
        <v>48.856372813999997</v>
      </c>
      <c r="AN663">
        <v>2.3525296170000001</v>
      </c>
    </row>
    <row r="664" spans="1:40" x14ac:dyDescent="0.35">
      <c r="A664">
        <v>838</v>
      </c>
      <c r="B664">
        <v>42</v>
      </c>
      <c r="C664" t="s">
        <v>40</v>
      </c>
      <c r="D664" t="s">
        <v>41</v>
      </c>
      <c r="E664" t="s">
        <v>42</v>
      </c>
      <c r="F664" t="s">
        <v>61</v>
      </c>
      <c r="G664">
        <v>6</v>
      </c>
      <c r="H664">
        <v>36</v>
      </c>
      <c r="I664">
        <v>6</v>
      </c>
      <c r="J664" t="s">
        <v>56</v>
      </c>
      <c r="K664" t="s">
        <v>46</v>
      </c>
      <c r="L664" t="s">
        <v>65</v>
      </c>
      <c r="M664">
        <v>671.23208171923795</v>
      </c>
      <c r="N664">
        <v>306</v>
      </c>
      <c r="O664">
        <v>203</v>
      </c>
      <c r="P664">
        <v>254</v>
      </c>
      <c r="Q664">
        <v>0</v>
      </c>
      <c r="R664">
        <v>0</v>
      </c>
      <c r="S664">
        <v>4.4543472962535073</v>
      </c>
      <c r="T664">
        <v>89.333044733044744</v>
      </c>
      <c r="U664">
        <v>1.2554235437523662</v>
      </c>
      <c r="V664">
        <v>1.64975517953679</v>
      </c>
      <c r="W664">
        <v>2.4220969657957299</v>
      </c>
      <c r="X664">
        <v>1.68128863126442</v>
      </c>
      <c r="Y664">
        <v>2.0553398017137301</v>
      </c>
      <c r="Z664">
        <v>2.0921400018840099</v>
      </c>
      <c r="AA664">
        <v>2.0596698968962701</v>
      </c>
      <c r="AB664">
        <v>3262.71</v>
      </c>
      <c r="AC664">
        <v>0.33</v>
      </c>
      <c r="AD664">
        <v>0.66</v>
      </c>
      <c r="AE664">
        <v>1.9221838973381</v>
      </c>
      <c r="AF664">
        <v>-0.48051356674137802</v>
      </c>
      <c r="AG664">
        <v>-0.54195330365681904</v>
      </c>
      <c r="AH664">
        <v>0.113896684383376</v>
      </c>
      <c r="AI664">
        <v>0.16472706895587899</v>
      </c>
      <c r="AJ664">
        <v>-0.59899233523225304</v>
      </c>
      <c r="AK664">
        <v>43.537466000000002</v>
      </c>
      <c r="AL664">
        <v>6.4627330000000001</v>
      </c>
      <c r="AM664">
        <v>48.856372813999997</v>
      </c>
      <c r="AN664">
        <v>2.3525296170000001</v>
      </c>
    </row>
    <row r="665" spans="1:40" x14ac:dyDescent="0.35">
      <c r="A665">
        <v>839</v>
      </c>
      <c r="B665">
        <v>57</v>
      </c>
      <c r="C665" t="s">
        <v>40</v>
      </c>
      <c r="D665" t="s">
        <v>66</v>
      </c>
      <c r="E665" t="s">
        <v>42</v>
      </c>
      <c r="F665" t="s">
        <v>61</v>
      </c>
      <c r="G665">
        <v>6</v>
      </c>
      <c r="H665">
        <v>36</v>
      </c>
      <c r="I665">
        <v>5</v>
      </c>
      <c r="J665" t="s">
        <v>56</v>
      </c>
      <c r="K665" t="s">
        <v>46</v>
      </c>
      <c r="L665" t="s">
        <v>72</v>
      </c>
      <c r="M665">
        <v>180.10347816479751</v>
      </c>
      <c r="N665">
        <v>574</v>
      </c>
      <c r="O665">
        <v>350</v>
      </c>
      <c r="P665">
        <v>374</v>
      </c>
      <c r="Q665">
        <v>0.69314718055994529</v>
      </c>
      <c r="R665">
        <v>1.3862943611198906</v>
      </c>
      <c r="S665">
        <v>4.5538768916005408</v>
      </c>
      <c r="T665">
        <v>89.340161030595823</v>
      </c>
      <c r="U665">
        <v>1.4712304197281412</v>
      </c>
      <c r="V665">
        <v>0.59716251398508702</v>
      </c>
      <c r="W665">
        <v>0.91068296986709796</v>
      </c>
      <c r="X665">
        <v>1.2273243988355</v>
      </c>
      <c r="Y665">
        <v>-0.4121809470949</v>
      </c>
      <c r="Z665">
        <v>-0.86472582726521097</v>
      </c>
      <c r="AA665">
        <v>-1.0172779374790899</v>
      </c>
      <c r="AB665">
        <v>1828.1689246701658</v>
      </c>
      <c r="AC665">
        <v>1.1127464888636687</v>
      </c>
      <c r="AD665">
        <v>1.8630656830756136</v>
      </c>
      <c r="AE665">
        <v>-0.53926882203722504</v>
      </c>
      <c r="AF665">
        <v>1.27932948335267</v>
      </c>
      <c r="AG665">
        <v>0.48559636053359001</v>
      </c>
      <c r="AH665">
        <v>-0.122430788417663</v>
      </c>
      <c r="AI665">
        <v>1.21764798242042</v>
      </c>
      <c r="AJ665">
        <v>0.41246255389647701</v>
      </c>
      <c r="AK665">
        <v>44.503641999999999</v>
      </c>
      <c r="AL665">
        <v>1.1863669999999999</v>
      </c>
      <c r="AM665">
        <v>43.29</v>
      </c>
      <c r="AN665">
        <v>-0.29849999999999999</v>
      </c>
    </row>
    <row r="666" spans="1:40" x14ac:dyDescent="0.35">
      <c r="A666">
        <v>840</v>
      </c>
      <c r="B666">
        <v>57</v>
      </c>
      <c r="C666" t="s">
        <v>40</v>
      </c>
      <c r="D666" t="s">
        <v>41</v>
      </c>
      <c r="E666" t="s">
        <v>42</v>
      </c>
      <c r="F666" t="s">
        <v>49</v>
      </c>
      <c r="G666">
        <v>5</v>
      </c>
      <c r="H666">
        <v>25</v>
      </c>
      <c r="I666">
        <v>4</v>
      </c>
      <c r="J666" t="s">
        <v>50</v>
      </c>
      <c r="K666" t="s">
        <v>46</v>
      </c>
      <c r="L666" t="s">
        <v>72</v>
      </c>
      <c r="M666">
        <v>489.67991760605997</v>
      </c>
      <c r="N666">
        <v>360</v>
      </c>
      <c r="O666">
        <v>231</v>
      </c>
      <c r="P666">
        <v>223</v>
      </c>
      <c r="Q666">
        <v>0.69314718055994529</v>
      </c>
      <c r="R666">
        <v>1.3862943611198906</v>
      </c>
      <c r="S666">
        <v>4.5538768916005408</v>
      </c>
      <c r="T666">
        <v>89.340161030595823</v>
      </c>
      <c r="U666">
        <v>1.4712304197281412</v>
      </c>
      <c r="V666">
        <v>0.59716251398508702</v>
      </c>
      <c r="W666">
        <v>0.91068296986709796</v>
      </c>
      <c r="X666">
        <v>1.2273243988355</v>
      </c>
      <c r="Y666">
        <v>-0.4121809470949</v>
      </c>
      <c r="Z666">
        <v>-0.86472582726521097</v>
      </c>
      <c r="AA666">
        <v>-1.0172779374790899</v>
      </c>
      <c r="AB666">
        <v>1828.1689246701658</v>
      </c>
      <c r="AC666">
        <v>1.1127464888636687</v>
      </c>
      <c r="AD666">
        <v>1.8630656830756136</v>
      </c>
      <c r="AE666">
        <v>-0.53926882203722504</v>
      </c>
      <c r="AF666">
        <v>-2.5014934855663107</v>
      </c>
      <c r="AG666">
        <v>-0.8113768895184541</v>
      </c>
      <c r="AH666">
        <v>8.1616308271892576E-2</v>
      </c>
      <c r="AI666">
        <v>-2.3442718563703018</v>
      </c>
      <c r="AJ666">
        <v>1.3083706368591919</v>
      </c>
      <c r="AK666">
        <v>44.503641999999999</v>
      </c>
      <c r="AL666">
        <v>1.1863669999999999</v>
      </c>
      <c r="AM666">
        <v>48.818000000000005</v>
      </c>
      <c r="AN666">
        <v>2.4380000000000002</v>
      </c>
    </row>
    <row r="667" spans="1:40" x14ac:dyDescent="0.35">
      <c r="A667">
        <v>841</v>
      </c>
      <c r="B667">
        <v>72</v>
      </c>
      <c r="C667" t="s">
        <v>40</v>
      </c>
      <c r="D667" t="s">
        <v>52</v>
      </c>
      <c r="E667" t="s">
        <v>42</v>
      </c>
      <c r="F667" t="s">
        <v>61</v>
      </c>
      <c r="G667">
        <v>5</v>
      </c>
      <c r="H667">
        <v>25</v>
      </c>
      <c r="I667">
        <v>5</v>
      </c>
      <c r="J667" t="s">
        <v>56</v>
      </c>
      <c r="K667" t="s">
        <v>46</v>
      </c>
      <c r="L667" t="s">
        <v>83</v>
      </c>
      <c r="M667">
        <v>281.66456260680292</v>
      </c>
      <c r="N667">
        <v>73</v>
      </c>
      <c r="O667">
        <v>61</v>
      </c>
      <c r="P667">
        <v>30</v>
      </c>
      <c r="Q667">
        <v>0</v>
      </c>
      <c r="R667">
        <v>0</v>
      </c>
      <c r="S667">
        <v>4.4886363697321396</v>
      </c>
      <c r="T667">
        <v>90.115111111111119</v>
      </c>
      <c r="U667">
        <v>1.2513404171152498</v>
      </c>
      <c r="V667">
        <v>-0.46152060700845399</v>
      </c>
      <c r="W667">
        <v>-0.57121975163865102</v>
      </c>
      <c r="X667">
        <v>-0.33135740862223101</v>
      </c>
      <c r="Y667">
        <v>-0.77598924050104101</v>
      </c>
      <c r="Z667">
        <v>0.47668876811384397</v>
      </c>
      <c r="AA667">
        <v>0.85617757356637403</v>
      </c>
      <c r="AB667">
        <v>2565</v>
      </c>
      <c r="AC667">
        <v>1</v>
      </c>
      <c r="AD667">
        <v>0</v>
      </c>
      <c r="AE667">
        <v>-0.72514205471140702</v>
      </c>
      <c r="AF667">
        <v>-1.4514710410145599</v>
      </c>
      <c r="AG667">
        <v>-2.1343595480239399</v>
      </c>
      <c r="AH667">
        <v>0.744900389174185</v>
      </c>
      <c r="AI667">
        <v>-1.43040539664653</v>
      </c>
      <c r="AJ667">
        <v>-0.54971660328277205</v>
      </c>
      <c r="AK667">
        <v>46.839658</v>
      </c>
      <c r="AL667">
        <v>4.7189269999999999</v>
      </c>
      <c r="AM667">
        <v>48.777000000000001</v>
      </c>
      <c r="AN667">
        <v>2.2949999999999999</v>
      </c>
    </row>
    <row r="668" spans="1:40" x14ac:dyDescent="0.35">
      <c r="A668">
        <v>842</v>
      </c>
      <c r="B668">
        <v>57</v>
      </c>
      <c r="C668" t="s">
        <v>40</v>
      </c>
      <c r="D668" t="s">
        <v>52</v>
      </c>
      <c r="E668" t="s">
        <v>42</v>
      </c>
      <c r="F668" t="s">
        <v>49</v>
      </c>
      <c r="G668">
        <v>5</v>
      </c>
      <c r="H668">
        <v>25</v>
      </c>
      <c r="I668">
        <v>6</v>
      </c>
      <c r="J668" t="s">
        <v>50</v>
      </c>
      <c r="K668" t="s">
        <v>46</v>
      </c>
      <c r="L668" t="s">
        <v>55</v>
      </c>
      <c r="M668">
        <v>54.161960162919392</v>
      </c>
      <c r="N668">
        <v>198</v>
      </c>
      <c r="O668">
        <v>138</v>
      </c>
      <c r="P668">
        <v>147</v>
      </c>
      <c r="Q668">
        <v>2.0794415416798357</v>
      </c>
      <c r="R668">
        <v>2.3025850929940459</v>
      </c>
      <c r="S668">
        <v>3.2580965380214821</v>
      </c>
      <c r="T668">
        <v>95.12</v>
      </c>
      <c r="U668">
        <v>0</v>
      </c>
      <c r="V668">
        <v>1.89305099905856</v>
      </c>
      <c r="W668">
        <v>0.59880690621441701</v>
      </c>
      <c r="X668">
        <v>1.1856460040685599</v>
      </c>
      <c r="Y668">
        <v>-0.15565097555555901</v>
      </c>
      <c r="Z668">
        <v>-0.22748295097212001</v>
      </c>
      <c r="AA668">
        <v>1.0415013010201299</v>
      </c>
      <c r="AB668">
        <v>2939.9504036908884</v>
      </c>
      <c r="AC668">
        <v>2</v>
      </c>
      <c r="AD668">
        <v>0.42868127643214149</v>
      </c>
      <c r="AE668">
        <v>-2.40641039566141E-2</v>
      </c>
      <c r="AF668">
        <v>1.4663078359060899</v>
      </c>
      <c r="AG668">
        <v>-0.85832307425188803</v>
      </c>
      <c r="AH668">
        <v>1.0279799343099101</v>
      </c>
      <c r="AI668">
        <v>-1.7124266648120301</v>
      </c>
      <c r="AJ668">
        <v>0.78592264324004901</v>
      </c>
      <c r="AK668">
        <v>48.0777517</v>
      </c>
      <c r="AL668">
        <v>7.3579641000000002</v>
      </c>
      <c r="AM668">
        <v>48.550166666666655</v>
      </c>
      <c r="AN668">
        <v>7.5330000000000021</v>
      </c>
    </row>
    <row r="669" spans="1:40" x14ac:dyDescent="0.35">
      <c r="A669">
        <v>844</v>
      </c>
      <c r="B669">
        <v>57</v>
      </c>
      <c r="C669" t="s">
        <v>48</v>
      </c>
      <c r="D669" t="s">
        <v>66</v>
      </c>
      <c r="E669" t="s">
        <v>42</v>
      </c>
      <c r="F669" t="s">
        <v>53</v>
      </c>
      <c r="G669">
        <v>5</v>
      </c>
      <c r="H669">
        <v>25</v>
      </c>
      <c r="I669">
        <v>2</v>
      </c>
      <c r="J669" t="s">
        <v>56</v>
      </c>
      <c r="K669" t="s">
        <v>46</v>
      </c>
      <c r="L669" t="s">
        <v>76</v>
      </c>
      <c r="M669">
        <v>165.15329359878189</v>
      </c>
      <c r="N669">
        <v>585</v>
      </c>
      <c r="O669">
        <v>378</v>
      </c>
      <c r="P669">
        <v>163</v>
      </c>
      <c r="Q669">
        <v>0</v>
      </c>
      <c r="R669">
        <v>1.0986122886681098</v>
      </c>
      <c r="S669">
        <v>4.1588830833596715</v>
      </c>
      <c r="T669">
        <v>91.226666666666674</v>
      </c>
      <c r="U669">
        <v>1.418823059726001</v>
      </c>
      <c r="V669">
        <v>-0.39095273818515502</v>
      </c>
      <c r="W669">
        <v>-0.53446083104759001</v>
      </c>
      <c r="X669">
        <v>-0.40804429067029002</v>
      </c>
      <c r="Y669">
        <v>-0.56789545922357498</v>
      </c>
      <c r="Z669">
        <v>-0.94760790482486201</v>
      </c>
      <c r="AA669">
        <v>-1.0848673571571601</v>
      </c>
      <c r="AB669">
        <v>1770.5103102717287</v>
      </c>
      <c r="AC669">
        <v>0.28213528618230871</v>
      </c>
      <c r="AD669">
        <v>1.7130468298323378</v>
      </c>
      <c r="AE669">
        <v>-1.13486126839574</v>
      </c>
      <c r="AF669">
        <v>0.26262146353502103</v>
      </c>
      <c r="AG669">
        <v>-1.3809254953994099</v>
      </c>
      <c r="AH669">
        <v>-9.7036275135803401E-2</v>
      </c>
      <c r="AI669">
        <v>1.5878567888260799</v>
      </c>
      <c r="AJ669">
        <v>0.227331084903274</v>
      </c>
      <c r="AK669">
        <v>47.330690599999997</v>
      </c>
      <c r="AL669">
        <v>2.8390453999999998</v>
      </c>
      <c r="AM669">
        <v>48.776000000000003</v>
      </c>
      <c r="AN669">
        <v>2.3380000000000001</v>
      </c>
    </row>
    <row r="670" spans="1:40" x14ac:dyDescent="0.35">
      <c r="A670">
        <v>845</v>
      </c>
      <c r="B670">
        <v>72</v>
      </c>
      <c r="C670" t="s">
        <v>40</v>
      </c>
      <c r="D670" t="s">
        <v>52</v>
      </c>
      <c r="E670" t="s">
        <v>42</v>
      </c>
      <c r="F670" t="s">
        <v>49</v>
      </c>
      <c r="G670">
        <v>5</v>
      </c>
      <c r="H670">
        <v>25</v>
      </c>
      <c r="I670">
        <v>5</v>
      </c>
      <c r="J670" t="s">
        <v>45</v>
      </c>
      <c r="K670" t="s">
        <v>46</v>
      </c>
      <c r="L670" t="s">
        <v>73</v>
      </c>
      <c r="M670">
        <v>513.30142166019823</v>
      </c>
      <c r="N670">
        <v>152</v>
      </c>
      <c r="O670">
        <v>111</v>
      </c>
      <c r="P670">
        <v>110</v>
      </c>
      <c r="Q670">
        <v>1.9459101490553132</v>
      </c>
      <c r="R670">
        <v>2.9444389791664403</v>
      </c>
      <c r="S670">
        <v>4.2626798770413155</v>
      </c>
      <c r="T670">
        <v>91.872500000000002</v>
      </c>
      <c r="U670">
        <v>2.0033201607997366</v>
      </c>
      <c r="V670">
        <v>7.5580716531248995E-2</v>
      </c>
      <c r="W670">
        <v>0.203376316306385</v>
      </c>
      <c r="X670">
        <v>0.143329752535333</v>
      </c>
      <c r="Y670">
        <v>1.4483117406157899</v>
      </c>
      <c r="Z670">
        <v>1.7680602694732599</v>
      </c>
      <c r="AA670">
        <v>0.26366440732357699</v>
      </c>
      <c r="AB670">
        <v>4236</v>
      </c>
      <c r="AC670">
        <v>0</v>
      </c>
      <c r="AD670">
        <v>4</v>
      </c>
      <c r="AE670">
        <v>1.6751267091712101</v>
      </c>
      <c r="AF670">
        <v>0.82179922042275899</v>
      </c>
      <c r="AG670">
        <v>0.52769713005275998</v>
      </c>
      <c r="AH670">
        <v>0.32644638206513599</v>
      </c>
      <c r="AI670">
        <v>1.33140255582114</v>
      </c>
      <c r="AJ670">
        <v>-0.192228611297384</v>
      </c>
      <c r="AK670">
        <v>44.686388999999998</v>
      </c>
      <c r="AL670">
        <v>-0.52383800000000003</v>
      </c>
      <c r="AM670">
        <v>48.856372813999997</v>
      </c>
      <c r="AN670">
        <v>2.3525296170000001</v>
      </c>
    </row>
    <row r="671" spans="1:40" x14ac:dyDescent="0.35">
      <c r="A671">
        <v>846</v>
      </c>
      <c r="B671">
        <v>72</v>
      </c>
      <c r="C671" t="s">
        <v>40</v>
      </c>
      <c r="D671" t="s">
        <v>52</v>
      </c>
      <c r="E671" t="s">
        <v>42</v>
      </c>
      <c r="F671" t="s">
        <v>53</v>
      </c>
      <c r="G671">
        <v>6</v>
      </c>
      <c r="H671">
        <v>36</v>
      </c>
      <c r="I671">
        <v>7</v>
      </c>
      <c r="J671" t="s">
        <v>56</v>
      </c>
      <c r="K671" t="s">
        <v>46</v>
      </c>
      <c r="L671" t="s">
        <v>75</v>
      </c>
      <c r="M671">
        <v>128.16540564553549</v>
      </c>
      <c r="N671">
        <v>327</v>
      </c>
      <c r="O671">
        <v>246</v>
      </c>
      <c r="P671">
        <v>147</v>
      </c>
      <c r="Q671">
        <v>0</v>
      </c>
      <c r="R671">
        <v>0</v>
      </c>
      <c r="S671">
        <v>3.5553480614894135</v>
      </c>
      <c r="T671">
        <v>87.721111111111114</v>
      </c>
      <c r="U671">
        <v>1.8185946276597997</v>
      </c>
      <c r="V671">
        <v>-1.01058566247205</v>
      </c>
      <c r="W671">
        <v>-0.72487722485772399</v>
      </c>
      <c r="X671">
        <v>-0.83814251792544203</v>
      </c>
      <c r="Y671">
        <v>0.643019057251217</v>
      </c>
      <c r="Z671">
        <v>0.97010361819212798</v>
      </c>
      <c r="AA671">
        <v>-1.0557286875948499</v>
      </c>
      <c r="AB671">
        <v>4179</v>
      </c>
      <c r="AC671">
        <v>0</v>
      </c>
      <c r="AD671">
        <v>0</v>
      </c>
      <c r="AE671">
        <v>0.59808311135132897</v>
      </c>
      <c r="AF671">
        <v>-2.2776820266217501</v>
      </c>
      <c r="AG671">
        <v>1.57183277574796</v>
      </c>
      <c r="AH671">
        <v>0.54455309354659598</v>
      </c>
      <c r="AI671">
        <v>-1.50193367627718</v>
      </c>
      <c r="AJ671">
        <v>1.1811651822142299</v>
      </c>
      <c r="AK671">
        <v>47.087721999999999</v>
      </c>
      <c r="AL671">
        <v>-1.2817419999999999</v>
      </c>
      <c r="AM671">
        <v>47.66</v>
      </c>
      <c r="AN671">
        <v>-2.7570000000000001</v>
      </c>
    </row>
    <row r="672" spans="1:40" x14ac:dyDescent="0.35">
      <c r="A672">
        <v>847</v>
      </c>
      <c r="B672">
        <v>29.5</v>
      </c>
      <c r="C672" t="s">
        <v>48</v>
      </c>
      <c r="D672" t="s">
        <v>41</v>
      </c>
      <c r="E672" t="s">
        <v>42</v>
      </c>
      <c r="F672" t="s">
        <v>43</v>
      </c>
      <c r="G672">
        <v>4</v>
      </c>
      <c r="H672">
        <v>16</v>
      </c>
      <c r="I672">
        <v>6</v>
      </c>
      <c r="J672" t="s">
        <v>50</v>
      </c>
      <c r="K672" t="s">
        <v>46</v>
      </c>
      <c r="L672" t="s">
        <v>57</v>
      </c>
      <c r="M672">
        <v>285.5477632405748</v>
      </c>
      <c r="N672">
        <v>1420</v>
      </c>
      <c r="O672">
        <v>1070</v>
      </c>
      <c r="P672">
        <v>1740</v>
      </c>
      <c r="Q672">
        <v>0.69314718055994529</v>
      </c>
      <c r="R672">
        <v>3.6109179126442243</v>
      </c>
      <c r="S672">
        <v>5.8833223884882786</v>
      </c>
      <c r="T672">
        <v>90.922105263157903</v>
      </c>
      <c r="U672">
        <v>2.3923758041545438</v>
      </c>
      <c r="V672">
        <v>-0.399596989308249</v>
      </c>
      <c r="W672">
        <v>-0.58810405700346202</v>
      </c>
      <c r="X672">
        <v>-0.29041857108635599</v>
      </c>
      <c r="Y672">
        <v>-0.846122564821426</v>
      </c>
      <c r="Z672">
        <v>-0.92679578564836795</v>
      </c>
      <c r="AA672">
        <v>0.86332342905974202</v>
      </c>
      <c r="AB672">
        <v>2050</v>
      </c>
      <c r="AC672">
        <v>1</v>
      </c>
      <c r="AD672">
        <v>2</v>
      </c>
      <c r="AE672">
        <v>-0.51011828243844404</v>
      </c>
      <c r="AF672">
        <v>0.75267234618716805</v>
      </c>
      <c r="AG672">
        <v>0.86234073069765804</v>
      </c>
      <c r="AH672">
        <v>0.58887365469863495</v>
      </c>
      <c r="AI672">
        <v>0.65368767593457</v>
      </c>
      <c r="AJ672">
        <v>-0.12441201917191901</v>
      </c>
      <c r="AK672">
        <v>47.023905999999997</v>
      </c>
      <c r="AL672">
        <v>4.8380429999999999</v>
      </c>
      <c r="AM672">
        <v>48.869000000000014</v>
      </c>
      <c r="AN672">
        <v>2.177</v>
      </c>
    </row>
    <row r="673" spans="1:40" x14ac:dyDescent="0.35">
      <c r="A673">
        <v>848</v>
      </c>
      <c r="B673">
        <v>57</v>
      </c>
      <c r="C673" t="s">
        <v>40</v>
      </c>
      <c r="D673" t="s">
        <v>52</v>
      </c>
      <c r="E673" t="s">
        <v>42</v>
      </c>
      <c r="F673" t="s">
        <v>49</v>
      </c>
      <c r="G673">
        <v>4</v>
      </c>
      <c r="H673">
        <v>16</v>
      </c>
      <c r="I673">
        <v>5</v>
      </c>
      <c r="J673" t="s">
        <v>50</v>
      </c>
      <c r="K673" t="s">
        <v>46</v>
      </c>
      <c r="L673" t="s">
        <v>78</v>
      </c>
      <c r="M673">
        <v>1048.3678916538529</v>
      </c>
      <c r="N673">
        <v>327</v>
      </c>
      <c r="O673">
        <v>246</v>
      </c>
      <c r="P673">
        <v>147</v>
      </c>
      <c r="Q673">
        <v>0</v>
      </c>
      <c r="R673">
        <v>0</v>
      </c>
      <c r="S673">
        <v>3.784189633918261</v>
      </c>
      <c r="T673">
        <v>88.642856449106446</v>
      </c>
      <c r="U673">
        <v>1.0940428522509147</v>
      </c>
      <c r="V673">
        <v>8.5508000285955607E-3</v>
      </c>
      <c r="W673">
        <v>-0.51120442009665101</v>
      </c>
      <c r="X673">
        <v>-0.50395056569549701</v>
      </c>
      <c r="Y673">
        <v>-1.08176131679965</v>
      </c>
      <c r="Z673">
        <v>-1.2254354371323599</v>
      </c>
      <c r="AA673">
        <v>-2.1159072764009799</v>
      </c>
      <c r="AB673">
        <v>465.17385257301805</v>
      </c>
      <c r="AC673">
        <v>0.43254520166898469</v>
      </c>
      <c r="AD673">
        <v>0.43254520166898469</v>
      </c>
      <c r="AE673">
        <v>7.7424783941295205E-2</v>
      </c>
      <c r="AF673">
        <v>0.81065220524132298</v>
      </c>
      <c r="AG673">
        <v>-1.3971737067987799</v>
      </c>
      <c r="AH673">
        <v>1.1863576283216599</v>
      </c>
      <c r="AI673">
        <v>0.98363800237804799</v>
      </c>
      <c r="AJ673">
        <v>0.31898894273567102</v>
      </c>
      <c r="AK673">
        <v>42.680641999999999</v>
      </c>
      <c r="AL673">
        <v>9.3018979999999996</v>
      </c>
      <c r="AM673">
        <v>48.111866200000001</v>
      </c>
      <c r="AN673">
        <v>-1.6801145</v>
      </c>
    </row>
    <row r="674" spans="1:40" x14ac:dyDescent="0.35">
      <c r="A674">
        <v>849</v>
      </c>
      <c r="B674">
        <v>57</v>
      </c>
      <c r="C674" t="s">
        <v>40</v>
      </c>
      <c r="D674" t="s">
        <v>41</v>
      </c>
      <c r="E674" t="s">
        <v>42</v>
      </c>
      <c r="F674" t="s">
        <v>61</v>
      </c>
      <c r="G674">
        <v>5</v>
      </c>
      <c r="H674">
        <v>25</v>
      </c>
      <c r="I674">
        <v>5</v>
      </c>
      <c r="J674" t="s">
        <v>56</v>
      </c>
      <c r="K674" t="s">
        <v>46</v>
      </c>
      <c r="L674" t="s">
        <v>57</v>
      </c>
      <c r="M674">
        <v>281.84409729228747</v>
      </c>
      <c r="N674">
        <v>346</v>
      </c>
      <c r="O674">
        <v>190</v>
      </c>
      <c r="P674">
        <v>154</v>
      </c>
      <c r="Q674">
        <v>0.69314718055994529</v>
      </c>
      <c r="R674">
        <v>3.6109179126442243</v>
      </c>
      <c r="S674">
        <v>5.8833223884882786</v>
      </c>
      <c r="T674">
        <v>90.922105263157903</v>
      </c>
      <c r="U674">
        <v>2.3923758041545438</v>
      </c>
      <c r="V674">
        <v>-0.399596989308249</v>
      </c>
      <c r="W674">
        <v>-0.58810405700346202</v>
      </c>
      <c r="X674">
        <v>-0.29041857108635599</v>
      </c>
      <c r="Y674">
        <v>-0.846122564821426</v>
      </c>
      <c r="Z674">
        <v>-0.92679578564836795</v>
      </c>
      <c r="AA674">
        <v>0.86332342905974202</v>
      </c>
      <c r="AB674">
        <v>2050</v>
      </c>
      <c r="AC674">
        <v>1</v>
      </c>
      <c r="AD674">
        <v>2</v>
      </c>
      <c r="AE674">
        <v>-0.51011828243844404</v>
      </c>
      <c r="AF674">
        <v>-0.916615358452603</v>
      </c>
      <c r="AG674">
        <v>-0.15275666209636499</v>
      </c>
      <c r="AH674">
        <v>-3.46563989926765</v>
      </c>
      <c r="AI674">
        <v>-1.47942573308753</v>
      </c>
      <c r="AJ674">
        <v>-1.0504014559111301</v>
      </c>
      <c r="AK674">
        <v>47.023905999999997</v>
      </c>
      <c r="AL674">
        <v>4.8380429999999999</v>
      </c>
      <c r="AM674">
        <v>48.842999999999996</v>
      </c>
      <c r="AN674">
        <v>2.2090000000000001</v>
      </c>
    </row>
    <row r="675" spans="1:40" x14ac:dyDescent="0.35">
      <c r="A675">
        <v>850</v>
      </c>
      <c r="B675">
        <v>29.5</v>
      </c>
      <c r="C675" t="s">
        <v>40</v>
      </c>
      <c r="D675" t="s">
        <v>41</v>
      </c>
      <c r="E675" t="s">
        <v>42</v>
      </c>
      <c r="F675" t="s">
        <v>49</v>
      </c>
      <c r="G675">
        <v>5</v>
      </c>
      <c r="H675">
        <v>25</v>
      </c>
      <c r="I675">
        <v>4</v>
      </c>
      <c r="J675" t="s">
        <v>56</v>
      </c>
      <c r="K675" t="s">
        <v>46</v>
      </c>
      <c r="L675" t="s">
        <v>69</v>
      </c>
      <c r="M675">
        <v>269.78141800612042</v>
      </c>
      <c r="N675">
        <v>133</v>
      </c>
      <c r="O675">
        <v>85</v>
      </c>
      <c r="P675">
        <v>115</v>
      </c>
      <c r="Q675">
        <v>2.3978952727983707</v>
      </c>
      <c r="R675">
        <v>4.5538768916005408</v>
      </c>
      <c r="S675">
        <v>5.4847969334906548</v>
      </c>
      <c r="T675">
        <v>93.296000000000006</v>
      </c>
      <c r="U675">
        <v>2.2325431437911538</v>
      </c>
      <c r="V675">
        <v>-0.44922684044461197</v>
      </c>
      <c r="W675">
        <v>-0.76855194782346203</v>
      </c>
      <c r="X675">
        <v>-0.44700324392789598</v>
      </c>
      <c r="Y675">
        <v>-0.846122564821426</v>
      </c>
      <c r="Z675">
        <v>-0.92679578564836795</v>
      </c>
      <c r="AA675">
        <v>0.86332342905974202</v>
      </c>
      <c r="AB675">
        <v>2050</v>
      </c>
      <c r="AC675">
        <v>1</v>
      </c>
      <c r="AD675">
        <v>2</v>
      </c>
      <c r="AE675">
        <v>-0.51011828243844404</v>
      </c>
      <c r="AF675">
        <v>0.52868487541982301</v>
      </c>
      <c r="AG675">
        <v>-0.28093424575280601</v>
      </c>
      <c r="AH675">
        <v>0.71159995911018703</v>
      </c>
      <c r="AI675">
        <v>0.422291297089674</v>
      </c>
      <c r="AJ675">
        <v>1.33229489365211</v>
      </c>
      <c r="AK675">
        <v>47.177235000000003</v>
      </c>
      <c r="AL675">
        <v>4.964315</v>
      </c>
      <c r="AM675">
        <v>48.817</v>
      </c>
      <c r="AN675">
        <v>2.2970000000000002</v>
      </c>
    </row>
    <row r="676" spans="1:40" x14ac:dyDescent="0.35">
      <c r="A676">
        <v>851</v>
      </c>
      <c r="B676">
        <v>57</v>
      </c>
      <c r="C676" t="s">
        <v>40</v>
      </c>
      <c r="D676" t="s">
        <v>66</v>
      </c>
      <c r="E676" t="s">
        <v>42</v>
      </c>
      <c r="F676" t="s">
        <v>43</v>
      </c>
      <c r="G676">
        <v>6</v>
      </c>
      <c r="H676">
        <v>36</v>
      </c>
      <c r="I676">
        <v>5</v>
      </c>
      <c r="J676" t="s">
        <v>50</v>
      </c>
      <c r="K676" t="s">
        <v>46</v>
      </c>
      <c r="L676" t="s">
        <v>71</v>
      </c>
      <c r="M676">
        <v>458.67264169150269</v>
      </c>
      <c r="N676">
        <v>224</v>
      </c>
      <c r="O676">
        <v>178</v>
      </c>
      <c r="P676">
        <v>97</v>
      </c>
      <c r="Q676">
        <v>4.5747109785033828</v>
      </c>
      <c r="R676">
        <v>3.5263605246161616</v>
      </c>
      <c r="S676">
        <v>5.1416635565026603</v>
      </c>
      <c r="T676">
        <v>92.265120976563693</v>
      </c>
      <c r="U676">
        <v>2.9351954657362995</v>
      </c>
      <c r="V676">
        <v>-8.3509539921858403E-2</v>
      </c>
      <c r="W676">
        <v>-8.6188355584626702E-2</v>
      </c>
      <c r="X676">
        <v>-6.2117403422328299E-2</v>
      </c>
      <c r="Y676">
        <v>-0.51135009403950604</v>
      </c>
      <c r="Z676">
        <v>-0.669554030021006</v>
      </c>
      <c r="AA676">
        <v>-1.4915282051312999</v>
      </c>
      <c r="AB676">
        <v>1813.5248996931791</v>
      </c>
      <c r="AC676">
        <v>1.6535284399339156</v>
      </c>
      <c r="AD676">
        <v>0.49421760679726223</v>
      </c>
      <c r="AE676">
        <v>-0.18520258641298501</v>
      </c>
      <c r="AF676">
        <v>5.34997652048044E-2</v>
      </c>
      <c r="AG676">
        <v>0.67862459993208901</v>
      </c>
      <c r="AH676">
        <v>-2.1330526101520002</v>
      </c>
      <c r="AI676">
        <v>-0.84658284434670195</v>
      </c>
      <c r="AJ676">
        <v>8.9979670476195595E-2</v>
      </c>
      <c r="AK676">
        <v>45.071283999999999</v>
      </c>
      <c r="AL676">
        <v>4.8370730000000002</v>
      </c>
      <c r="AM676">
        <v>48.795999999999999</v>
      </c>
      <c r="AN676">
        <v>2.2549999999999999</v>
      </c>
    </row>
    <row r="677" spans="1:40" x14ac:dyDescent="0.35">
      <c r="A677">
        <v>852</v>
      </c>
      <c r="B677">
        <v>42</v>
      </c>
      <c r="C677" t="s">
        <v>40</v>
      </c>
      <c r="D677" t="s">
        <v>66</v>
      </c>
      <c r="E677" t="s">
        <v>42</v>
      </c>
      <c r="F677" t="s">
        <v>61</v>
      </c>
      <c r="G677">
        <v>3</v>
      </c>
      <c r="H677">
        <v>9</v>
      </c>
      <c r="I677">
        <v>5</v>
      </c>
      <c r="J677" t="s">
        <v>50</v>
      </c>
      <c r="K677" t="s">
        <v>46</v>
      </c>
      <c r="L677" t="s">
        <v>59</v>
      </c>
      <c r="M677">
        <v>190.33174110274479</v>
      </c>
      <c r="N677">
        <v>179</v>
      </c>
      <c r="O677">
        <v>130</v>
      </c>
      <c r="P677">
        <v>147</v>
      </c>
      <c r="Q677">
        <v>1.3862943611198906</v>
      </c>
      <c r="R677">
        <v>1.3862943611198906</v>
      </c>
      <c r="S677">
        <v>4.9972122737641147</v>
      </c>
      <c r="T677">
        <v>90.035146103896111</v>
      </c>
      <c r="U677">
        <v>1.418823059726001</v>
      </c>
      <c r="V677">
        <v>-0.52223564926899602</v>
      </c>
      <c r="W677">
        <v>-0.46072710968150399</v>
      </c>
      <c r="X677">
        <v>-0.361786268345754</v>
      </c>
      <c r="Y677">
        <v>-0.552694479448822</v>
      </c>
      <c r="Z677">
        <v>2.1676297177028899E-2</v>
      </c>
      <c r="AA677">
        <v>0.625223797005378</v>
      </c>
      <c r="AB677">
        <v>2234.6992515788952</v>
      </c>
      <c r="AC677">
        <v>0</v>
      </c>
      <c r="AD677">
        <v>0.12112735591028891</v>
      </c>
      <c r="AE677">
        <v>-0.60610368582010199</v>
      </c>
      <c r="AF677">
        <v>1.26955868691056</v>
      </c>
      <c r="AG677">
        <v>1.1278026502743901</v>
      </c>
      <c r="AH677">
        <v>0.888858120675032</v>
      </c>
      <c r="AI677">
        <v>0.52818126327408799</v>
      </c>
      <c r="AJ677">
        <v>0.89855085017824698</v>
      </c>
      <c r="AK677">
        <v>47.411035099999999</v>
      </c>
      <c r="AL677">
        <v>0.98369799999999996</v>
      </c>
      <c r="AM677">
        <v>48.856372813999997</v>
      </c>
      <c r="AN677">
        <v>2.3525296170000001</v>
      </c>
    </row>
    <row r="678" spans="1:40" x14ac:dyDescent="0.35">
      <c r="A678">
        <v>853</v>
      </c>
      <c r="B678">
        <v>42</v>
      </c>
      <c r="C678" t="s">
        <v>40</v>
      </c>
      <c r="D678" t="s">
        <v>66</v>
      </c>
      <c r="E678" t="s">
        <v>42</v>
      </c>
      <c r="F678" t="s">
        <v>61</v>
      </c>
      <c r="G678">
        <v>4</v>
      </c>
      <c r="H678">
        <v>16</v>
      </c>
      <c r="I678">
        <v>2</v>
      </c>
      <c r="J678" t="s">
        <v>45</v>
      </c>
      <c r="K678" t="s">
        <v>46</v>
      </c>
      <c r="L678" t="s">
        <v>62</v>
      </c>
      <c r="M678">
        <v>163.26975029511721</v>
      </c>
      <c r="N678">
        <v>692</v>
      </c>
      <c r="O678">
        <v>443</v>
      </c>
      <c r="P678">
        <v>291</v>
      </c>
      <c r="Q678">
        <v>0.69314718055994529</v>
      </c>
      <c r="R678">
        <v>3.2580965380214821</v>
      </c>
      <c r="S678">
        <v>3.2580965380214821</v>
      </c>
      <c r="T678">
        <v>95.68</v>
      </c>
      <c r="U678">
        <v>0</v>
      </c>
      <c r="V678">
        <v>1.82802042479695</v>
      </c>
      <c r="W678">
        <v>0.99424279543483596</v>
      </c>
      <c r="X678">
        <v>0.99177342203587404</v>
      </c>
      <c r="Y678">
        <v>-0.96278755162326501</v>
      </c>
      <c r="Z678">
        <v>-0.75605764486205096</v>
      </c>
      <c r="AA678">
        <v>-0.80037586101695801</v>
      </c>
      <c r="AB678">
        <v>2092.91</v>
      </c>
      <c r="AC678">
        <v>0</v>
      </c>
      <c r="AD678">
        <v>2.1</v>
      </c>
      <c r="AE678">
        <v>-1.0768626388726401</v>
      </c>
      <c r="AF678">
        <v>-0.76515878155297401</v>
      </c>
      <c r="AG678">
        <v>0.97519858183580799</v>
      </c>
      <c r="AH678">
        <v>-3.05421270385715</v>
      </c>
      <c r="AI678">
        <v>-1.3541004722445</v>
      </c>
      <c r="AJ678">
        <v>-0.95801131306029697</v>
      </c>
      <c r="AK678">
        <v>49.042560999999999</v>
      </c>
      <c r="AL678">
        <v>3.9528660000000002</v>
      </c>
      <c r="AM678">
        <v>49.078142857142858</v>
      </c>
      <c r="AN678">
        <v>1.7151428571428571</v>
      </c>
    </row>
    <row r="679" spans="1:40" x14ac:dyDescent="0.35">
      <c r="A679">
        <v>854</v>
      </c>
      <c r="B679">
        <v>57</v>
      </c>
      <c r="C679" t="s">
        <v>40</v>
      </c>
      <c r="D679" t="s">
        <v>41</v>
      </c>
      <c r="E679" t="s">
        <v>42</v>
      </c>
      <c r="F679" t="s">
        <v>61</v>
      </c>
      <c r="G679">
        <v>5</v>
      </c>
      <c r="H679">
        <v>25</v>
      </c>
      <c r="I679">
        <v>6</v>
      </c>
      <c r="J679" t="s">
        <v>50</v>
      </c>
      <c r="K679" t="s">
        <v>46</v>
      </c>
      <c r="L679" t="s">
        <v>60</v>
      </c>
      <c r="M679">
        <v>563.96936292475152</v>
      </c>
      <c r="N679">
        <v>225</v>
      </c>
      <c r="O679">
        <v>165</v>
      </c>
      <c r="P679">
        <v>139</v>
      </c>
      <c r="Q679">
        <v>3.8501476017100584</v>
      </c>
      <c r="R679">
        <v>2.9957322735539909</v>
      </c>
      <c r="S679">
        <v>5.4424177105217932</v>
      </c>
      <c r="T679">
        <v>88.975873222691746</v>
      </c>
      <c r="U679">
        <v>2.5514539469641888</v>
      </c>
      <c r="V679">
        <v>2.9336799326863701</v>
      </c>
      <c r="W679">
        <v>3.3730943146768602</v>
      </c>
      <c r="X679">
        <v>3.6072071704345601</v>
      </c>
      <c r="Y679">
        <v>-0.19189497559235799</v>
      </c>
      <c r="Z679">
        <v>0.17569111512999699</v>
      </c>
      <c r="AA679">
        <v>-0.304970615080496</v>
      </c>
      <c r="AB679">
        <v>1906.836709612184</v>
      </c>
      <c r="AC679">
        <v>0.7978420820676605</v>
      </c>
      <c r="AD679">
        <v>2.1056638128240834</v>
      </c>
      <c r="AE679">
        <v>-0.25037207080954499</v>
      </c>
      <c r="AF679">
        <v>-0.850122373938202</v>
      </c>
      <c r="AG679">
        <v>0.98098813401727103</v>
      </c>
      <c r="AH679">
        <v>1.1060171447016101</v>
      </c>
      <c r="AI679">
        <v>0.30835313504066397</v>
      </c>
      <c r="AJ679">
        <v>0.32500569518618599</v>
      </c>
      <c r="AK679">
        <v>44.055988999999997</v>
      </c>
      <c r="AL679">
        <v>4.8317350000000001</v>
      </c>
      <c r="AM679">
        <v>48.847000000000001</v>
      </c>
      <c r="AN679">
        <v>2.4380000000000002</v>
      </c>
    </row>
    <row r="680" spans="1:40" x14ac:dyDescent="0.35">
      <c r="A680">
        <v>856</v>
      </c>
      <c r="B680">
        <v>42</v>
      </c>
      <c r="C680" t="s">
        <v>40</v>
      </c>
      <c r="D680" t="s">
        <v>41</v>
      </c>
      <c r="E680" t="s">
        <v>42</v>
      </c>
      <c r="F680" t="s">
        <v>43</v>
      </c>
      <c r="G680">
        <v>6</v>
      </c>
      <c r="H680">
        <v>36</v>
      </c>
      <c r="I680">
        <v>6</v>
      </c>
      <c r="J680" t="s">
        <v>50</v>
      </c>
      <c r="K680" t="s">
        <v>46</v>
      </c>
      <c r="L680" t="s">
        <v>59</v>
      </c>
      <c r="M680">
        <v>187.7443311008945</v>
      </c>
      <c r="N680">
        <v>581</v>
      </c>
      <c r="O680">
        <v>359</v>
      </c>
      <c r="P680">
        <v>365</v>
      </c>
      <c r="Q680">
        <v>1.3862943611198906</v>
      </c>
      <c r="R680">
        <v>1.3862943611198906</v>
      </c>
      <c r="S680">
        <v>4.9972122737641147</v>
      </c>
      <c r="T680">
        <v>90.035146103896111</v>
      </c>
      <c r="U680">
        <v>1.418823059726001</v>
      </c>
      <c r="V680">
        <v>-0.52223564926899602</v>
      </c>
      <c r="W680">
        <v>-0.46072710968150399</v>
      </c>
      <c r="X680">
        <v>-0.361786268345754</v>
      </c>
      <c r="Y680">
        <v>-0.552694479448822</v>
      </c>
      <c r="Z680">
        <v>2.1676297177028899E-2</v>
      </c>
      <c r="AA680">
        <v>0.625223797005378</v>
      </c>
      <c r="AB680">
        <v>2234.6992515788952</v>
      </c>
      <c r="AC680">
        <v>0</v>
      </c>
      <c r="AD680">
        <v>0.12112735591028891</v>
      </c>
      <c r="AE680">
        <v>-0.60610368582010199</v>
      </c>
      <c r="AF680">
        <v>-0.22527452190660999</v>
      </c>
      <c r="AG680">
        <v>-0.75758382961889703</v>
      </c>
      <c r="AH680">
        <v>0.92429181407548799</v>
      </c>
      <c r="AI680">
        <v>-0.90288812767233195</v>
      </c>
      <c r="AJ680">
        <v>-0.61398124034683998</v>
      </c>
      <c r="AK680">
        <v>47.411035099999999</v>
      </c>
      <c r="AL680">
        <v>0.98369799999999996</v>
      </c>
      <c r="AM680">
        <v>48.813000000000002</v>
      </c>
      <c r="AN680">
        <v>2.3879999999999999</v>
      </c>
    </row>
    <row r="681" spans="1:40" x14ac:dyDescent="0.35">
      <c r="A681">
        <v>857</v>
      </c>
      <c r="B681">
        <v>57</v>
      </c>
      <c r="C681" t="s">
        <v>48</v>
      </c>
      <c r="D681" t="s">
        <v>52</v>
      </c>
      <c r="E681" t="s">
        <v>42</v>
      </c>
      <c r="F681" t="s">
        <v>49</v>
      </c>
      <c r="G681">
        <v>4</v>
      </c>
      <c r="H681">
        <v>16</v>
      </c>
      <c r="I681">
        <v>5</v>
      </c>
      <c r="J681" t="s">
        <v>50</v>
      </c>
      <c r="K681" t="s">
        <v>46</v>
      </c>
      <c r="L681" t="s">
        <v>72</v>
      </c>
      <c r="M681">
        <v>498.45273786460592</v>
      </c>
      <c r="N681">
        <v>23</v>
      </c>
      <c r="O681">
        <v>30</v>
      </c>
      <c r="P681">
        <v>21</v>
      </c>
      <c r="Q681">
        <v>0.69314718055994529</v>
      </c>
      <c r="R681">
        <v>1.3862943611198906</v>
      </c>
      <c r="S681">
        <v>4.5538768916005408</v>
      </c>
      <c r="T681">
        <v>89.340161030595823</v>
      </c>
      <c r="U681">
        <v>1.4712304197281412</v>
      </c>
      <c r="V681">
        <v>0.59716251398508702</v>
      </c>
      <c r="W681">
        <v>0.91068296986709796</v>
      </c>
      <c r="X681">
        <v>1.2273243988355</v>
      </c>
      <c r="Y681">
        <v>-0.4121809470949</v>
      </c>
      <c r="Z681">
        <v>-0.86472582726521097</v>
      </c>
      <c r="AA681">
        <v>-1.0172779374790899</v>
      </c>
      <c r="AB681">
        <v>1828.1689246701658</v>
      </c>
      <c r="AC681">
        <v>1.1127464888636687</v>
      </c>
      <c r="AD681">
        <v>1.8630656830756136</v>
      </c>
      <c r="AE681">
        <v>-0.53926882203722504</v>
      </c>
      <c r="AF681">
        <v>-1.0252640015877399</v>
      </c>
      <c r="AG681">
        <v>0.77767866609769798</v>
      </c>
      <c r="AH681">
        <v>0.45434721709655801</v>
      </c>
      <c r="AI681">
        <v>-0.23468060249980799</v>
      </c>
      <c r="AJ681">
        <v>0.94272770312480403</v>
      </c>
      <c r="AK681">
        <v>44.503641999999999</v>
      </c>
      <c r="AL681">
        <v>1.1863669999999999</v>
      </c>
      <c r="AM681">
        <v>48.922000000000004</v>
      </c>
      <c r="AN681">
        <v>2.2469999999999999</v>
      </c>
    </row>
    <row r="682" spans="1:40" x14ac:dyDescent="0.35">
      <c r="A682">
        <v>860</v>
      </c>
      <c r="B682">
        <v>42</v>
      </c>
      <c r="C682" t="s">
        <v>48</v>
      </c>
      <c r="D682" t="s">
        <v>41</v>
      </c>
      <c r="E682" t="s">
        <v>42</v>
      </c>
      <c r="F682" t="s">
        <v>53</v>
      </c>
      <c r="G682">
        <v>3</v>
      </c>
      <c r="H682">
        <v>9</v>
      </c>
      <c r="I682">
        <v>3</v>
      </c>
      <c r="J682" t="s">
        <v>56</v>
      </c>
      <c r="K682" t="s">
        <v>46</v>
      </c>
      <c r="L682" t="s">
        <v>59</v>
      </c>
      <c r="M682">
        <v>21.717183945850181</v>
      </c>
      <c r="N682">
        <v>405</v>
      </c>
      <c r="O682">
        <v>256</v>
      </c>
      <c r="P682">
        <v>185</v>
      </c>
      <c r="Q682">
        <v>1.3862943611198906</v>
      </c>
      <c r="R682">
        <v>1.3862943611198906</v>
      </c>
      <c r="S682">
        <v>4.9972122737641147</v>
      </c>
      <c r="T682">
        <v>90.035146103896111</v>
      </c>
      <c r="U682">
        <v>1.418823059726001</v>
      </c>
      <c r="V682">
        <v>-0.52223564926899602</v>
      </c>
      <c r="W682">
        <v>-0.46072710968150399</v>
      </c>
      <c r="X682">
        <v>-0.361786268345754</v>
      </c>
      <c r="Y682">
        <v>-0.552694479448822</v>
      </c>
      <c r="Z682">
        <v>2.1676297177028899E-2</v>
      </c>
      <c r="AA682">
        <v>0.625223797005378</v>
      </c>
      <c r="AB682">
        <v>2234.6992515788952</v>
      </c>
      <c r="AC682">
        <v>0</v>
      </c>
      <c r="AD682">
        <v>0.12112735591028891</v>
      </c>
      <c r="AE682">
        <v>-0.60610368582010199</v>
      </c>
      <c r="AF682">
        <v>-8.8819749796473293E-2</v>
      </c>
      <c r="AG682">
        <v>-1.44981190374182</v>
      </c>
      <c r="AH682">
        <v>0.488967121695778</v>
      </c>
      <c r="AI682">
        <v>0.42942718833504501</v>
      </c>
      <c r="AJ682">
        <v>-1.23364489875298</v>
      </c>
      <c r="AK682">
        <v>47.411035099999999</v>
      </c>
      <c r="AL682">
        <v>0.98369799999999996</v>
      </c>
      <c r="AM682">
        <v>47.399000000000001</v>
      </c>
      <c r="AN682">
        <v>0.69599999999999995</v>
      </c>
    </row>
    <row r="683" spans="1:40" x14ac:dyDescent="0.35">
      <c r="A683">
        <v>861</v>
      </c>
      <c r="B683">
        <v>57</v>
      </c>
      <c r="C683" t="s">
        <v>40</v>
      </c>
      <c r="D683" t="s">
        <v>41</v>
      </c>
      <c r="E683" t="s">
        <v>42</v>
      </c>
      <c r="F683" t="s">
        <v>61</v>
      </c>
      <c r="G683">
        <v>4</v>
      </c>
      <c r="H683">
        <v>16</v>
      </c>
      <c r="I683">
        <v>4</v>
      </c>
      <c r="J683" t="s">
        <v>50</v>
      </c>
      <c r="K683" t="s">
        <v>46</v>
      </c>
      <c r="L683" t="s">
        <v>75</v>
      </c>
      <c r="M683">
        <v>334.79039592227753</v>
      </c>
      <c r="N683">
        <v>800</v>
      </c>
      <c r="O683">
        <v>430</v>
      </c>
      <c r="P683">
        <v>309</v>
      </c>
      <c r="Q683">
        <v>0</v>
      </c>
      <c r="R683">
        <v>0</v>
      </c>
      <c r="S683">
        <v>3.5553480614894135</v>
      </c>
      <c r="T683">
        <v>87.721111111111114</v>
      </c>
      <c r="U683">
        <v>1.8185946276597997</v>
      </c>
      <c r="V683">
        <v>-1.01058566247205</v>
      </c>
      <c r="W683">
        <v>-0.72487722485772399</v>
      </c>
      <c r="X683">
        <v>-0.83814251792544203</v>
      </c>
      <c r="Y683">
        <v>0.643019057251217</v>
      </c>
      <c r="Z683">
        <v>0.97010361819212798</v>
      </c>
      <c r="AA683">
        <v>-1.0557286875948499</v>
      </c>
      <c r="AB683">
        <v>4179</v>
      </c>
      <c r="AC683">
        <v>0</v>
      </c>
      <c r="AD683">
        <v>0</v>
      </c>
      <c r="AE683">
        <v>0.59808311135132897</v>
      </c>
      <c r="AF683">
        <v>-1.0619504716702599</v>
      </c>
      <c r="AG683">
        <v>-1.1002666838953701</v>
      </c>
      <c r="AH683">
        <v>0.86933189342527994</v>
      </c>
      <c r="AI683">
        <v>-0.32155206360071398</v>
      </c>
      <c r="AJ683">
        <v>0.36933444150071398</v>
      </c>
      <c r="AK683">
        <v>47.087721999999999</v>
      </c>
      <c r="AL683">
        <v>-1.2817419999999999</v>
      </c>
      <c r="AM683">
        <v>48.856372813999997</v>
      </c>
      <c r="AN683">
        <v>2.3525296170000001</v>
      </c>
    </row>
    <row r="684" spans="1:40" x14ac:dyDescent="0.35">
      <c r="A684">
        <v>862</v>
      </c>
      <c r="B684">
        <v>42</v>
      </c>
      <c r="C684" t="s">
        <v>40</v>
      </c>
      <c r="D684" t="s">
        <v>41</v>
      </c>
      <c r="E684" t="s">
        <v>68</v>
      </c>
      <c r="F684" t="s">
        <v>49</v>
      </c>
      <c r="G684">
        <v>4</v>
      </c>
      <c r="H684">
        <v>16</v>
      </c>
      <c r="I684">
        <v>5</v>
      </c>
      <c r="J684" t="s">
        <v>50</v>
      </c>
      <c r="K684" t="s">
        <v>46</v>
      </c>
      <c r="L684" t="s">
        <v>71</v>
      </c>
      <c r="M684">
        <v>620.12150946097211</v>
      </c>
      <c r="N684">
        <v>214</v>
      </c>
      <c r="O684">
        <v>150</v>
      </c>
      <c r="P684">
        <v>145</v>
      </c>
      <c r="Q684">
        <v>4.5747109785033828</v>
      </c>
      <c r="R684">
        <v>3.5263605246161616</v>
      </c>
      <c r="S684">
        <v>5.1416635565026603</v>
      </c>
      <c r="T684">
        <v>92.265120976563693</v>
      </c>
      <c r="U684">
        <v>2.9351954657362995</v>
      </c>
      <c r="V684">
        <v>-8.3509539921858403E-2</v>
      </c>
      <c r="W684">
        <v>-8.6188355584626702E-2</v>
      </c>
      <c r="X684">
        <v>-6.2117403422328299E-2</v>
      </c>
      <c r="Y684">
        <v>-0.51135009403950604</v>
      </c>
      <c r="Z684">
        <v>-0.669554030021006</v>
      </c>
      <c r="AA684">
        <v>-1.4915282051312999</v>
      </c>
      <c r="AB684">
        <v>1813.5248996931791</v>
      </c>
      <c r="AC684">
        <v>1.6535284399339156</v>
      </c>
      <c r="AD684">
        <v>0.49421760679726223</v>
      </c>
      <c r="AE684">
        <v>-0.18520258641298501</v>
      </c>
      <c r="AF684">
        <v>1.33842734929836</v>
      </c>
      <c r="AG684">
        <v>-1.0930312177318799</v>
      </c>
      <c r="AH684">
        <v>0.67966289138950797</v>
      </c>
      <c r="AI684">
        <v>-0.81733018402061897</v>
      </c>
      <c r="AJ684">
        <v>-0.50691884281090005</v>
      </c>
      <c r="AK684">
        <v>45.071283999999999</v>
      </c>
      <c r="AL684">
        <v>4.8370730000000002</v>
      </c>
      <c r="AM684">
        <v>50.640682937000001</v>
      </c>
      <c r="AN684">
        <v>4.6610704270000003</v>
      </c>
    </row>
    <row r="685" spans="1:40" x14ac:dyDescent="0.35">
      <c r="A685">
        <v>863</v>
      </c>
      <c r="B685">
        <v>42</v>
      </c>
      <c r="C685" t="s">
        <v>48</v>
      </c>
      <c r="D685" t="s">
        <v>41</v>
      </c>
      <c r="E685" t="s">
        <v>42</v>
      </c>
      <c r="F685" t="s">
        <v>49</v>
      </c>
      <c r="G685">
        <v>5</v>
      </c>
      <c r="H685">
        <v>25</v>
      </c>
      <c r="I685">
        <v>6</v>
      </c>
      <c r="J685" t="s">
        <v>50</v>
      </c>
      <c r="K685" t="s">
        <v>46</v>
      </c>
      <c r="L685" t="s">
        <v>76</v>
      </c>
      <c r="M685">
        <v>181.054332954215</v>
      </c>
      <c r="N685">
        <v>143</v>
      </c>
      <c r="O685">
        <v>100</v>
      </c>
      <c r="P685">
        <v>80</v>
      </c>
      <c r="Q685">
        <v>0</v>
      </c>
      <c r="R685">
        <v>1.0986122886681098</v>
      </c>
      <c r="S685">
        <v>4.1588830833596715</v>
      </c>
      <c r="T685">
        <v>91.226666666666674</v>
      </c>
      <c r="U685">
        <v>1.418823059726001</v>
      </c>
      <c r="V685">
        <v>-0.39095273818515502</v>
      </c>
      <c r="W685">
        <v>-0.53446083104759001</v>
      </c>
      <c r="X685">
        <v>-0.40804429067029002</v>
      </c>
      <c r="Y685">
        <v>-0.56789545922357498</v>
      </c>
      <c r="Z685">
        <v>-0.94760790482486201</v>
      </c>
      <c r="AA685">
        <v>-1.0848673571571601</v>
      </c>
      <c r="AB685">
        <v>1770.5103102717287</v>
      </c>
      <c r="AC685">
        <v>0.28213528618230871</v>
      </c>
      <c r="AD685">
        <v>1.7130468298323378</v>
      </c>
      <c r="AE685">
        <v>-1.13486126839574</v>
      </c>
      <c r="AF685">
        <v>0.73511822436944585</v>
      </c>
      <c r="AG685">
        <v>0.25532798029195253</v>
      </c>
      <c r="AH685">
        <v>-8.663963160928724E-2</v>
      </c>
      <c r="AI685">
        <v>0.75307030890690396</v>
      </c>
      <c r="AJ685">
        <v>0.17884623225249099</v>
      </c>
      <c r="AK685">
        <v>47.330690599999997</v>
      </c>
      <c r="AL685">
        <v>2.8390453999999998</v>
      </c>
      <c r="AM685">
        <v>48.915000000000006</v>
      </c>
      <c r="AN685">
        <v>2.2879999999999998</v>
      </c>
    </row>
    <row r="686" spans="1:40" x14ac:dyDescent="0.35">
      <c r="A686">
        <v>865</v>
      </c>
      <c r="B686">
        <v>29.5</v>
      </c>
      <c r="C686" t="s">
        <v>48</v>
      </c>
      <c r="D686" t="s">
        <v>41</v>
      </c>
      <c r="E686" t="s">
        <v>42</v>
      </c>
      <c r="F686" t="s">
        <v>43</v>
      </c>
      <c r="G686">
        <v>2</v>
      </c>
      <c r="H686">
        <v>4</v>
      </c>
      <c r="I686">
        <v>5</v>
      </c>
      <c r="J686" t="s">
        <v>50</v>
      </c>
      <c r="K686" t="s">
        <v>46</v>
      </c>
      <c r="L686" t="s">
        <v>62</v>
      </c>
      <c r="M686">
        <v>118.81389814254101</v>
      </c>
      <c r="N686">
        <v>752</v>
      </c>
      <c r="O686">
        <v>457</v>
      </c>
      <c r="P686">
        <v>323</v>
      </c>
      <c r="Q686">
        <v>0.69314718055994529</v>
      </c>
      <c r="R686">
        <v>3.2580965380214821</v>
      </c>
      <c r="S686">
        <v>3.2580965380214821</v>
      </c>
      <c r="T686">
        <v>95.68</v>
      </c>
      <c r="U686">
        <v>0</v>
      </c>
      <c r="V686">
        <v>1.82802042479695</v>
      </c>
      <c r="W686">
        <v>0.99424279543483596</v>
      </c>
      <c r="X686">
        <v>0.99177342203587404</v>
      </c>
      <c r="Y686">
        <v>-0.96278755162326501</v>
      </c>
      <c r="Z686">
        <v>-0.75605764486205096</v>
      </c>
      <c r="AA686">
        <v>-0.80037586101695801</v>
      </c>
      <c r="AB686">
        <v>2092.91</v>
      </c>
      <c r="AC686">
        <v>0</v>
      </c>
      <c r="AD686">
        <v>2.1</v>
      </c>
      <c r="AE686">
        <v>-1.0768626388726401</v>
      </c>
      <c r="AF686">
        <v>-0.93096849018452199</v>
      </c>
      <c r="AG686">
        <v>1.46848097285539</v>
      </c>
      <c r="AH686">
        <v>-0.3411317522972</v>
      </c>
      <c r="AI686">
        <v>-0.21955260372673699</v>
      </c>
      <c r="AJ686">
        <v>0.308106246950551</v>
      </c>
      <c r="AK686">
        <v>49.042560999999999</v>
      </c>
      <c r="AL686">
        <v>3.9528660000000002</v>
      </c>
      <c r="AM686">
        <v>48.856372813999997</v>
      </c>
      <c r="AN686">
        <v>2.3525296170000001</v>
      </c>
    </row>
    <row r="687" spans="1:40" x14ac:dyDescent="0.35">
      <c r="A687">
        <v>867</v>
      </c>
      <c r="B687">
        <v>72</v>
      </c>
      <c r="C687" t="s">
        <v>40</v>
      </c>
      <c r="D687" t="s">
        <v>52</v>
      </c>
      <c r="E687" t="s">
        <v>42</v>
      </c>
      <c r="F687" t="s">
        <v>43</v>
      </c>
      <c r="G687">
        <v>7</v>
      </c>
      <c r="H687">
        <v>49</v>
      </c>
      <c r="I687">
        <v>4</v>
      </c>
      <c r="J687" t="s">
        <v>56</v>
      </c>
      <c r="K687" t="s">
        <v>46</v>
      </c>
      <c r="L687" t="s">
        <v>47</v>
      </c>
      <c r="M687">
        <v>632.71842578377561</v>
      </c>
      <c r="N687">
        <v>492</v>
      </c>
      <c r="O687">
        <v>357</v>
      </c>
      <c r="P687">
        <v>146</v>
      </c>
      <c r="Q687">
        <v>5.9107966440405271</v>
      </c>
      <c r="R687">
        <v>6.4997870406558542</v>
      </c>
      <c r="S687">
        <v>8.6415324656718457</v>
      </c>
      <c r="T687">
        <v>89.265350482850479</v>
      </c>
      <c r="U687">
        <v>1.4417786561042019</v>
      </c>
      <c r="V687">
        <v>-0.22886708829074301</v>
      </c>
      <c r="W687">
        <v>0.28745285629339301</v>
      </c>
      <c r="X687">
        <v>-0.15627425222847</v>
      </c>
      <c r="Y687">
        <v>1.45226138127617</v>
      </c>
      <c r="Z687">
        <v>0.98247225355557</v>
      </c>
      <c r="AA687">
        <v>0.627775520474398</v>
      </c>
      <c r="AB687">
        <v>3362.2959371744532</v>
      </c>
      <c r="AC687">
        <v>2.8998317172850387</v>
      </c>
      <c r="AD687">
        <v>2.9499158586425196</v>
      </c>
      <c r="AE687">
        <v>1.06273170356322</v>
      </c>
      <c r="AF687">
        <v>-2.2889435864352499</v>
      </c>
      <c r="AG687">
        <v>-1.0077734049809499</v>
      </c>
      <c r="AH687">
        <v>-1.6388455789071401</v>
      </c>
      <c r="AI687">
        <v>-3.7199991281646199</v>
      </c>
      <c r="AJ687">
        <v>-2.3202651497893099</v>
      </c>
      <c r="AK687">
        <v>43.3535629403058</v>
      </c>
      <c r="AL687">
        <v>3.21615314793977</v>
      </c>
      <c r="AM687">
        <v>48.978999999999999</v>
      </c>
      <c r="AN687">
        <v>2.0409999999999999</v>
      </c>
    </row>
    <row r="688" spans="1:40" x14ac:dyDescent="0.35">
      <c r="A688">
        <v>868</v>
      </c>
      <c r="B688">
        <v>42</v>
      </c>
      <c r="C688" t="s">
        <v>40</v>
      </c>
      <c r="D688" t="s">
        <v>41</v>
      </c>
      <c r="E688" t="s">
        <v>42</v>
      </c>
      <c r="F688" t="s">
        <v>61</v>
      </c>
      <c r="G688">
        <v>5</v>
      </c>
      <c r="H688">
        <v>25</v>
      </c>
      <c r="I688">
        <v>5</v>
      </c>
      <c r="J688" t="s">
        <v>50</v>
      </c>
      <c r="K688" t="s">
        <v>46</v>
      </c>
      <c r="L688" t="s">
        <v>55</v>
      </c>
      <c r="M688">
        <v>379.40698391777141</v>
      </c>
      <c r="N688">
        <v>292</v>
      </c>
      <c r="O688">
        <v>207</v>
      </c>
      <c r="P688">
        <v>259</v>
      </c>
      <c r="Q688">
        <v>2.0794415416798357</v>
      </c>
      <c r="R688">
        <v>2.3025850929940459</v>
      </c>
      <c r="S688">
        <v>3.2580965380214821</v>
      </c>
      <c r="T688">
        <v>95.12</v>
      </c>
      <c r="U688">
        <v>0</v>
      </c>
      <c r="V688">
        <v>1.89305099905856</v>
      </c>
      <c r="W688">
        <v>0.59880690621441701</v>
      </c>
      <c r="X688">
        <v>1.1856460040685599</v>
      </c>
      <c r="Y688">
        <v>-0.15565097555555901</v>
      </c>
      <c r="Z688">
        <v>-0.22748295097212001</v>
      </c>
      <c r="AA688">
        <v>1.0415013010201299</v>
      </c>
      <c r="AB688">
        <v>2939.9504036908884</v>
      </c>
      <c r="AC688">
        <v>2</v>
      </c>
      <c r="AD688">
        <v>0.42868127643214149</v>
      </c>
      <c r="AE688">
        <v>-2.40641039566141E-2</v>
      </c>
      <c r="AF688">
        <v>-0.239615175760235</v>
      </c>
      <c r="AG688">
        <v>0.77491195670726798</v>
      </c>
      <c r="AH688">
        <v>0.64970043937458499</v>
      </c>
      <c r="AI688">
        <v>8.3220036236636305E-2</v>
      </c>
      <c r="AJ688">
        <v>7.5715702657958905E-2</v>
      </c>
      <c r="AK688">
        <v>48.0777517</v>
      </c>
      <c r="AL688">
        <v>7.3579641000000002</v>
      </c>
      <c r="AM688">
        <v>48.856372813999997</v>
      </c>
      <c r="AN688">
        <v>2.3525296170000001</v>
      </c>
    </row>
    <row r="689" spans="1:40" x14ac:dyDescent="0.35">
      <c r="A689">
        <v>869</v>
      </c>
      <c r="B689">
        <v>72</v>
      </c>
      <c r="C689" t="s">
        <v>40</v>
      </c>
      <c r="D689" t="s">
        <v>52</v>
      </c>
      <c r="E689" t="s">
        <v>42</v>
      </c>
      <c r="F689" t="s">
        <v>49</v>
      </c>
      <c r="G689">
        <v>4</v>
      </c>
      <c r="H689">
        <v>16</v>
      </c>
      <c r="I689">
        <v>3</v>
      </c>
      <c r="J689" t="s">
        <v>56</v>
      </c>
      <c r="K689" t="s">
        <v>46</v>
      </c>
      <c r="L689" t="s">
        <v>76</v>
      </c>
      <c r="M689">
        <v>208.314740263663</v>
      </c>
      <c r="N689">
        <v>692</v>
      </c>
      <c r="O689">
        <v>558</v>
      </c>
      <c r="P689">
        <v>836</v>
      </c>
      <c r="Q689">
        <v>0</v>
      </c>
      <c r="R689">
        <v>1.0986122886681098</v>
      </c>
      <c r="S689">
        <v>4.1588830833596715</v>
      </c>
      <c r="T689">
        <v>91.226666666666674</v>
      </c>
      <c r="U689">
        <v>1.418823059726001</v>
      </c>
      <c r="V689">
        <v>-0.39095273818515502</v>
      </c>
      <c r="W689">
        <v>-0.53446083104759001</v>
      </c>
      <c r="X689">
        <v>-0.40804429067029002</v>
      </c>
      <c r="Y689">
        <v>-0.56789545922357498</v>
      </c>
      <c r="Z689">
        <v>-0.94760790482486201</v>
      </c>
      <c r="AA689">
        <v>-1.0848673571571601</v>
      </c>
      <c r="AB689">
        <v>1770.5103102717287</v>
      </c>
      <c r="AC689">
        <v>0.28213528618230871</v>
      </c>
      <c r="AD689">
        <v>1.7130468298323378</v>
      </c>
      <c r="AE689">
        <v>-1.13486126839574</v>
      </c>
      <c r="AF689">
        <v>-1.5001300345703199</v>
      </c>
      <c r="AG689">
        <v>-2.67292742163874</v>
      </c>
      <c r="AH689">
        <v>1.5370880009221799</v>
      </c>
      <c r="AI689">
        <v>0.52091787171732296</v>
      </c>
      <c r="AJ689">
        <v>1.3622251846325</v>
      </c>
      <c r="AK689">
        <v>47.330690599999997</v>
      </c>
      <c r="AL689">
        <v>2.8390453999999998</v>
      </c>
      <c r="AM689">
        <v>49.195999999999998</v>
      </c>
      <c r="AN689">
        <v>2.6138181818181816</v>
      </c>
    </row>
    <row r="690" spans="1:40" x14ac:dyDescent="0.35">
      <c r="A690">
        <v>870</v>
      </c>
      <c r="B690">
        <v>57</v>
      </c>
      <c r="C690" t="s">
        <v>40</v>
      </c>
      <c r="D690" t="s">
        <v>66</v>
      </c>
      <c r="E690" t="s">
        <v>42</v>
      </c>
      <c r="F690" t="s">
        <v>43</v>
      </c>
      <c r="G690">
        <v>4</v>
      </c>
      <c r="H690">
        <v>16</v>
      </c>
      <c r="I690">
        <v>3</v>
      </c>
      <c r="J690" t="s">
        <v>45</v>
      </c>
      <c r="K690" t="s">
        <v>46</v>
      </c>
      <c r="L690" t="s">
        <v>47</v>
      </c>
      <c r="M690">
        <v>527.69277745729323</v>
      </c>
      <c r="N690">
        <v>869</v>
      </c>
      <c r="O690">
        <v>423</v>
      </c>
      <c r="P690">
        <v>323</v>
      </c>
      <c r="Q690">
        <v>5.9107966440405271</v>
      </c>
      <c r="R690">
        <v>6.4997870406558542</v>
      </c>
      <c r="S690">
        <v>8.6415324656718457</v>
      </c>
      <c r="T690">
        <v>89.265350482850479</v>
      </c>
      <c r="U690">
        <v>1.4417786561042019</v>
      </c>
      <c r="V690">
        <v>-0.22886708829074301</v>
      </c>
      <c r="W690">
        <v>0.28745285629339301</v>
      </c>
      <c r="X690">
        <v>-0.15627425222847</v>
      </c>
      <c r="Y690">
        <v>1.45226138127617</v>
      </c>
      <c r="Z690">
        <v>0.98247225355557</v>
      </c>
      <c r="AA690">
        <v>0.627775520474398</v>
      </c>
      <c r="AB690">
        <v>3362.2959371744532</v>
      </c>
      <c r="AC690">
        <v>2.8998317172850387</v>
      </c>
      <c r="AD690">
        <v>2.9499158586425196</v>
      </c>
      <c r="AE690">
        <v>1.06273170356322</v>
      </c>
      <c r="AF690">
        <v>1.2339770563669299</v>
      </c>
      <c r="AG690">
        <v>0.23553066279255899</v>
      </c>
      <c r="AH690">
        <v>0.90920988257820901</v>
      </c>
      <c r="AI690">
        <v>0.59098494300981597</v>
      </c>
      <c r="AJ690">
        <v>0.178034326689023</v>
      </c>
      <c r="AK690">
        <v>43.3535629403058</v>
      </c>
      <c r="AL690">
        <v>3.21615314793977</v>
      </c>
      <c r="AM690">
        <v>46.610700000000001</v>
      </c>
      <c r="AN690">
        <v>-1.6564000000000001</v>
      </c>
    </row>
    <row r="691" spans="1:40" x14ac:dyDescent="0.35">
      <c r="A691">
        <v>871</v>
      </c>
      <c r="B691">
        <v>57</v>
      </c>
      <c r="C691" t="s">
        <v>40</v>
      </c>
      <c r="D691" t="s">
        <v>41</v>
      </c>
      <c r="E691" t="s">
        <v>42</v>
      </c>
      <c r="F691" t="s">
        <v>49</v>
      </c>
      <c r="G691">
        <v>5</v>
      </c>
      <c r="H691">
        <v>25</v>
      </c>
      <c r="I691">
        <v>5</v>
      </c>
      <c r="J691" t="s">
        <v>50</v>
      </c>
      <c r="K691" t="s">
        <v>46</v>
      </c>
      <c r="L691" t="s">
        <v>65</v>
      </c>
      <c r="M691">
        <v>671.23208171923795</v>
      </c>
      <c r="N691">
        <v>214</v>
      </c>
      <c r="O691">
        <v>150</v>
      </c>
      <c r="P691">
        <v>145</v>
      </c>
      <c r="Q691">
        <v>0</v>
      </c>
      <c r="R691">
        <v>0</v>
      </c>
      <c r="S691">
        <v>4.4543472962535073</v>
      </c>
      <c r="T691">
        <v>89.333044733044744</v>
      </c>
      <c r="U691">
        <v>1.2554235437523662</v>
      </c>
      <c r="V691">
        <v>1.64975517953679</v>
      </c>
      <c r="W691">
        <v>2.4220969657957299</v>
      </c>
      <c r="X691">
        <v>1.68128863126442</v>
      </c>
      <c r="Y691">
        <v>2.0553398017137301</v>
      </c>
      <c r="Z691">
        <v>2.0921400018840099</v>
      </c>
      <c r="AA691">
        <v>2.0596698968962701</v>
      </c>
      <c r="AB691">
        <v>3262.71</v>
      </c>
      <c r="AC691">
        <v>0.33</v>
      </c>
      <c r="AD691">
        <v>0.66</v>
      </c>
      <c r="AE691">
        <v>1.9221838973381</v>
      </c>
      <c r="AF691">
        <v>-1.8852184427807199</v>
      </c>
      <c r="AG691">
        <v>-0.36039260806297502</v>
      </c>
      <c r="AH691">
        <v>-0.119617778274016</v>
      </c>
      <c r="AI691">
        <v>-0.68708123176490199</v>
      </c>
      <c r="AJ691">
        <v>0.14448127557749299</v>
      </c>
      <c r="AK691">
        <v>43.537466000000002</v>
      </c>
      <c r="AL691">
        <v>6.4627330000000001</v>
      </c>
      <c r="AM691">
        <v>48.856372813999997</v>
      </c>
      <c r="AN691">
        <v>2.3525296170000001</v>
      </c>
    </row>
    <row r="692" spans="1:40" x14ac:dyDescent="0.35">
      <c r="A692">
        <v>873</v>
      </c>
      <c r="B692">
        <v>42</v>
      </c>
      <c r="C692" t="s">
        <v>40</v>
      </c>
      <c r="D692" t="s">
        <v>41</v>
      </c>
      <c r="E692" t="s">
        <v>42</v>
      </c>
      <c r="F692" t="s">
        <v>61</v>
      </c>
      <c r="G692">
        <v>5</v>
      </c>
      <c r="H692">
        <v>25</v>
      </c>
      <c r="I692">
        <v>4</v>
      </c>
      <c r="J692" t="s">
        <v>50</v>
      </c>
      <c r="K692" t="s">
        <v>46</v>
      </c>
      <c r="L692" t="s">
        <v>76</v>
      </c>
      <c r="M692">
        <v>181.054332954215</v>
      </c>
      <c r="N692">
        <v>704</v>
      </c>
      <c r="O692">
        <v>480</v>
      </c>
      <c r="P692">
        <v>291</v>
      </c>
      <c r="Q692">
        <v>0</v>
      </c>
      <c r="R692">
        <v>1.0986122886681098</v>
      </c>
      <c r="S692">
        <v>4.1588830833596715</v>
      </c>
      <c r="T692">
        <v>91.226666666666674</v>
      </c>
      <c r="U692">
        <v>1.418823059726001</v>
      </c>
      <c r="V692">
        <v>-0.39095273818515502</v>
      </c>
      <c r="W692">
        <v>-0.53446083104759001</v>
      </c>
      <c r="X692">
        <v>-0.40804429067029002</v>
      </c>
      <c r="Y692">
        <v>-0.56789545922357498</v>
      </c>
      <c r="Z692">
        <v>-0.94760790482486201</v>
      </c>
      <c r="AA692">
        <v>-1.0848673571571601</v>
      </c>
      <c r="AB692">
        <v>1770.5103102717287</v>
      </c>
      <c r="AC692">
        <v>0.28213528618230871</v>
      </c>
      <c r="AD692">
        <v>1.7130468298323378</v>
      </c>
      <c r="AE692">
        <v>-1.13486126839574</v>
      </c>
      <c r="AF692">
        <v>-0.34181674630134701</v>
      </c>
      <c r="AG692">
        <v>-0.33905890391772697</v>
      </c>
      <c r="AH692">
        <v>7.7090834530178995E-2</v>
      </c>
      <c r="AI692">
        <v>-0.79038744463402799</v>
      </c>
      <c r="AJ692">
        <v>0.52453561951352801</v>
      </c>
      <c r="AK692">
        <v>47.330690599999997</v>
      </c>
      <c r="AL692">
        <v>2.8390453999999998</v>
      </c>
      <c r="AM692">
        <v>48.915000000000006</v>
      </c>
      <c r="AN692">
        <v>2.2879999999999998</v>
      </c>
    </row>
    <row r="693" spans="1:40" x14ac:dyDescent="0.35">
      <c r="A693">
        <v>874</v>
      </c>
      <c r="B693">
        <v>72</v>
      </c>
      <c r="C693" t="s">
        <v>40</v>
      </c>
      <c r="D693" t="s">
        <v>52</v>
      </c>
      <c r="E693" t="s">
        <v>42</v>
      </c>
      <c r="F693" t="s">
        <v>49</v>
      </c>
      <c r="G693">
        <v>7</v>
      </c>
      <c r="H693">
        <v>49</v>
      </c>
      <c r="I693">
        <v>5</v>
      </c>
      <c r="J693" t="s">
        <v>56</v>
      </c>
      <c r="K693" t="s">
        <v>46</v>
      </c>
      <c r="L693" t="s">
        <v>60</v>
      </c>
      <c r="M693">
        <v>560.27888678499482</v>
      </c>
      <c r="N693">
        <v>320</v>
      </c>
      <c r="O693">
        <v>199</v>
      </c>
      <c r="P693">
        <v>189</v>
      </c>
      <c r="Q693">
        <v>3.8501476017100584</v>
      </c>
      <c r="R693">
        <v>2.9957322735539909</v>
      </c>
      <c r="S693">
        <v>5.4424177105217932</v>
      </c>
      <c r="T693">
        <v>88.975873222691746</v>
      </c>
      <c r="U693">
        <v>2.5514539469641888</v>
      </c>
      <c r="V693">
        <v>2.9336799326863701</v>
      </c>
      <c r="W693">
        <v>3.3730943146768602</v>
      </c>
      <c r="X693">
        <v>3.6072071704345601</v>
      </c>
      <c r="Y693">
        <v>-0.19189497559235799</v>
      </c>
      <c r="Z693">
        <v>0.17569111512999699</v>
      </c>
      <c r="AA693">
        <v>-0.304970615080496</v>
      </c>
      <c r="AB693">
        <v>1906.836709612184</v>
      </c>
      <c r="AC693">
        <v>0.7978420820676605</v>
      </c>
      <c r="AD693">
        <v>2.1056638128240834</v>
      </c>
      <c r="AE693">
        <v>-0.25037207080954499</v>
      </c>
      <c r="AF693">
        <v>-1.69827523935587</v>
      </c>
      <c r="AG693">
        <v>0.47318076506904999</v>
      </c>
      <c r="AH693">
        <v>-1.70017640000857</v>
      </c>
      <c r="AI693">
        <v>-1.3759830831050299</v>
      </c>
      <c r="AJ693">
        <v>1.3592847975176501</v>
      </c>
      <c r="AK693">
        <v>44.055988999999997</v>
      </c>
      <c r="AL693">
        <v>4.8317350000000001</v>
      </c>
      <c r="AM693">
        <v>48.768000000000001</v>
      </c>
      <c r="AN693">
        <v>2.2629999999999999</v>
      </c>
    </row>
    <row r="694" spans="1:40" x14ac:dyDescent="0.35">
      <c r="A694">
        <v>876</v>
      </c>
      <c r="B694">
        <v>72</v>
      </c>
      <c r="C694" t="s">
        <v>40</v>
      </c>
      <c r="D694" t="s">
        <v>52</v>
      </c>
      <c r="E694" t="s">
        <v>42</v>
      </c>
      <c r="F694" t="s">
        <v>53</v>
      </c>
      <c r="G694">
        <v>4</v>
      </c>
      <c r="H694">
        <v>16</v>
      </c>
      <c r="I694">
        <v>5</v>
      </c>
      <c r="J694" t="s">
        <v>45</v>
      </c>
      <c r="K694" t="s">
        <v>46</v>
      </c>
      <c r="L694" t="s">
        <v>77</v>
      </c>
      <c r="M694">
        <v>254.385532942384</v>
      </c>
      <c r="N694">
        <v>556</v>
      </c>
      <c r="O694">
        <v>380</v>
      </c>
      <c r="P694">
        <v>268</v>
      </c>
      <c r="Q694">
        <v>0</v>
      </c>
      <c r="R694">
        <v>2.3978952727983707</v>
      </c>
      <c r="S694">
        <v>5.1416635565026603</v>
      </c>
      <c r="T694">
        <v>90.472417453603512</v>
      </c>
      <c r="U694">
        <v>2.7735735584863375</v>
      </c>
      <c r="V694">
        <v>-0.15231437986527399</v>
      </c>
      <c r="W694">
        <v>3.49635939345109E-2</v>
      </c>
      <c r="X694">
        <v>-0.19627808847033801</v>
      </c>
      <c r="Y694">
        <v>-0.57382446736590997</v>
      </c>
      <c r="Z694">
        <v>-0.74335605457542497</v>
      </c>
      <c r="AA694">
        <v>-0.53588051656191904</v>
      </c>
      <c r="AB694">
        <v>3937</v>
      </c>
      <c r="AC694">
        <v>0</v>
      </c>
      <c r="AD694">
        <v>1</v>
      </c>
      <c r="AE694">
        <v>-0.72244456620022002</v>
      </c>
      <c r="AF694">
        <v>1.0996817729050301</v>
      </c>
      <c r="AG694">
        <v>0.28013037904507698</v>
      </c>
      <c r="AH694">
        <v>-0.15466738251856099</v>
      </c>
      <c r="AI694">
        <v>0.46454968703793598</v>
      </c>
      <c r="AJ694">
        <v>-1.42608334884551</v>
      </c>
      <c r="AK694">
        <v>47.259622</v>
      </c>
      <c r="AL694">
        <v>-7.8518000000000004E-2</v>
      </c>
      <c r="AM694">
        <v>48.80599999999999</v>
      </c>
      <c r="AN694">
        <v>2.4380000000000002</v>
      </c>
    </row>
    <row r="695" spans="1:40" x14ac:dyDescent="0.35">
      <c r="A695">
        <v>877</v>
      </c>
      <c r="B695">
        <v>72</v>
      </c>
      <c r="C695" t="s">
        <v>48</v>
      </c>
      <c r="D695" t="s">
        <v>52</v>
      </c>
      <c r="E695" t="s">
        <v>42</v>
      </c>
      <c r="F695" t="s">
        <v>43</v>
      </c>
      <c r="G695">
        <v>5</v>
      </c>
      <c r="H695">
        <v>25</v>
      </c>
      <c r="I695">
        <v>2</v>
      </c>
      <c r="J695" t="s">
        <v>56</v>
      </c>
      <c r="K695" t="s">
        <v>46</v>
      </c>
      <c r="L695" t="s">
        <v>58</v>
      </c>
      <c r="M695">
        <v>456.26112032557188</v>
      </c>
      <c r="N695">
        <v>762</v>
      </c>
      <c r="O695">
        <v>464</v>
      </c>
      <c r="P695">
        <v>305</v>
      </c>
      <c r="Q695">
        <v>3.2580965380214821</v>
      </c>
      <c r="R695">
        <v>2.8903717578961645</v>
      </c>
      <c r="S695">
        <v>4.7535901911063645</v>
      </c>
      <c r="T695">
        <v>90.794285714285706</v>
      </c>
      <c r="U695">
        <v>0</v>
      </c>
      <c r="V695">
        <v>0.63905639120027702</v>
      </c>
      <c r="W695">
        <v>0.692565001186083</v>
      </c>
      <c r="X695">
        <v>0.56469097254324596</v>
      </c>
      <c r="Y695">
        <v>1.4483117406157899</v>
      </c>
      <c r="Z695">
        <v>1.7680602694732599</v>
      </c>
      <c r="AA695">
        <v>0.26366440732357699</v>
      </c>
      <c r="AB695">
        <v>4236</v>
      </c>
      <c r="AC695">
        <v>0</v>
      </c>
      <c r="AD695">
        <v>4</v>
      </c>
      <c r="AE695">
        <v>1.6751267091712101</v>
      </c>
      <c r="AF695">
        <v>0.45724761801353703</v>
      </c>
      <c r="AG695">
        <v>-0.410772567134852</v>
      </c>
      <c r="AH695">
        <v>-1.5049664627052699</v>
      </c>
      <c r="AI695">
        <v>-0.94096578940311604</v>
      </c>
      <c r="AJ695">
        <v>0.53819536710729998</v>
      </c>
      <c r="AK695">
        <v>45.198478000000001</v>
      </c>
      <c r="AL695">
        <v>-0.74874399999999997</v>
      </c>
      <c r="AM695">
        <v>48.75</v>
      </c>
      <c r="AN695">
        <v>2.2519999999999998</v>
      </c>
    </row>
    <row r="696" spans="1:40" x14ac:dyDescent="0.35">
      <c r="A696">
        <v>878</v>
      </c>
      <c r="B696">
        <v>57</v>
      </c>
      <c r="C696" t="s">
        <v>40</v>
      </c>
      <c r="D696" t="s">
        <v>41</v>
      </c>
      <c r="E696" t="s">
        <v>42</v>
      </c>
      <c r="F696" t="s">
        <v>49</v>
      </c>
      <c r="G696">
        <v>6</v>
      </c>
      <c r="H696">
        <v>36</v>
      </c>
      <c r="I696">
        <v>5</v>
      </c>
      <c r="J696" t="s">
        <v>56</v>
      </c>
      <c r="K696" t="s">
        <v>46</v>
      </c>
      <c r="L696" t="s">
        <v>47</v>
      </c>
      <c r="M696">
        <v>624.35210122926242</v>
      </c>
      <c r="N696">
        <v>902</v>
      </c>
      <c r="O696">
        <v>450</v>
      </c>
      <c r="P696">
        <v>350</v>
      </c>
      <c r="Q696">
        <v>5.9107966440405271</v>
      </c>
      <c r="R696">
        <v>6.4997870406558542</v>
      </c>
      <c r="S696">
        <v>8.6415324656718457</v>
      </c>
      <c r="T696">
        <v>89.265350482850479</v>
      </c>
      <c r="U696">
        <v>1.4417786561042019</v>
      </c>
      <c r="V696">
        <v>-0.22886708829074301</v>
      </c>
      <c r="W696">
        <v>0.28745285629339301</v>
      </c>
      <c r="X696">
        <v>-0.15627425222847</v>
      </c>
      <c r="Y696">
        <v>1.45226138127617</v>
      </c>
      <c r="Z696">
        <v>0.98247225355557</v>
      </c>
      <c r="AA696">
        <v>0.627775520474398</v>
      </c>
      <c r="AB696">
        <v>3362.2959371744532</v>
      </c>
      <c r="AC696">
        <v>2.8998317172850387</v>
      </c>
      <c r="AD696">
        <v>2.9499158586425196</v>
      </c>
      <c r="AE696">
        <v>1.06273170356322</v>
      </c>
      <c r="AF696">
        <v>0.11706477865510601</v>
      </c>
      <c r="AG696">
        <v>-1.86570896945225</v>
      </c>
      <c r="AH696">
        <v>3.5810834447768503E-2</v>
      </c>
      <c r="AI696">
        <v>0.47342334257211999</v>
      </c>
      <c r="AJ696">
        <v>0.33276723974647199</v>
      </c>
      <c r="AK696">
        <v>43.3535629403058</v>
      </c>
      <c r="AL696">
        <v>3.21615314793977</v>
      </c>
      <c r="AM696">
        <v>48.922000000000004</v>
      </c>
      <c r="AN696">
        <v>2.2469999999999999</v>
      </c>
    </row>
    <row r="697" spans="1:40" x14ac:dyDescent="0.35">
      <c r="A697">
        <v>879</v>
      </c>
      <c r="B697">
        <v>72</v>
      </c>
      <c r="C697" t="s">
        <v>40</v>
      </c>
      <c r="D697" t="s">
        <v>52</v>
      </c>
      <c r="E697" t="s">
        <v>42</v>
      </c>
      <c r="F697" t="s">
        <v>49</v>
      </c>
      <c r="G697">
        <v>5</v>
      </c>
      <c r="H697">
        <v>25</v>
      </c>
      <c r="I697">
        <v>6</v>
      </c>
      <c r="J697" t="s">
        <v>50</v>
      </c>
      <c r="K697" t="s">
        <v>46</v>
      </c>
      <c r="L697" t="s">
        <v>60</v>
      </c>
      <c r="M697">
        <v>762.95944042011672</v>
      </c>
      <c r="N697">
        <v>73</v>
      </c>
      <c r="O697">
        <v>61</v>
      </c>
      <c r="P697">
        <v>30</v>
      </c>
      <c r="Q697">
        <v>3.8501476017100584</v>
      </c>
      <c r="R697">
        <v>2.9957322735539909</v>
      </c>
      <c r="S697">
        <v>5.4424177105217932</v>
      </c>
      <c r="T697">
        <v>88.975873222691746</v>
      </c>
      <c r="U697">
        <v>2.5514539469641888</v>
      </c>
      <c r="V697">
        <v>2.9336799326863701</v>
      </c>
      <c r="W697">
        <v>3.3730943146768602</v>
      </c>
      <c r="X697">
        <v>3.6072071704345601</v>
      </c>
      <c r="Y697">
        <v>-0.19189497559235799</v>
      </c>
      <c r="Z697">
        <v>0.17569111512999699</v>
      </c>
      <c r="AA697">
        <v>-0.304970615080496</v>
      </c>
      <c r="AB697">
        <v>1906.836709612184</v>
      </c>
      <c r="AC697">
        <v>0.7978420820676605</v>
      </c>
      <c r="AD697">
        <v>2.1056638128240834</v>
      </c>
      <c r="AE697">
        <v>-0.25037207080954499</v>
      </c>
      <c r="AF697">
        <v>-0.53026797625064803</v>
      </c>
      <c r="AG697">
        <v>-9.7099941394569299E-3</v>
      </c>
      <c r="AH697">
        <v>-0.113480567375387</v>
      </c>
      <c r="AI697">
        <v>0.46592593656517001</v>
      </c>
      <c r="AJ697">
        <v>0.487412710733371</v>
      </c>
      <c r="AK697">
        <v>44.055988999999997</v>
      </c>
      <c r="AL697">
        <v>4.8317350000000001</v>
      </c>
      <c r="AM697">
        <v>50.732624999999999</v>
      </c>
      <c r="AN697">
        <v>2.5387499999999998</v>
      </c>
    </row>
    <row r="698" spans="1:40" x14ac:dyDescent="0.35">
      <c r="A698">
        <v>880</v>
      </c>
      <c r="B698">
        <v>57</v>
      </c>
      <c r="C698" t="s">
        <v>40</v>
      </c>
      <c r="D698" t="s">
        <v>41</v>
      </c>
      <c r="E698" t="s">
        <v>42</v>
      </c>
      <c r="F698" t="s">
        <v>49</v>
      </c>
      <c r="G698">
        <v>5</v>
      </c>
      <c r="H698">
        <v>25</v>
      </c>
      <c r="I698">
        <v>5</v>
      </c>
      <c r="J698" t="s">
        <v>50</v>
      </c>
      <c r="K698" t="s">
        <v>46</v>
      </c>
      <c r="L698" t="s">
        <v>55</v>
      </c>
      <c r="M698">
        <v>62.737498289962559</v>
      </c>
      <c r="N698">
        <v>1094</v>
      </c>
      <c r="O698">
        <v>550</v>
      </c>
      <c r="P698">
        <v>456</v>
      </c>
      <c r="Q698">
        <v>2.0794415416798357</v>
      </c>
      <c r="R698">
        <v>2.3025850929940459</v>
      </c>
      <c r="S698">
        <v>3.2580965380214821</v>
      </c>
      <c r="T698">
        <v>95.12</v>
      </c>
      <c r="U698">
        <v>0</v>
      </c>
      <c r="V698">
        <v>1.89305099905856</v>
      </c>
      <c r="W698">
        <v>0.59880690621441701</v>
      </c>
      <c r="X698">
        <v>1.1856460040685599</v>
      </c>
      <c r="Y698">
        <v>-0.15565097555555901</v>
      </c>
      <c r="Z698">
        <v>-0.22748295097212001</v>
      </c>
      <c r="AA698">
        <v>1.0415013010201299</v>
      </c>
      <c r="AB698">
        <v>2939.9504036908884</v>
      </c>
      <c r="AC698">
        <v>2</v>
      </c>
      <c r="AD698">
        <v>0.42868127643214149</v>
      </c>
      <c r="AE698">
        <v>-2.40641039566141E-2</v>
      </c>
      <c r="AF698">
        <v>8.3019962878640094E-2</v>
      </c>
      <c r="AG698">
        <v>-0.50101558117548195</v>
      </c>
      <c r="AH698">
        <v>0.83356219755112404</v>
      </c>
      <c r="AI698">
        <v>-0.21685879752277701</v>
      </c>
      <c r="AJ698">
        <v>1.1610039363626701</v>
      </c>
      <c r="AK698">
        <v>48.0777517</v>
      </c>
      <c r="AL698">
        <v>7.3579641000000002</v>
      </c>
      <c r="AM698">
        <v>48.570999999999998</v>
      </c>
      <c r="AN698">
        <v>7.7679999999999998</v>
      </c>
    </row>
    <row r="699" spans="1:40" x14ac:dyDescent="0.35">
      <c r="A699">
        <v>881</v>
      </c>
      <c r="B699">
        <v>57</v>
      </c>
      <c r="C699" t="s">
        <v>48</v>
      </c>
      <c r="D699" t="s">
        <v>66</v>
      </c>
      <c r="E699" t="s">
        <v>42</v>
      </c>
      <c r="F699" t="s">
        <v>49</v>
      </c>
      <c r="G699">
        <v>5</v>
      </c>
      <c r="H699">
        <v>25</v>
      </c>
      <c r="I699">
        <v>4</v>
      </c>
      <c r="J699" t="s">
        <v>50</v>
      </c>
      <c r="K699" t="s">
        <v>46</v>
      </c>
      <c r="L699" t="s">
        <v>65</v>
      </c>
      <c r="M699">
        <v>788.88583620310658</v>
      </c>
      <c r="N699">
        <v>704</v>
      </c>
      <c r="O699">
        <v>480</v>
      </c>
      <c r="P699">
        <v>291</v>
      </c>
      <c r="Q699">
        <v>0</v>
      </c>
      <c r="R699">
        <v>0</v>
      </c>
      <c r="S699">
        <v>4.4543472962535073</v>
      </c>
      <c r="T699">
        <v>89.333044733044744</v>
      </c>
      <c r="U699">
        <v>1.2554235437523662</v>
      </c>
      <c r="V699">
        <v>1.64975517953679</v>
      </c>
      <c r="W699">
        <v>2.4220969657957299</v>
      </c>
      <c r="X699">
        <v>1.68128863126442</v>
      </c>
      <c r="Y699">
        <v>2.0553398017137301</v>
      </c>
      <c r="Z699">
        <v>2.0921400018840099</v>
      </c>
      <c r="AA699">
        <v>2.0596698968962701</v>
      </c>
      <c r="AB699">
        <v>3262.71</v>
      </c>
      <c r="AC699">
        <v>0.33</v>
      </c>
      <c r="AD699">
        <v>0.66</v>
      </c>
      <c r="AE699">
        <v>1.9221838973381</v>
      </c>
      <c r="AF699">
        <v>-0.19595800555714299</v>
      </c>
      <c r="AG699">
        <v>0.81736235296436499</v>
      </c>
      <c r="AH699">
        <v>0.29511109862806401</v>
      </c>
      <c r="AI699">
        <v>-0.34961129808730201</v>
      </c>
      <c r="AJ699">
        <v>-0.13398931706061501</v>
      </c>
      <c r="AK699">
        <v>43.537466000000002</v>
      </c>
      <c r="AL699">
        <v>6.4627330000000001</v>
      </c>
      <c r="AM699">
        <v>50.3185</v>
      </c>
      <c r="AN699">
        <v>3.44</v>
      </c>
    </row>
    <row r="700" spans="1:40" x14ac:dyDescent="0.35">
      <c r="A700">
        <v>882</v>
      </c>
      <c r="B700">
        <v>57</v>
      </c>
      <c r="C700" t="s">
        <v>40</v>
      </c>
      <c r="D700" t="s">
        <v>52</v>
      </c>
      <c r="E700" t="s">
        <v>42</v>
      </c>
      <c r="F700" t="s">
        <v>49</v>
      </c>
      <c r="G700">
        <v>5</v>
      </c>
      <c r="H700">
        <v>25</v>
      </c>
      <c r="I700">
        <v>5</v>
      </c>
      <c r="J700" t="s">
        <v>56</v>
      </c>
      <c r="K700" t="s">
        <v>46</v>
      </c>
      <c r="L700" t="s">
        <v>60</v>
      </c>
      <c r="M700">
        <v>576.67817142051626</v>
      </c>
      <c r="N700">
        <v>335</v>
      </c>
      <c r="O700">
        <v>180</v>
      </c>
      <c r="P700">
        <v>204</v>
      </c>
      <c r="Q700">
        <v>3.8501476017100584</v>
      </c>
      <c r="R700">
        <v>2.9957322735539909</v>
      </c>
      <c r="S700">
        <v>5.4424177105217932</v>
      </c>
      <c r="T700">
        <v>88.975873222691746</v>
      </c>
      <c r="U700">
        <v>2.5514539469641888</v>
      </c>
      <c r="V700">
        <v>2.9336799326863701</v>
      </c>
      <c r="W700">
        <v>3.3730943146768602</v>
      </c>
      <c r="X700">
        <v>3.6072071704345601</v>
      </c>
      <c r="Y700">
        <v>-0.19189497559235799</v>
      </c>
      <c r="Z700">
        <v>0.17569111512999699</v>
      </c>
      <c r="AA700">
        <v>-0.304970615080496</v>
      </c>
      <c r="AB700">
        <v>1906.836709612184</v>
      </c>
      <c r="AC700">
        <v>0.7978420820676605</v>
      </c>
      <c r="AD700">
        <v>2.1056638128240834</v>
      </c>
      <c r="AE700">
        <v>-0.25037207080954499</v>
      </c>
      <c r="AF700">
        <v>-0.79392381226098774</v>
      </c>
      <c r="AG700">
        <v>-0.55764030285933486</v>
      </c>
      <c r="AH700">
        <v>1.2174086041651488</v>
      </c>
      <c r="AI700">
        <v>0.52091787171732296</v>
      </c>
      <c r="AJ700">
        <v>1.3622251846325</v>
      </c>
      <c r="AK700">
        <v>44.055988999999997</v>
      </c>
      <c r="AL700">
        <v>4.8317350000000001</v>
      </c>
      <c r="AM700">
        <v>48.922000000000004</v>
      </c>
      <c r="AN700">
        <v>2.2469999999999999</v>
      </c>
    </row>
    <row r="701" spans="1:40" x14ac:dyDescent="0.35">
      <c r="A701">
        <v>884</v>
      </c>
      <c r="B701">
        <v>29.5</v>
      </c>
      <c r="C701" t="s">
        <v>40</v>
      </c>
      <c r="D701" t="s">
        <v>41</v>
      </c>
      <c r="E701" t="s">
        <v>42</v>
      </c>
      <c r="F701" t="s">
        <v>49</v>
      </c>
      <c r="G701">
        <v>5</v>
      </c>
      <c r="H701">
        <v>25</v>
      </c>
      <c r="I701">
        <v>5</v>
      </c>
      <c r="J701" t="s">
        <v>56</v>
      </c>
      <c r="K701" t="s">
        <v>46</v>
      </c>
      <c r="L701" t="s">
        <v>69</v>
      </c>
      <c r="M701">
        <v>278.74989844387233</v>
      </c>
      <c r="N701">
        <v>566</v>
      </c>
      <c r="O701">
        <v>409</v>
      </c>
      <c r="P701">
        <v>222</v>
      </c>
      <c r="Q701">
        <v>2.3978952727983707</v>
      </c>
      <c r="R701">
        <v>4.5538768916005408</v>
      </c>
      <c r="S701">
        <v>5.4847969334906548</v>
      </c>
      <c r="T701">
        <v>93.296000000000006</v>
      </c>
      <c r="U701">
        <v>2.2325431437911538</v>
      </c>
      <c r="V701">
        <v>-0.44922684044461197</v>
      </c>
      <c r="W701">
        <v>-0.76855194782346203</v>
      </c>
      <c r="X701">
        <v>-0.44700324392789598</v>
      </c>
      <c r="Y701">
        <v>-0.846122564821426</v>
      </c>
      <c r="Z701">
        <v>-0.92679578564836795</v>
      </c>
      <c r="AA701">
        <v>0.86332342905974202</v>
      </c>
      <c r="AB701">
        <v>2050</v>
      </c>
      <c r="AC701">
        <v>1</v>
      </c>
      <c r="AD701">
        <v>2</v>
      </c>
      <c r="AE701">
        <v>-0.51011828243844404</v>
      </c>
      <c r="AF701">
        <v>-0.96376880128436759</v>
      </c>
      <c r="AG701">
        <v>0.36573425393017511</v>
      </c>
      <c r="AH701">
        <v>-5.0531187313876465E-2</v>
      </c>
      <c r="AI701">
        <v>-0.532248453743002</v>
      </c>
      <c r="AJ701">
        <v>-0.13280470518568399</v>
      </c>
      <c r="AK701">
        <v>47.177235000000003</v>
      </c>
      <c r="AL701">
        <v>4.964315</v>
      </c>
      <c r="AM701">
        <v>48.802999999999997</v>
      </c>
      <c r="AN701">
        <v>2.1179999999999999</v>
      </c>
    </row>
    <row r="702" spans="1:40" x14ac:dyDescent="0.35">
      <c r="A702">
        <v>886</v>
      </c>
      <c r="B702">
        <v>42</v>
      </c>
      <c r="C702" t="s">
        <v>40</v>
      </c>
      <c r="D702" t="s">
        <v>41</v>
      </c>
      <c r="E702" t="s">
        <v>42</v>
      </c>
      <c r="F702" t="s">
        <v>61</v>
      </c>
      <c r="G702">
        <v>5</v>
      </c>
      <c r="H702">
        <v>25</v>
      </c>
      <c r="I702">
        <v>3</v>
      </c>
      <c r="J702" t="s">
        <v>45</v>
      </c>
      <c r="K702" t="s">
        <v>46</v>
      </c>
      <c r="L702" t="s">
        <v>58</v>
      </c>
      <c r="M702">
        <v>470.20785645571289</v>
      </c>
      <c r="N702">
        <v>199</v>
      </c>
      <c r="O702">
        <v>141</v>
      </c>
      <c r="P702">
        <v>113</v>
      </c>
      <c r="Q702">
        <v>3.2580965380214821</v>
      </c>
      <c r="R702">
        <v>2.8903717578961645</v>
      </c>
      <c r="S702">
        <v>4.7535901911063645</v>
      </c>
      <c r="T702">
        <v>90.794285714285706</v>
      </c>
      <c r="U702">
        <v>0</v>
      </c>
      <c r="V702">
        <v>0.63905639120027702</v>
      </c>
      <c r="W702">
        <v>0.692565001186083</v>
      </c>
      <c r="X702">
        <v>0.56469097254324596</v>
      </c>
      <c r="Y702">
        <v>1.4483117406157899</v>
      </c>
      <c r="Z702">
        <v>1.7680602694732599</v>
      </c>
      <c r="AA702">
        <v>0.26366440732357699</v>
      </c>
      <c r="AB702">
        <v>4236</v>
      </c>
      <c r="AC702">
        <v>0</v>
      </c>
      <c r="AD702">
        <v>4</v>
      </c>
      <c r="AE702">
        <v>1.6751267091712101</v>
      </c>
      <c r="AF702">
        <v>0.49327111976417898</v>
      </c>
      <c r="AG702">
        <v>-1.2811867225616</v>
      </c>
      <c r="AH702">
        <v>0.75881408205232703</v>
      </c>
      <c r="AI702">
        <v>0.84093834277382595</v>
      </c>
      <c r="AJ702">
        <v>-0.70526191865884802</v>
      </c>
      <c r="AK702">
        <v>45.198478000000001</v>
      </c>
      <c r="AL702">
        <v>-0.74874399999999997</v>
      </c>
      <c r="AM702">
        <v>48.856372813999997</v>
      </c>
      <c r="AN702">
        <v>2.3525296170000001</v>
      </c>
    </row>
    <row r="703" spans="1:40" x14ac:dyDescent="0.35">
      <c r="A703">
        <v>887</v>
      </c>
      <c r="B703">
        <v>42</v>
      </c>
      <c r="C703" t="s">
        <v>40</v>
      </c>
      <c r="D703" t="s">
        <v>41</v>
      </c>
      <c r="E703" t="s">
        <v>42</v>
      </c>
      <c r="F703" t="s">
        <v>49</v>
      </c>
      <c r="G703">
        <v>5</v>
      </c>
      <c r="H703">
        <v>25</v>
      </c>
      <c r="I703">
        <v>6</v>
      </c>
      <c r="J703" t="s">
        <v>56</v>
      </c>
      <c r="K703" t="s">
        <v>46</v>
      </c>
      <c r="L703" t="s">
        <v>76</v>
      </c>
      <c r="M703">
        <v>173.64663678342501</v>
      </c>
      <c r="N703">
        <v>334</v>
      </c>
      <c r="O703">
        <v>180</v>
      </c>
      <c r="P703">
        <v>245</v>
      </c>
      <c r="Q703">
        <v>0</v>
      </c>
      <c r="R703">
        <v>1.0986122886681098</v>
      </c>
      <c r="S703">
        <v>4.1588830833596715</v>
      </c>
      <c r="T703">
        <v>91.226666666666674</v>
      </c>
      <c r="U703">
        <v>1.418823059726001</v>
      </c>
      <c r="V703">
        <v>-0.39095273818515502</v>
      </c>
      <c r="W703">
        <v>-0.53446083104759001</v>
      </c>
      <c r="X703">
        <v>-0.40804429067029002</v>
      </c>
      <c r="Y703">
        <v>-0.56789545922357498</v>
      </c>
      <c r="Z703">
        <v>-0.94760790482486201</v>
      </c>
      <c r="AA703">
        <v>-1.0848673571571601</v>
      </c>
      <c r="AB703">
        <v>1770.5103102717287</v>
      </c>
      <c r="AC703">
        <v>0.28213528618230871</v>
      </c>
      <c r="AD703">
        <v>1.7130468298323378</v>
      </c>
      <c r="AE703">
        <v>-1.13486126839574</v>
      </c>
      <c r="AF703">
        <v>0.54002240893536002</v>
      </c>
      <c r="AG703">
        <v>-0.72124539882967598</v>
      </c>
      <c r="AH703">
        <v>-0.699956127015119</v>
      </c>
      <c r="AI703">
        <v>-1.8776829217353901</v>
      </c>
      <c r="AJ703">
        <v>-0.32089026278814098</v>
      </c>
      <c r="AK703">
        <v>47.330690599999997</v>
      </c>
      <c r="AL703">
        <v>2.8390453999999998</v>
      </c>
      <c r="AM703">
        <v>48.856372813999997</v>
      </c>
      <c r="AN703">
        <v>2.3525296170000001</v>
      </c>
    </row>
    <row r="704" spans="1:40" x14ac:dyDescent="0.35">
      <c r="A704">
        <v>888</v>
      </c>
      <c r="B704">
        <v>72</v>
      </c>
      <c r="C704" t="s">
        <v>40</v>
      </c>
      <c r="D704" t="s">
        <v>52</v>
      </c>
      <c r="E704" t="s">
        <v>42</v>
      </c>
      <c r="F704" t="s">
        <v>49</v>
      </c>
      <c r="G704">
        <v>5</v>
      </c>
      <c r="H704">
        <v>25</v>
      </c>
      <c r="I704">
        <v>7</v>
      </c>
      <c r="J704" t="s">
        <v>50</v>
      </c>
      <c r="K704" t="s">
        <v>46</v>
      </c>
      <c r="L704" t="s">
        <v>67</v>
      </c>
      <c r="M704">
        <v>284.16575896075278</v>
      </c>
      <c r="N704">
        <v>905</v>
      </c>
      <c r="O704">
        <v>565</v>
      </c>
      <c r="P704">
        <v>553</v>
      </c>
      <c r="Q704">
        <v>0</v>
      </c>
      <c r="R704">
        <v>1.0986122886681098</v>
      </c>
      <c r="S704">
        <v>4.499809670330265</v>
      </c>
      <c r="T704">
        <v>90.053710317460329</v>
      </c>
      <c r="U704">
        <v>1.5728028449904734</v>
      </c>
      <c r="V704">
        <v>-0.577850340007529</v>
      </c>
      <c r="W704">
        <v>-0.32460727773589898</v>
      </c>
      <c r="X704">
        <v>-0.54369568891204501</v>
      </c>
      <c r="Y704">
        <v>-0.77598924050104101</v>
      </c>
      <c r="Z704">
        <v>0.47668876811384397</v>
      </c>
      <c r="AA704">
        <v>0.85617757356637403</v>
      </c>
      <c r="AB704">
        <v>2565</v>
      </c>
      <c r="AC704">
        <v>1</v>
      </c>
      <c r="AD704">
        <v>0</v>
      </c>
      <c r="AE704">
        <v>-0.72514205471140702</v>
      </c>
      <c r="AF704">
        <v>0.19416245712437899</v>
      </c>
      <c r="AG704">
        <v>-0.87901784125556204</v>
      </c>
      <c r="AH704">
        <v>-1.0406256344620599</v>
      </c>
      <c r="AI704">
        <v>-0.115601318044926</v>
      </c>
      <c r="AJ704">
        <v>-4.0515705899808602E-2</v>
      </c>
      <c r="AK704">
        <v>46.303668000000002</v>
      </c>
      <c r="AL704">
        <v>4.8322269999999996</v>
      </c>
      <c r="AM704">
        <v>48.683331000000003</v>
      </c>
      <c r="AN704">
        <v>6.2</v>
      </c>
    </row>
    <row r="705" spans="1:40" x14ac:dyDescent="0.35">
      <c r="A705">
        <v>889</v>
      </c>
      <c r="B705">
        <v>29.5</v>
      </c>
      <c r="C705" t="s">
        <v>48</v>
      </c>
      <c r="D705" t="s">
        <v>41</v>
      </c>
      <c r="E705" t="s">
        <v>68</v>
      </c>
      <c r="F705" t="s">
        <v>49</v>
      </c>
      <c r="G705">
        <v>5</v>
      </c>
      <c r="H705">
        <v>25</v>
      </c>
      <c r="I705">
        <v>5</v>
      </c>
      <c r="J705" t="s">
        <v>56</v>
      </c>
      <c r="K705" t="s">
        <v>46</v>
      </c>
      <c r="L705" t="s">
        <v>72</v>
      </c>
      <c r="M705">
        <v>731.10476626289585</v>
      </c>
      <c r="N705">
        <v>143</v>
      </c>
      <c r="O705">
        <v>100</v>
      </c>
      <c r="P705">
        <v>80</v>
      </c>
      <c r="Q705">
        <v>0.69314718055994529</v>
      </c>
      <c r="R705">
        <v>1.3862943611198906</v>
      </c>
      <c r="S705">
        <v>4.5538768916005408</v>
      </c>
      <c r="T705">
        <v>89.340161030595823</v>
      </c>
      <c r="U705">
        <v>1.4712304197281412</v>
      </c>
      <c r="V705">
        <v>0.59716251398508702</v>
      </c>
      <c r="W705">
        <v>0.91068296986709796</v>
      </c>
      <c r="X705">
        <v>1.2273243988355</v>
      </c>
      <c r="Y705">
        <v>-0.4121809470949</v>
      </c>
      <c r="Z705">
        <v>-0.86472582726521097</v>
      </c>
      <c r="AA705">
        <v>-1.0172779374790899</v>
      </c>
      <c r="AB705">
        <v>1828.1689246701658</v>
      </c>
      <c r="AC705">
        <v>1.1127464888636687</v>
      </c>
      <c r="AD705">
        <v>1.8630656830756136</v>
      </c>
      <c r="AE705">
        <v>-0.53926882203722504</v>
      </c>
      <c r="AF705">
        <v>1.42952178041139</v>
      </c>
      <c r="AG705">
        <v>0.71816558979105305</v>
      </c>
      <c r="AH705">
        <v>-0.48308442636106602</v>
      </c>
      <c r="AI705">
        <v>-0.181656093813406</v>
      </c>
      <c r="AJ705">
        <v>0.271282651697414</v>
      </c>
      <c r="AK705">
        <v>44.503641999999999</v>
      </c>
      <c r="AL705">
        <v>1.1863669999999999</v>
      </c>
      <c r="AM705">
        <v>50.640682937000001</v>
      </c>
      <c r="AN705">
        <v>4.6610704270000003</v>
      </c>
    </row>
    <row r="706" spans="1:40" x14ac:dyDescent="0.35">
      <c r="A706">
        <v>891</v>
      </c>
      <c r="B706">
        <v>42</v>
      </c>
      <c r="C706" t="s">
        <v>48</v>
      </c>
      <c r="D706" t="s">
        <v>41</v>
      </c>
      <c r="E706" t="s">
        <v>42</v>
      </c>
      <c r="F706" t="s">
        <v>53</v>
      </c>
      <c r="G706">
        <v>5</v>
      </c>
      <c r="H706">
        <v>25</v>
      </c>
      <c r="I706">
        <v>6</v>
      </c>
      <c r="J706" t="s">
        <v>50</v>
      </c>
      <c r="K706" t="s">
        <v>46</v>
      </c>
      <c r="L706" t="s">
        <v>62</v>
      </c>
      <c r="M706">
        <v>118.81389814254101</v>
      </c>
      <c r="N706">
        <v>316</v>
      </c>
      <c r="O706">
        <v>191</v>
      </c>
      <c r="P706">
        <v>168</v>
      </c>
      <c r="Q706">
        <v>0.69314718055994529</v>
      </c>
      <c r="R706">
        <v>3.2580965380214821</v>
      </c>
      <c r="S706">
        <v>3.2580965380214821</v>
      </c>
      <c r="T706">
        <v>95.68</v>
      </c>
      <c r="U706">
        <v>0</v>
      </c>
      <c r="V706">
        <v>1.82802042479695</v>
      </c>
      <c r="W706">
        <v>0.99424279543483596</v>
      </c>
      <c r="X706">
        <v>0.99177342203587404</v>
      </c>
      <c r="Y706">
        <v>-0.96278755162326501</v>
      </c>
      <c r="Z706">
        <v>-0.75605764486205096</v>
      </c>
      <c r="AA706">
        <v>-0.80037586101695801</v>
      </c>
      <c r="AB706">
        <v>2092.91</v>
      </c>
      <c r="AC706">
        <v>0</v>
      </c>
      <c r="AD706">
        <v>2.1</v>
      </c>
      <c r="AE706">
        <v>-1.0768626388726401</v>
      </c>
      <c r="AF706">
        <v>0.97135255611541604</v>
      </c>
      <c r="AG706">
        <v>0.52441395813212099</v>
      </c>
      <c r="AH706">
        <v>0.101892457777776</v>
      </c>
      <c r="AI706">
        <v>1.5240440607724799</v>
      </c>
      <c r="AJ706">
        <v>-0.98195010191948995</v>
      </c>
      <c r="AK706">
        <v>49.042560999999999</v>
      </c>
      <c r="AL706">
        <v>3.9528660000000002</v>
      </c>
      <c r="AM706">
        <v>48.856372813999997</v>
      </c>
      <c r="AN706">
        <v>2.3525296170000001</v>
      </c>
    </row>
    <row r="707" spans="1:40" x14ac:dyDescent="0.35">
      <c r="A707">
        <v>892</v>
      </c>
      <c r="B707">
        <v>72</v>
      </c>
      <c r="C707" t="s">
        <v>40</v>
      </c>
      <c r="D707" t="s">
        <v>52</v>
      </c>
      <c r="E707" t="s">
        <v>42</v>
      </c>
      <c r="F707" t="s">
        <v>43</v>
      </c>
      <c r="G707">
        <v>5</v>
      </c>
      <c r="H707">
        <v>25</v>
      </c>
      <c r="I707">
        <v>4</v>
      </c>
      <c r="J707" t="s">
        <v>50</v>
      </c>
      <c r="K707" t="s">
        <v>46</v>
      </c>
      <c r="L707" t="s">
        <v>77</v>
      </c>
      <c r="M707">
        <v>235.80192445799759</v>
      </c>
      <c r="N707">
        <v>582</v>
      </c>
      <c r="O707">
        <v>300</v>
      </c>
      <c r="P707">
        <v>337</v>
      </c>
      <c r="Q707">
        <v>0</v>
      </c>
      <c r="R707">
        <v>2.3978952727983707</v>
      </c>
      <c r="S707">
        <v>5.1416635565026603</v>
      </c>
      <c r="T707">
        <v>90.472417453603512</v>
      </c>
      <c r="U707">
        <v>2.7735735584863375</v>
      </c>
      <c r="V707">
        <v>-0.15231437986527399</v>
      </c>
      <c r="W707">
        <v>3.49635939345109E-2</v>
      </c>
      <c r="X707">
        <v>-0.19627808847033801</v>
      </c>
      <c r="Y707">
        <v>-0.57382446736590997</v>
      </c>
      <c r="Z707">
        <v>-0.74335605457542497</v>
      </c>
      <c r="AA707">
        <v>-0.53588051656191904</v>
      </c>
      <c r="AB707">
        <v>3937</v>
      </c>
      <c r="AC707">
        <v>0</v>
      </c>
      <c r="AD707">
        <v>1</v>
      </c>
      <c r="AE707">
        <v>-0.72244456620022002</v>
      </c>
      <c r="AF707">
        <v>0.96109578814569496</v>
      </c>
      <c r="AG707">
        <v>-2.04014804874374</v>
      </c>
      <c r="AH707">
        <v>3.8575062647211097E-2</v>
      </c>
      <c r="AI707">
        <v>0.82357152199004302</v>
      </c>
      <c r="AJ707">
        <v>-0.46422788802402198</v>
      </c>
      <c r="AK707">
        <v>47.259622</v>
      </c>
      <c r="AL707">
        <v>-7.8518000000000004E-2</v>
      </c>
      <c r="AM707">
        <v>48.764000000000003</v>
      </c>
      <c r="AN707">
        <v>2.1509999999999994</v>
      </c>
    </row>
    <row r="708" spans="1:40" x14ac:dyDescent="0.35">
      <c r="A708">
        <v>893</v>
      </c>
      <c r="B708">
        <v>42</v>
      </c>
      <c r="C708" t="s">
        <v>48</v>
      </c>
      <c r="D708" t="s">
        <v>41</v>
      </c>
      <c r="E708" t="s">
        <v>42</v>
      </c>
      <c r="F708" t="s">
        <v>49</v>
      </c>
      <c r="G708">
        <v>4</v>
      </c>
      <c r="H708">
        <v>16</v>
      </c>
      <c r="I708">
        <v>5</v>
      </c>
      <c r="J708" t="s">
        <v>50</v>
      </c>
      <c r="K708" t="s">
        <v>46</v>
      </c>
      <c r="L708" t="s">
        <v>62</v>
      </c>
      <c r="M708">
        <v>418.28369504440752</v>
      </c>
      <c r="N708">
        <v>711</v>
      </c>
      <c r="O708">
        <v>448</v>
      </c>
      <c r="P708">
        <v>333</v>
      </c>
      <c r="Q708">
        <v>0.69314718055994529</v>
      </c>
      <c r="R708">
        <v>3.2580965380214821</v>
      </c>
      <c r="S708">
        <v>3.2580965380214821</v>
      </c>
      <c r="T708">
        <v>95.68</v>
      </c>
      <c r="U708">
        <v>0</v>
      </c>
      <c r="V708">
        <v>1.82802042479695</v>
      </c>
      <c r="W708">
        <v>0.99424279543483596</v>
      </c>
      <c r="X708">
        <v>0.99177342203587404</v>
      </c>
      <c r="Y708">
        <v>-0.96278755162326501</v>
      </c>
      <c r="Z708">
        <v>-0.75605764486205096</v>
      </c>
      <c r="AA708">
        <v>-0.80037586101695801</v>
      </c>
      <c r="AB708">
        <v>2092.91</v>
      </c>
      <c r="AC708">
        <v>0</v>
      </c>
      <c r="AD708">
        <v>2.1</v>
      </c>
      <c r="AE708">
        <v>-1.0768626388726401</v>
      </c>
      <c r="AF708">
        <v>1.7687164294089199</v>
      </c>
      <c r="AG708">
        <v>-1.8421817391603901</v>
      </c>
      <c r="AH708">
        <v>-2.8572666339833899</v>
      </c>
      <c r="AI708">
        <v>-1.32078669298921</v>
      </c>
      <c r="AJ708">
        <v>0.52400878322962996</v>
      </c>
      <c r="AK708">
        <v>49.042560999999999</v>
      </c>
      <c r="AL708">
        <v>3.9528660000000002</v>
      </c>
      <c r="AM708">
        <v>45.511714285714284</v>
      </c>
      <c r="AN708">
        <v>5.8487142857142862</v>
      </c>
    </row>
    <row r="709" spans="1:40" x14ac:dyDescent="0.35">
      <c r="A709">
        <v>894</v>
      </c>
      <c r="B709">
        <v>57</v>
      </c>
      <c r="C709" t="s">
        <v>40</v>
      </c>
      <c r="D709" t="s">
        <v>41</v>
      </c>
      <c r="E709" t="s">
        <v>42</v>
      </c>
      <c r="F709" t="s">
        <v>49</v>
      </c>
      <c r="G709">
        <v>4</v>
      </c>
      <c r="H709">
        <v>16</v>
      </c>
      <c r="I709">
        <v>6</v>
      </c>
      <c r="J709" t="s">
        <v>56</v>
      </c>
      <c r="K709" t="s">
        <v>46</v>
      </c>
      <c r="L709" t="s">
        <v>47</v>
      </c>
      <c r="M709">
        <v>613.50214986007222</v>
      </c>
      <c r="N709">
        <v>56</v>
      </c>
      <c r="O709">
        <v>59</v>
      </c>
      <c r="P709">
        <v>32</v>
      </c>
      <c r="Q709">
        <v>5.9107966440405271</v>
      </c>
      <c r="R709">
        <v>6.4997870406558542</v>
      </c>
      <c r="S709">
        <v>8.6415324656718457</v>
      </c>
      <c r="T709">
        <v>89.265350482850479</v>
      </c>
      <c r="U709">
        <v>1.4417786561042019</v>
      </c>
      <c r="V709">
        <v>-0.22886708829074301</v>
      </c>
      <c r="W709">
        <v>0.28745285629339301</v>
      </c>
      <c r="X709">
        <v>-0.15627425222847</v>
      </c>
      <c r="Y709">
        <v>1.45226138127617</v>
      </c>
      <c r="Z709">
        <v>0.98247225355557</v>
      </c>
      <c r="AA709">
        <v>0.627775520474398</v>
      </c>
      <c r="AB709">
        <v>3362.2959371744532</v>
      </c>
      <c r="AC709">
        <v>2.8998317172850387</v>
      </c>
      <c r="AD709">
        <v>2.9499158586425196</v>
      </c>
      <c r="AE709">
        <v>1.06273170356322</v>
      </c>
      <c r="AF709">
        <v>0.86630545597568698</v>
      </c>
      <c r="AG709">
        <v>0.76359157008962197</v>
      </c>
      <c r="AH709">
        <v>-0.89960345056935898</v>
      </c>
      <c r="AI709">
        <v>-0.44624632957961702</v>
      </c>
      <c r="AJ709">
        <v>1.1753401770038401</v>
      </c>
      <c r="AK709">
        <v>43.3535629403058</v>
      </c>
      <c r="AL709">
        <v>3.21615314793977</v>
      </c>
      <c r="AM709">
        <v>48.847999999999999</v>
      </c>
      <c r="AN709">
        <v>2.5960000000000001</v>
      </c>
    </row>
    <row r="710" spans="1:40" x14ac:dyDescent="0.35">
      <c r="A710">
        <v>895</v>
      </c>
      <c r="B710">
        <v>42</v>
      </c>
      <c r="C710" t="s">
        <v>40</v>
      </c>
      <c r="D710" t="s">
        <v>66</v>
      </c>
      <c r="E710" t="s">
        <v>42</v>
      </c>
      <c r="F710" t="s">
        <v>43</v>
      </c>
      <c r="G710">
        <v>5</v>
      </c>
      <c r="H710">
        <v>25</v>
      </c>
      <c r="I710">
        <v>4</v>
      </c>
      <c r="J710" t="s">
        <v>50</v>
      </c>
      <c r="K710" t="s">
        <v>46</v>
      </c>
      <c r="L710" t="s">
        <v>80</v>
      </c>
      <c r="M710">
        <v>20.763865939104829</v>
      </c>
      <c r="N710">
        <v>343</v>
      </c>
      <c r="O710">
        <v>231</v>
      </c>
      <c r="P710">
        <v>202</v>
      </c>
      <c r="Q710">
        <v>0</v>
      </c>
      <c r="R710">
        <v>0</v>
      </c>
      <c r="S710">
        <v>2.3978952727983707</v>
      </c>
      <c r="T710">
        <v>89.244444444444454</v>
      </c>
      <c r="U710">
        <v>2.8365341397427142</v>
      </c>
      <c r="V710">
        <v>-0.913094936359653</v>
      </c>
      <c r="W710">
        <v>-0.65053416903877104</v>
      </c>
      <c r="X710">
        <v>-0.84161646442580296</v>
      </c>
      <c r="Y710">
        <v>-0.417210198705049</v>
      </c>
      <c r="Z710">
        <v>-0.72387803684780205</v>
      </c>
      <c r="AA710">
        <v>-1.2864028892777799</v>
      </c>
      <c r="AB710">
        <v>1649.4284274193549</v>
      </c>
      <c r="AC710">
        <v>3.0423387096774195</v>
      </c>
      <c r="AD710">
        <v>1.344758064516129</v>
      </c>
      <c r="AE710">
        <v>-0.93842607425381097</v>
      </c>
      <c r="AF710">
        <v>-1.2440807644429399</v>
      </c>
      <c r="AG710">
        <v>-0.23755024550634901</v>
      </c>
      <c r="AH710">
        <v>0.83474856990667101</v>
      </c>
      <c r="AI710">
        <v>-0.34661641773190799</v>
      </c>
      <c r="AJ710">
        <v>0.53292606892283001</v>
      </c>
      <c r="AK710">
        <v>46.124017000000002</v>
      </c>
      <c r="AL710">
        <v>3.420366</v>
      </c>
      <c r="AM710">
        <v>46.21738461538461</v>
      </c>
      <c r="AN710">
        <v>3.6535384615384623</v>
      </c>
    </row>
    <row r="711" spans="1:40" x14ac:dyDescent="0.35">
      <c r="A711">
        <v>896</v>
      </c>
      <c r="B711">
        <v>57</v>
      </c>
      <c r="C711" t="s">
        <v>40</v>
      </c>
      <c r="D711" t="s">
        <v>66</v>
      </c>
      <c r="E711" t="s">
        <v>42</v>
      </c>
      <c r="F711" t="s">
        <v>43</v>
      </c>
      <c r="G711">
        <v>5</v>
      </c>
      <c r="H711">
        <v>25</v>
      </c>
      <c r="I711">
        <v>6</v>
      </c>
      <c r="J711" t="s">
        <v>50</v>
      </c>
      <c r="K711" t="s">
        <v>46</v>
      </c>
      <c r="L711" t="s">
        <v>83</v>
      </c>
      <c r="M711">
        <v>285.71946628213112</v>
      </c>
      <c r="N711">
        <v>445</v>
      </c>
      <c r="O711">
        <v>291</v>
      </c>
      <c r="P711">
        <v>278</v>
      </c>
      <c r="Q711">
        <v>0</v>
      </c>
      <c r="R711">
        <v>0</v>
      </c>
      <c r="S711">
        <v>4.4886363697321396</v>
      </c>
      <c r="T711">
        <v>90.115111111111119</v>
      </c>
      <c r="U711">
        <v>1.2513404171152498</v>
      </c>
      <c r="V711">
        <v>-0.46152060700845399</v>
      </c>
      <c r="W711">
        <v>-0.57121975163865102</v>
      </c>
      <c r="X711">
        <v>-0.33135740862223101</v>
      </c>
      <c r="Y711">
        <v>-0.77598924050104101</v>
      </c>
      <c r="Z711">
        <v>0.47668876811384397</v>
      </c>
      <c r="AA711">
        <v>0.85617757356637403</v>
      </c>
      <c r="AB711">
        <v>2565</v>
      </c>
      <c r="AC711">
        <v>1</v>
      </c>
      <c r="AD711">
        <v>0</v>
      </c>
      <c r="AE711">
        <v>-0.72514205471140702</v>
      </c>
      <c r="AF711">
        <v>-2.2057126280758999</v>
      </c>
      <c r="AG711">
        <v>0.45511629268751302</v>
      </c>
      <c r="AH711">
        <v>1.3422513433752901</v>
      </c>
      <c r="AI711">
        <v>1.4836044289928401</v>
      </c>
      <c r="AJ711">
        <v>0.76193534118230599</v>
      </c>
      <c r="AK711">
        <v>46.839658</v>
      </c>
      <c r="AL711">
        <v>4.7189269999999999</v>
      </c>
      <c r="AM711">
        <v>48.856372813999997</v>
      </c>
      <c r="AN711">
        <v>2.3525296170000001</v>
      </c>
    </row>
    <row r="712" spans="1:40" x14ac:dyDescent="0.35">
      <c r="A712">
        <v>897</v>
      </c>
      <c r="B712">
        <v>72</v>
      </c>
      <c r="C712" t="s">
        <v>40</v>
      </c>
      <c r="D712" t="s">
        <v>41</v>
      </c>
      <c r="E712" t="s">
        <v>42</v>
      </c>
      <c r="F712" t="s">
        <v>49</v>
      </c>
      <c r="G712">
        <v>5</v>
      </c>
      <c r="H712">
        <v>25</v>
      </c>
      <c r="I712">
        <v>5</v>
      </c>
      <c r="J712" t="s">
        <v>50</v>
      </c>
      <c r="K712" t="s">
        <v>46</v>
      </c>
      <c r="L712" t="s">
        <v>47</v>
      </c>
      <c r="M712">
        <v>356.78271281209862</v>
      </c>
      <c r="N712">
        <v>227</v>
      </c>
      <c r="O712">
        <v>173</v>
      </c>
      <c r="P712">
        <v>133</v>
      </c>
      <c r="Q712">
        <v>5.9107966440405271</v>
      </c>
      <c r="R712">
        <v>6.4997870406558542</v>
      </c>
      <c r="S712">
        <v>8.6415324656718457</v>
      </c>
      <c r="T712">
        <v>89.265350482850479</v>
      </c>
      <c r="U712">
        <v>1.4417786561042019</v>
      </c>
      <c r="V712">
        <v>-0.22886708829074301</v>
      </c>
      <c r="W712">
        <v>0.28745285629339301</v>
      </c>
      <c r="X712">
        <v>-0.15627425222847</v>
      </c>
      <c r="Y712">
        <v>1.45226138127617</v>
      </c>
      <c r="Z712">
        <v>0.98247225355557</v>
      </c>
      <c r="AA712">
        <v>0.627775520474398</v>
      </c>
      <c r="AB712">
        <v>3362.2959371744532</v>
      </c>
      <c r="AC712">
        <v>2.8998317172850387</v>
      </c>
      <c r="AD712">
        <v>2.9499158586425196</v>
      </c>
      <c r="AE712">
        <v>1.06273170356322</v>
      </c>
      <c r="AF712">
        <v>0.13782781703523</v>
      </c>
      <c r="AG712">
        <v>-1.3002739729113399</v>
      </c>
      <c r="AH712">
        <v>-0.95037460905208604</v>
      </c>
      <c r="AI712">
        <v>-1.06602725659137</v>
      </c>
      <c r="AJ712">
        <v>1.3605027533435301</v>
      </c>
      <c r="AK712">
        <v>43.3535629403058</v>
      </c>
      <c r="AL712">
        <v>3.21615314793977</v>
      </c>
      <c r="AM712">
        <v>46.30983333333333</v>
      </c>
      <c r="AN712">
        <v>4.9626666666666672</v>
      </c>
    </row>
    <row r="713" spans="1:40" x14ac:dyDescent="0.35">
      <c r="A713">
        <v>899</v>
      </c>
      <c r="B713">
        <v>57</v>
      </c>
      <c r="C713" t="s">
        <v>40</v>
      </c>
      <c r="D713" t="s">
        <v>66</v>
      </c>
      <c r="E713" t="s">
        <v>42</v>
      </c>
      <c r="F713" t="s">
        <v>61</v>
      </c>
      <c r="G713">
        <v>7</v>
      </c>
      <c r="H713">
        <v>49</v>
      </c>
      <c r="I713">
        <v>6</v>
      </c>
      <c r="J713" t="s">
        <v>56</v>
      </c>
      <c r="K713" t="s">
        <v>46</v>
      </c>
      <c r="L713" t="s">
        <v>59</v>
      </c>
      <c r="M713">
        <v>190.59019970465781</v>
      </c>
      <c r="N713">
        <v>681</v>
      </c>
      <c r="O713">
        <v>500</v>
      </c>
      <c r="P713">
        <v>336</v>
      </c>
      <c r="Q713">
        <v>1.3862943611198906</v>
      </c>
      <c r="R713">
        <v>1.3862943611198906</v>
      </c>
      <c r="S713">
        <v>4.9972122737641147</v>
      </c>
      <c r="T713">
        <v>90.035146103896111</v>
      </c>
      <c r="U713">
        <v>1.418823059726001</v>
      </c>
      <c r="V713">
        <v>-0.52223564926899602</v>
      </c>
      <c r="W713">
        <v>-0.46072710968150399</v>
      </c>
      <c r="X713">
        <v>-0.361786268345754</v>
      </c>
      <c r="Y713">
        <v>-0.552694479448822</v>
      </c>
      <c r="Z713">
        <v>2.1676297177028899E-2</v>
      </c>
      <c r="AA713">
        <v>0.625223797005378</v>
      </c>
      <c r="AB713">
        <v>2234.6992515788952</v>
      </c>
      <c r="AC713">
        <v>0</v>
      </c>
      <c r="AD713">
        <v>0.12112735591028891</v>
      </c>
      <c r="AE713">
        <v>-0.60610368582010199</v>
      </c>
      <c r="AF713">
        <v>-1.57871401841907</v>
      </c>
      <c r="AG713">
        <v>1.28175018704062</v>
      </c>
      <c r="AH713">
        <v>-1.07391361897815</v>
      </c>
      <c r="AI713">
        <v>-0.92658627099731705</v>
      </c>
      <c r="AJ713">
        <v>0.80314069966753898</v>
      </c>
      <c r="AK713">
        <v>47.411035099999999</v>
      </c>
      <c r="AL713">
        <v>0.98369799999999996</v>
      </c>
      <c r="AM713">
        <v>48.898000000000003</v>
      </c>
      <c r="AN713">
        <v>2.2559999999999998</v>
      </c>
    </row>
    <row r="714" spans="1:40" x14ac:dyDescent="0.35">
      <c r="A714">
        <v>900</v>
      </c>
      <c r="B714">
        <v>57</v>
      </c>
      <c r="C714" t="s">
        <v>40</v>
      </c>
      <c r="D714" t="s">
        <v>41</v>
      </c>
      <c r="E714" t="s">
        <v>42</v>
      </c>
      <c r="F714" t="s">
        <v>49</v>
      </c>
      <c r="G714">
        <v>6</v>
      </c>
      <c r="H714">
        <v>36</v>
      </c>
      <c r="I714">
        <v>6</v>
      </c>
      <c r="J714" t="s">
        <v>50</v>
      </c>
      <c r="K714" t="s">
        <v>46</v>
      </c>
      <c r="L714" t="s">
        <v>60</v>
      </c>
      <c r="M714">
        <v>576.34723589191947</v>
      </c>
      <c r="N714">
        <v>556</v>
      </c>
      <c r="O714">
        <v>380</v>
      </c>
      <c r="P714">
        <v>268</v>
      </c>
      <c r="Q714">
        <v>3.8501476017100584</v>
      </c>
      <c r="R714">
        <v>2.9957322735539909</v>
      </c>
      <c r="S714">
        <v>5.4424177105217932</v>
      </c>
      <c r="T714">
        <v>88.975873222691746</v>
      </c>
      <c r="U714">
        <v>2.5514539469641888</v>
      </c>
      <c r="V714">
        <v>2.9336799326863701</v>
      </c>
      <c r="W714">
        <v>3.3730943146768602</v>
      </c>
      <c r="X714">
        <v>3.6072071704345601</v>
      </c>
      <c r="Y714">
        <v>-0.19189497559235799</v>
      </c>
      <c r="Z714">
        <v>0.17569111512999699</v>
      </c>
      <c r="AA714">
        <v>-0.304970615080496</v>
      </c>
      <c r="AB714">
        <v>1906.836709612184</v>
      </c>
      <c r="AC714">
        <v>0.7978420820676605</v>
      </c>
      <c r="AD714">
        <v>2.1056638128240834</v>
      </c>
      <c r="AE714">
        <v>-0.25037207080954499</v>
      </c>
      <c r="AF714">
        <v>-0.75510486473150895</v>
      </c>
      <c r="AG714">
        <v>-1.55545115763172</v>
      </c>
      <c r="AH714">
        <v>1.05025908821251</v>
      </c>
      <c r="AI714">
        <v>5.3901248852631298E-2</v>
      </c>
      <c r="AJ714">
        <v>0.50293356324948102</v>
      </c>
      <c r="AK714">
        <v>44.055988999999997</v>
      </c>
      <c r="AL714">
        <v>4.8317350000000001</v>
      </c>
      <c r="AM714">
        <v>48.820250000000001</v>
      </c>
      <c r="AN714">
        <v>1.8869999999999998</v>
      </c>
    </row>
    <row r="715" spans="1:40" x14ac:dyDescent="0.35">
      <c r="A715">
        <v>901</v>
      </c>
      <c r="B715">
        <v>42</v>
      </c>
      <c r="C715" t="s">
        <v>40</v>
      </c>
      <c r="D715" t="s">
        <v>41</v>
      </c>
      <c r="E715" t="s">
        <v>42</v>
      </c>
      <c r="F715" t="s">
        <v>49</v>
      </c>
      <c r="G715">
        <v>2</v>
      </c>
      <c r="H715">
        <v>4</v>
      </c>
      <c r="I715">
        <v>2</v>
      </c>
      <c r="J715" t="s">
        <v>56</v>
      </c>
      <c r="K715" t="s">
        <v>46</v>
      </c>
      <c r="L715" t="s">
        <v>58</v>
      </c>
      <c r="M715">
        <v>462.49436506648141</v>
      </c>
      <c r="N715">
        <v>214</v>
      </c>
      <c r="O715">
        <v>150</v>
      </c>
      <c r="P715">
        <v>145</v>
      </c>
      <c r="Q715">
        <v>3.2580965380214821</v>
      </c>
      <c r="R715">
        <v>2.8903717578961645</v>
      </c>
      <c r="S715">
        <v>4.7535901911063645</v>
      </c>
      <c r="T715">
        <v>90.794285714285706</v>
      </c>
      <c r="U715">
        <v>0</v>
      </c>
      <c r="V715">
        <v>0.63905639120027702</v>
      </c>
      <c r="W715">
        <v>0.692565001186083</v>
      </c>
      <c r="X715">
        <v>0.56469097254324596</v>
      </c>
      <c r="Y715">
        <v>1.4483117406157899</v>
      </c>
      <c r="Z715">
        <v>1.7680602694732599</v>
      </c>
      <c r="AA715">
        <v>0.26366440732357699</v>
      </c>
      <c r="AB715">
        <v>4236</v>
      </c>
      <c r="AC715">
        <v>0</v>
      </c>
      <c r="AD715">
        <v>4</v>
      </c>
      <c r="AE715">
        <v>1.6751267091712101</v>
      </c>
      <c r="AF715">
        <v>0.20399719093777099</v>
      </c>
      <c r="AG715">
        <v>-0.27882928024496401</v>
      </c>
      <c r="AH715">
        <v>-0.31467562153256701</v>
      </c>
      <c r="AI715">
        <v>-0.46037099113262803</v>
      </c>
      <c r="AJ715">
        <v>1.1376172341166899</v>
      </c>
      <c r="AK715">
        <v>45.198478000000001</v>
      </c>
      <c r="AL715">
        <v>-0.74874399999999997</v>
      </c>
      <c r="AM715">
        <v>48.716000000000001</v>
      </c>
      <c r="AN715">
        <v>2.4929999999999999</v>
      </c>
    </row>
    <row r="716" spans="1:40" x14ac:dyDescent="0.35">
      <c r="A716">
        <v>902</v>
      </c>
      <c r="B716">
        <v>72</v>
      </c>
      <c r="C716" t="s">
        <v>48</v>
      </c>
      <c r="D716" t="s">
        <v>52</v>
      </c>
      <c r="E716" t="s">
        <v>42</v>
      </c>
      <c r="F716" t="s">
        <v>49</v>
      </c>
      <c r="G716">
        <v>5</v>
      </c>
      <c r="H716">
        <v>25</v>
      </c>
      <c r="I716">
        <v>5</v>
      </c>
      <c r="J716" t="s">
        <v>56</v>
      </c>
      <c r="K716" t="s">
        <v>46</v>
      </c>
      <c r="L716" t="s">
        <v>76</v>
      </c>
      <c r="M716">
        <v>171.01269642641191</v>
      </c>
      <c r="N716">
        <v>574</v>
      </c>
      <c r="O716">
        <v>300</v>
      </c>
      <c r="P716">
        <v>361</v>
      </c>
      <c r="Q716">
        <v>0</v>
      </c>
      <c r="R716">
        <v>1.0986122886681098</v>
      </c>
      <c r="S716">
        <v>4.1588830833596715</v>
      </c>
      <c r="T716">
        <v>91.226666666666674</v>
      </c>
      <c r="U716">
        <v>1.418823059726001</v>
      </c>
      <c r="V716">
        <v>-0.39095273818515502</v>
      </c>
      <c r="W716">
        <v>-0.53446083104759001</v>
      </c>
      <c r="X716">
        <v>-0.40804429067029002</v>
      </c>
      <c r="Y716">
        <v>-0.56789545922357498</v>
      </c>
      <c r="Z716">
        <v>-0.94760790482486201</v>
      </c>
      <c r="AA716">
        <v>-1.0848673571571601</v>
      </c>
      <c r="AB716">
        <v>1770.5103102717287</v>
      </c>
      <c r="AC716">
        <v>0.28213528618230871</v>
      </c>
      <c r="AD716">
        <v>1.7130468298323378</v>
      </c>
      <c r="AE716">
        <v>-1.13486126839574</v>
      </c>
      <c r="AF716">
        <v>-0.41359929528515699</v>
      </c>
      <c r="AG716">
        <v>1.17905521405881</v>
      </c>
      <c r="AH716">
        <v>-0.70281603556713301</v>
      </c>
      <c r="AI716">
        <v>-0.308061671178811</v>
      </c>
      <c r="AJ716">
        <v>-0.36614722747870398</v>
      </c>
      <c r="AK716">
        <v>47.330690599999997</v>
      </c>
      <c r="AL716">
        <v>2.8390453999999998</v>
      </c>
      <c r="AM716">
        <v>48.822000000000003</v>
      </c>
      <c r="AN716">
        <v>2.2869999999999995</v>
      </c>
    </row>
    <row r="717" spans="1:40" x14ac:dyDescent="0.35">
      <c r="A717">
        <v>903</v>
      </c>
      <c r="B717">
        <v>21.5</v>
      </c>
      <c r="C717" t="s">
        <v>40</v>
      </c>
      <c r="D717" t="s">
        <v>66</v>
      </c>
      <c r="E717" t="s">
        <v>42</v>
      </c>
      <c r="F717" t="s">
        <v>49</v>
      </c>
      <c r="G717">
        <v>6</v>
      </c>
      <c r="H717">
        <v>36</v>
      </c>
      <c r="I717">
        <v>5</v>
      </c>
      <c r="J717" t="s">
        <v>50</v>
      </c>
      <c r="K717" t="s">
        <v>46</v>
      </c>
      <c r="L717" t="s">
        <v>70</v>
      </c>
      <c r="M717">
        <v>483.16542004527378</v>
      </c>
      <c r="N717">
        <v>612</v>
      </c>
      <c r="O717">
        <v>386</v>
      </c>
      <c r="P717">
        <v>298</v>
      </c>
      <c r="Q717">
        <v>0</v>
      </c>
      <c r="R717">
        <v>0</v>
      </c>
      <c r="S717">
        <v>5.3230099791384085</v>
      </c>
      <c r="T717">
        <v>90.615999999999985</v>
      </c>
      <c r="U717">
        <v>1.11573792223403</v>
      </c>
      <c r="V717">
        <v>0.80288722813325297</v>
      </c>
      <c r="W717">
        <v>0.52082154240315903</v>
      </c>
      <c r="X717">
        <v>0.61908815691345198</v>
      </c>
      <c r="Y717">
        <v>1.5007680231051199</v>
      </c>
      <c r="Z717">
        <v>0.24292628533916899</v>
      </c>
      <c r="AA717">
        <v>8.5217386942517098E-2</v>
      </c>
      <c r="AB717">
        <v>3943</v>
      </c>
      <c r="AC717">
        <v>0</v>
      </c>
      <c r="AD717">
        <v>1</v>
      </c>
      <c r="AE717">
        <v>1.1088815174583</v>
      </c>
      <c r="AF717">
        <v>-0.42232088556501601</v>
      </c>
      <c r="AG717">
        <v>-0.33492557504498699</v>
      </c>
      <c r="AH717">
        <v>0.36520267024449399</v>
      </c>
      <c r="AI717">
        <v>0.89675246332858405</v>
      </c>
      <c r="AJ717">
        <v>0.61255916837987601</v>
      </c>
      <c r="AK717">
        <v>46.098678999999997</v>
      </c>
      <c r="AL717">
        <v>4.7359530000000003</v>
      </c>
      <c r="AM717">
        <v>44.585999999999999</v>
      </c>
      <c r="AN717">
        <v>-1.054</v>
      </c>
    </row>
    <row r="718" spans="1:40" x14ac:dyDescent="0.35">
      <c r="A718">
        <v>907</v>
      </c>
      <c r="B718">
        <v>57</v>
      </c>
      <c r="C718" t="s">
        <v>40</v>
      </c>
      <c r="D718" t="s">
        <v>41</v>
      </c>
      <c r="E718" t="s">
        <v>42</v>
      </c>
      <c r="F718" t="s">
        <v>49</v>
      </c>
      <c r="G718">
        <v>5</v>
      </c>
      <c r="H718">
        <v>25</v>
      </c>
      <c r="I718">
        <v>6</v>
      </c>
      <c r="J718" t="s">
        <v>56</v>
      </c>
      <c r="K718" t="s">
        <v>46</v>
      </c>
      <c r="L718" t="s">
        <v>72</v>
      </c>
      <c r="M718">
        <v>472.86068707051038</v>
      </c>
      <c r="N718">
        <v>184</v>
      </c>
      <c r="O718">
        <v>154</v>
      </c>
      <c r="P718">
        <v>161</v>
      </c>
      <c r="Q718">
        <v>0.69314718055994529</v>
      </c>
      <c r="R718">
        <v>1.3862943611198906</v>
      </c>
      <c r="S718">
        <v>4.5538768916005408</v>
      </c>
      <c r="T718">
        <v>89.340161030595823</v>
      </c>
      <c r="U718">
        <v>1.4712304197281412</v>
      </c>
      <c r="V718">
        <v>0.59716251398508702</v>
      </c>
      <c r="W718">
        <v>0.91068296986709796</v>
      </c>
      <c r="X718">
        <v>1.2273243988355</v>
      </c>
      <c r="Y718">
        <v>-0.4121809470949</v>
      </c>
      <c r="Z718">
        <v>-0.86472582726521097</v>
      </c>
      <c r="AA718">
        <v>-1.0172779374790899</v>
      </c>
      <c r="AB718">
        <v>1828.1689246701658</v>
      </c>
      <c r="AC718">
        <v>1.1127464888636687</v>
      </c>
      <c r="AD718">
        <v>1.8630656830756136</v>
      </c>
      <c r="AE718">
        <v>-0.53926882203722504</v>
      </c>
      <c r="AF718">
        <v>0.47629582897485501</v>
      </c>
      <c r="AG718">
        <v>0.34258773625981398</v>
      </c>
      <c r="AH718">
        <v>0.59256987783334802</v>
      </c>
      <c r="AI718">
        <v>1.7963615084925799</v>
      </c>
      <c r="AJ718">
        <v>-0.84187742765479001</v>
      </c>
      <c r="AK718">
        <v>44.853456999999999</v>
      </c>
      <c r="AL718">
        <v>0.48753099999999999</v>
      </c>
      <c r="AM718">
        <v>48.91</v>
      </c>
      <c r="AN718">
        <v>2.3330000000000002</v>
      </c>
    </row>
    <row r="719" spans="1:40" x14ac:dyDescent="0.35">
      <c r="A719">
        <v>909</v>
      </c>
      <c r="B719">
        <v>42</v>
      </c>
      <c r="C719" t="s">
        <v>40</v>
      </c>
      <c r="D719" t="s">
        <v>66</v>
      </c>
      <c r="E719" t="s">
        <v>42</v>
      </c>
      <c r="F719" t="s">
        <v>49</v>
      </c>
      <c r="G719">
        <v>3</v>
      </c>
      <c r="H719">
        <v>9</v>
      </c>
      <c r="I719">
        <v>5</v>
      </c>
      <c r="J719" t="s">
        <v>50</v>
      </c>
      <c r="K719" t="s">
        <v>46</v>
      </c>
      <c r="L719" t="s">
        <v>51</v>
      </c>
      <c r="M719">
        <v>157.82131685425651</v>
      </c>
      <c r="N719">
        <v>725</v>
      </c>
      <c r="O719">
        <v>438</v>
      </c>
      <c r="P719">
        <v>332</v>
      </c>
      <c r="Q719">
        <v>0</v>
      </c>
      <c r="R719">
        <v>1.3862943611198906</v>
      </c>
      <c r="S719">
        <v>4.3438054218536841</v>
      </c>
      <c r="T719">
        <v>91.16</v>
      </c>
      <c r="U719">
        <v>2.3174698847378039</v>
      </c>
      <c r="V719">
        <v>-0.58471966768986094</v>
      </c>
      <c r="W719">
        <v>-0.55557078097057</v>
      </c>
      <c r="X719">
        <v>-0.47566183223429498</v>
      </c>
      <c r="Y719">
        <v>-0.95884680312505799</v>
      </c>
      <c r="Z719">
        <v>-0.76521334103430205</v>
      </c>
      <c r="AA719">
        <v>-0.77245900699560299</v>
      </c>
      <c r="AB719">
        <v>1376</v>
      </c>
      <c r="AC719">
        <v>0</v>
      </c>
      <c r="AD719">
        <v>2</v>
      </c>
      <c r="AE719">
        <v>-1.2769936012368599</v>
      </c>
      <c r="AF719">
        <v>-0.27483082540945197</v>
      </c>
      <c r="AG719">
        <v>-0.21328386743036401</v>
      </c>
      <c r="AH719">
        <v>-1.8310673179291601</v>
      </c>
      <c r="AI719">
        <v>-0.87844910587026503</v>
      </c>
      <c r="AJ719">
        <v>-0.86330234022154695</v>
      </c>
      <c r="AK719">
        <v>47.815207299999997</v>
      </c>
      <c r="AL719">
        <v>3.8001657</v>
      </c>
      <c r="AM719">
        <v>48.856372813999997</v>
      </c>
      <c r="AN719">
        <v>2.3525296170000001</v>
      </c>
    </row>
    <row r="720" spans="1:40" x14ac:dyDescent="0.35">
      <c r="A720">
        <v>910</v>
      </c>
      <c r="B720">
        <v>57</v>
      </c>
      <c r="C720" t="s">
        <v>40</v>
      </c>
      <c r="D720" t="s">
        <v>41</v>
      </c>
      <c r="E720" t="s">
        <v>42</v>
      </c>
      <c r="F720" t="s">
        <v>61</v>
      </c>
      <c r="G720">
        <v>5</v>
      </c>
      <c r="H720">
        <v>25</v>
      </c>
      <c r="I720">
        <v>6</v>
      </c>
      <c r="J720" t="s">
        <v>50</v>
      </c>
      <c r="K720" t="s">
        <v>46</v>
      </c>
      <c r="L720" t="s">
        <v>47</v>
      </c>
      <c r="M720">
        <v>565.23637093561354</v>
      </c>
      <c r="N720">
        <v>573</v>
      </c>
      <c r="O720">
        <v>376</v>
      </c>
      <c r="P720">
        <v>220</v>
      </c>
      <c r="Q720">
        <v>5.9107966440405271</v>
      </c>
      <c r="R720">
        <v>6.4997870406558542</v>
      </c>
      <c r="S720">
        <v>8.6415324656718457</v>
      </c>
      <c r="T720">
        <v>89.265350482850479</v>
      </c>
      <c r="U720">
        <v>1.4417786561042019</v>
      </c>
      <c r="V720">
        <v>-0.22886708829074301</v>
      </c>
      <c r="W720">
        <v>0.28745285629339301</v>
      </c>
      <c r="X720">
        <v>-0.15627425222847</v>
      </c>
      <c r="Y720">
        <v>1.45226138127617</v>
      </c>
      <c r="Z720">
        <v>0.98247225355557</v>
      </c>
      <c r="AA720">
        <v>0.627775520474398</v>
      </c>
      <c r="AB720">
        <v>3362.2959371744532</v>
      </c>
      <c r="AC720">
        <v>2.8998317172850387</v>
      </c>
      <c r="AD720">
        <v>2.9499158586425196</v>
      </c>
      <c r="AE720">
        <v>1.06273170356322</v>
      </c>
      <c r="AF720">
        <v>1.1337251983138501</v>
      </c>
      <c r="AG720">
        <v>-1.7936120355255101</v>
      </c>
      <c r="AH720">
        <v>0.84514302963787202</v>
      </c>
      <c r="AI720">
        <v>1.4836044289928401</v>
      </c>
      <c r="AJ720">
        <v>0.76193534118230599</v>
      </c>
      <c r="AK720">
        <v>43.3535629403058</v>
      </c>
      <c r="AL720">
        <v>3.21615314793977</v>
      </c>
      <c r="AM720">
        <v>48.38313333333334</v>
      </c>
      <c r="AN720">
        <v>2.2141333333333337</v>
      </c>
    </row>
    <row r="721" spans="1:40" x14ac:dyDescent="0.35">
      <c r="A721">
        <v>911</v>
      </c>
      <c r="B721">
        <v>29.5</v>
      </c>
      <c r="C721" t="s">
        <v>40</v>
      </c>
      <c r="D721" t="s">
        <v>41</v>
      </c>
      <c r="E721" t="s">
        <v>42</v>
      </c>
      <c r="F721" t="s">
        <v>61</v>
      </c>
      <c r="G721">
        <v>6</v>
      </c>
      <c r="H721">
        <v>36</v>
      </c>
      <c r="I721">
        <v>5</v>
      </c>
      <c r="J721" t="s">
        <v>56</v>
      </c>
      <c r="K721" t="s">
        <v>46</v>
      </c>
      <c r="L721" t="s">
        <v>55</v>
      </c>
      <c r="M721">
        <v>410.16604442136003</v>
      </c>
      <c r="N721">
        <v>142</v>
      </c>
      <c r="O721">
        <v>100</v>
      </c>
      <c r="P721">
        <v>112</v>
      </c>
      <c r="Q721">
        <v>2.0794415416798357</v>
      </c>
      <c r="R721">
        <v>2.3025850929940459</v>
      </c>
      <c r="S721">
        <v>3.2580965380214821</v>
      </c>
      <c r="T721">
        <v>95.12</v>
      </c>
      <c r="U721">
        <v>0</v>
      </c>
      <c r="V721">
        <v>1.89305099905856</v>
      </c>
      <c r="W721">
        <v>0.59880690621441701</v>
      </c>
      <c r="X721">
        <v>1.1856460040685599</v>
      </c>
      <c r="Y721">
        <v>-0.15565097555555901</v>
      </c>
      <c r="Z721">
        <v>-0.22748295097212001</v>
      </c>
      <c r="AA721">
        <v>1.0415013010201299</v>
      </c>
      <c r="AB721">
        <v>2939.9504036908884</v>
      </c>
      <c r="AC721">
        <v>2</v>
      </c>
      <c r="AD721">
        <v>0.42868127643214149</v>
      </c>
      <c r="AE721">
        <v>-2.40641039566141E-2</v>
      </c>
      <c r="AF721">
        <v>9.1640838868455393E-2</v>
      </c>
      <c r="AG721">
        <v>0.626564046412182</v>
      </c>
      <c r="AH721">
        <v>-1.45321720458203</v>
      </c>
      <c r="AI721">
        <v>-0.70044089817124799</v>
      </c>
      <c r="AJ721">
        <v>1.06756143254834</v>
      </c>
      <c r="AK721">
        <v>48.0777517</v>
      </c>
      <c r="AL721">
        <v>7.3579641000000002</v>
      </c>
      <c r="AM721">
        <v>48.79</v>
      </c>
      <c r="AN721">
        <v>1.9079999999999999</v>
      </c>
    </row>
    <row r="722" spans="1:40" x14ac:dyDescent="0.35">
      <c r="A722">
        <v>912</v>
      </c>
      <c r="B722">
        <v>42</v>
      </c>
      <c r="C722" t="s">
        <v>48</v>
      </c>
      <c r="D722" t="s">
        <v>41</v>
      </c>
      <c r="E722" t="s">
        <v>42</v>
      </c>
      <c r="F722" t="s">
        <v>49</v>
      </c>
      <c r="G722">
        <v>5</v>
      </c>
      <c r="H722">
        <v>25</v>
      </c>
      <c r="I722">
        <v>6</v>
      </c>
      <c r="J722" t="s">
        <v>56</v>
      </c>
      <c r="K722" t="s">
        <v>46</v>
      </c>
      <c r="L722" t="s">
        <v>62</v>
      </c>
      <c r="M722">
        <v>119.2726408538979</v>
      </c>
      <c r="N722">
        <v>197</v>
      </c>
      <c r="O722">
        <v>110</v>
      </c>
      <c r="P722">
        <v>184</v>
      </c>
      <c r="Q722">
        <v>0.69314718055994529</v>
      </c>
      <c r="R722">
        <v>3.2580965380214821</v>
      </c>
      <c r="S722">
        <v>3.2580965380214821</v>
      </c>
      <c r="T722">
        <v>95.68</v>
      </c>
      <c r="U722">
        <v>0</v>
      </c>
      <c r="V722">
        <v>1.82802042479695</v>
      </c>
      <c r="W722">
        <v>0.99424279543483596</v>
      </c>
      <c r="X722">
        <v>0.99177342203587404</v>
      </c>
      <c r="Y722">
        <v>-0.96278755162326501</v>
      </c>
      <c r="Z722">
        <v>-0.75605764486205096</v>
      </c>
      <c r="AA722">
        <v>-0.80037586101695801</v>
      </c>
      <c r="AB722">
        <v>2092.91</v>
      </c>
      <c r="AC722">
        <v>0</v>
      </c>
      <c r="AD722">
        <v>2.1</v>
      </c>
      <c r="AE722">
        <v>-1.0768626388726401</v>
      </c>
      <c r="AF722">
        <v>-1.9783432787066799</v>
      </c>
      <c r="AG722">
        <v>-0.74852869282982604</v>
      </c>
      <c r="AH722">
        <v>0.57425726439276603</v>
      </c>
      <c r="AI722">
        <v>-0.78126651022446802</v>
      </c>
      <c r="AJ722">
        <v>1.3377138486000899</v>
      </c>
      <c r="AK722">
        <v>49.042560999999999</v>
      </c>
      <c r="AL722">
        <v>3.9528660000000002</v>
      </c>
      <c r="AM722">
        <v>48.91</v>
      </c>
      <c r="AN722">
        <v>2.3330000000000002</v>
      </c>
    </row>
    <row r="723" spans="1:40" x14ac:dyDescent="0.35">
      <c r="A723">
        <v>913</v>
      </c>
      <c r="B723">
        <v>42</v>
      </c>
      <c r="C723" t="s">
        <v>40</v>
      </c>
      <c r="D723" t="s">
        <v>66</v>
      </c>
      <c r="E723" t="s">
        <v>42</v>
      </c>
      <c r="F723" t="s">
        <v>43</v>
      </c>
      <c r="G723">
        <v>6</v>
      </c>
      <c r="H723">
        <v>36</v>
      </c>
      <c r="I723">
        <v>5</v>
      </c>
      <c r="J723" t="s">
        <v>56</v>
      </c>
      <c r="K723" t="s">
        <v>46</v>
      </c>
      <c r="L723" t="s">
        <v>65</v>
      </c>
      <c r="M723">
        <v>137.7382024921061</v>
      </c>
      <c r="N723">
        <v>227</v>
      </c>
      <c r="O723">
        <v>173</v>
      </c>
      <c r="P723">
        <v>133</v>
      </c>
      <c r="Q723">
        <v>0</v>
      </c>
      <c r="R723">
        <v>0</v>
      </c>
      <c r="S723">
        <v>4.4543472962535073</v>
      </c>
      <c r="T723">
        <v>89.333044733044744</v>
      </c>
      <c r="U723">
        <v>1.2554235437523662</v>
      </c>
      <c r="V723">
        <v>1.64975517953679</v>
      </c>
      <c r="W723">
        <v>2.4220969657957299</v>
      </c>
      <c r="X723">
        <v>1.68128863126442</v>
      </c>
      <c r="Y723">
        <v>2.0553398017137301</v>
      </c>
      <c r="Z723">
        <v>2.0921400018840099</v>
      </c>
      <c r="AA723">
        <v>2.0596698968962701</v>
      </c>
      <c r="AB723">
        <v>3262.71</v>
      </c>
      <c r="AC723">
        <v>0.33</v>
      </c>
      <c r="AD723">
        <v>0.66</v>
      </c>
      <c r="AE723">
        <v>1.9221838973381</v>
      </c>
      <c r="AF723">
        <v>-2.0091496669722102</v>
      </c>
      <c r="AG723">
        <v>-2.3169022627190698</v>
      </c>
      <c r="AH723">
        <v>-1.2466521474814001</v>
      </c>
      <c r="AI723">
        <v>-2.2670938218728498</v>
      </c>
      <c r="AJ723">
        <v>-0.74060185235677101</v>
      </c>
      <c r="AK723">
        <v>43.537466000000002</v>
      </c>
      <c r="AL723">
        <v>6.4627330000000001</v>
      </c>
      <c r="AM723">
        <v>43.935000000000002</v>
      </c>
      <c r="AN723">
        <v>4.8410000000000002</v>
      </c>
    </row>
    <row r="724" spans="1:40" x14ac:dyDescent="0.35">
      <c r="A724">
        <v>914</v>
      </c>
      <c r="B724">
        <v>57</v>
      </c>
      <c r="C724" t="s">
        <v>40</v>
      </c>
      <c r="D724" t="s">
        <v>41</v>
      </c>
      <c r="E724" t="s">
        <v>42</v>
      </c>
      <c r="F724" t="s">
        <v>61</v>
      </c>
      <c r="G724">
        <v>6</v>
      </c>
      <c r="H724">
        <v>36</v>
      </c>
      <c r="I724">
        <v>6</v>
      </c>
      <c r="J724" t="s">
        <v>50</v>
      </c>
      <c r="K724" t="s">
        <v>46</v>
      </c>
      <c r="L724" t="s">
        <v>59</v>
      </c>
      <c r="M724">
        <v>188.61889947486529</v>
      </c>
      <c r="N724">
        <v>577</v>
      </c>
      <c r="O724">
        <v>376</v>
      </c>
      <c r="P724">
        <v>162</v>
      </c>
      <c r="Q724">
        <v>1.3862943611198906</v>
      </c>
      <c r="R724">
        <v>1.3862943611198906</v>
      </c>
      <c r="S724">
        <v>4.9972122737641147</v>
      </c>
      <c r="T724">
        <v>90.035146103896111</v>
      </c>
      <c r="U724">
        <v>1.418823059726001</v>
      </c>
      <c r="V724">
        <v>-0.52223564926899602</v>
      </c>
      <c r="W724">
        <v>-0.46072710968150399</v>
      </c>
      <c r="X724">
        <v>-0.361786268345754</v>
      </c>
      <c r="Y724">
        <v>-0.552694479448822</v>
      </c>
      <c r="Z724">
        <v>2.1676297177028899E-2</v>
      </c>
      <c r="AA724">
        <v>0.625223797005378</v>
      </c>
      <c r="AB724">
        <v>2234.6992515788952</v>
      </c>
      <c r="AC724">
        <v>0</v>
      </c>
      <c r="AD724">
        <v>0.12112735591028891</v>
      </c>
      <c r="AE724">
        <v>-0.60610368582010199</v>
      </c>
      <c r="AF724">
        <v>-0.376237633152531</v>
      </c>
      <c r="AG724">
        <v>-0.35069819748650399</v>
      </c>
      <c r="AH724">
        <v>1.05668460670251</v>
      </c>
      <c r="AI724">
        <v>0.79250010349533895</v>
      </c>
      <c r="AJ724">
        <v>1.1471634246589</v>
      </c>
      <c r="AK724">
        <v>47.411035099999999</v>
      </c>
      <c r="AL724">
        <v>0.98369799999999996</v>
      </c>
      <c r="AM724">
        <v>48.895999999999994</v>
      </c>
      <c r="AN724">
        <v>2.2069999999999999</v>
      </c>
    </row>
    <row r="725" spans="1:40" x14ac:dyDescent="0.35">
      <c r="A725">
        <v>915</v>
      </c>
      <c r="B725">
        <v>57</v>
      </c>
      <c r="C725" t="s">
        <v>40</v>
      </c>
      <c r="D725" t="s">
        <v>41</v>
      </c>
      <c r="E725" t="s">
        <v>42</v>
      </c>
      <c r="F725" t="s">
        <v>43</v>
      </c>
      <c r="G725">
        <v>6</v>
      </c>
      <c r="H725">
        <v>36</v>
      </c>
      <c r="I725">
        <v>5</v>
      </c>
      <c r="J725" t="s">
        <v>50</v>
      </c>
      <c r="K725" t="s">
        <v>46</v>
      </c>
      <c r="L725" t="s">
        <v>54</v>
      </c>
      <c r="M725">
        <v>480.15798946796377</v>
      </c>
      <c r="N725">
        <v>423</v>
      </c>
      <c r="O725">
        <v>220</v>
      </c>
      <c r="P725">
        <v>168</v>
      </c>
      <c r="Q725">
        <v>3.9889840465642745</v>
      </c>
      <c r="R725">
        <v>3.0910424533583161</v>
      </c>
      <c r="S725">
        <v>4.1271343850450917</v>
      </c>
      <c r="T725">
        <v>92.826666666666668</v>
      </c>
      <c r="U725">
        <v>2.9827057067926286</v>
      </c>
      <c r="V725">
        <v>-0.16604708794949699</v>
      </c>
      <c r="W725">
        <v>-0.150727876652859</v>
      </c>
      <c r="X725">
        <v>-0.19602043866096</v>
      </c>
      <c r="Y725">
        <v>1.4483117406157899</v>
      </c>
      <c r="Z725">
        <v>1.7680602694732599</v>
      </c>
      <c r="AA725">
        <v>0.26366440732357699</v>
      </c>
      <c r="AB725">
        <v>4236</v>
      </c>
      <c r="AC725">
        <v>0</v>
      </c>
      <c r="AD725">
        <v>4</v>
      </c>
      <c r="AE725">
        <v>1.6751267091712101</v>
      </c>
      <c r="AF725">
        <v>-1.0011386552418999</v>
      </c>
      <c r="AG725">
        <v>-0.60826569099150496</v>
      </c>
      <c r="AH725">
        <v>1.2295644528148499</v>
      </c>
      <c r="AI725">
        <v>-0.46180847014333498</v>
      </c>
      <c r="AJ725">
        <v>1.26884489551113</v>
      </c>
      <c r="AK725">
        <v>44.917983300000003</v>
      </c>
      <c r="AL725">
        <v>-0.22352169999999999</v>
      </c>
      <c r="AM725">
        <v>48.856372813999997</v>
      </c>
      <c r="AN725">
        <v>2.3525296170000001</v>
      </c>
    </row>
    <row r="726" spans="1:40" x14ac:dyDescent="0.35">
      <c r="A726">
        <v>916</v>
      </c>
      <c r="B726">
        <v>57</v>
      </c>
      <c r="C726" t="s">
        <v>40</v>
      </c>
      <c r="D726" t="s">
        <v>41</v>
      </c>
      <c r="E726" t="s">
        <v>42</v>
      </c>
      <c r="F726" t="s">
        <v>43</v>
      </c>
      <c r="G726">
        <v>5</v>
      </c>
      <c r="H726">
        <v>25</v>
      </c>
      <c r="I726">
        <v>5</v>
      </c>
      <c r="J726" t="s">
        <v>56</v>
      </c>
      <c r="K726" t="s">
        <v>46</v>
      </c>
      <c r="L726" t="s">
        <v>70</v>
      </c>
      <c r="M726">
        <v>355.48069403017831</v>
      </c>
      <c r="N726">
        <v>643</v>
      </c>
      <c r="O726">
        <v>320</v>
      </c>
      <c r="P726">
        <v>317</v>
      </c>
      <c r="Q726">
        <v>0</v>
      </c>
      <c r="R726">
        <v>0</v>
      </c>
      <c r="S726">
        <v>5.3230099791384085</v>
      </c>
      <c r="T726">
        <v>90.615999999999985</v>
      </c>
      <c r="U726">
        <v>1.11573792223403</v>
      </c>
      <c r="V726">
        <v>0.80288722813325297</v>
      </c>
      <c r="W726">
        <v>0.52082154240315903</v>
      </c>
      <c r="X726">
        <v>0.61908815691345198</v>
      </c>
      <c r="Y726">
        <v>1.5007680231051199</v>
      </c>
      <c r="Z726">
        <v>0.24292628533916899</v>
      </c>
      <c r="AA726">
        <v>8.5217386942517098E-2</v>
      </c>
      <c r="AB726">
        <v>3943</v>
      </c>
      <c r="AC726">
        <v>0</v>
      </c>
      <c r="AD726">
        <v>1</v>
      </c>
      <c r="AE726">
        <v>1.1088815174583</v>
      </c>
      <c r="AF726">
        <v>-0.73002179870978301</v>
      </c>
      <c r="AG726">
        <v>0.224710476436598</v>
      </c>
      <c r="AH726">
        <v>2.6886628698873496E-2</v>
      </c>
      <c r="AI726">
        <v>4.2961556274449801E-2</v>
      </c>
      <c r="AJ726">
        <v>0.70424813355875304</v>
      </c>
      <c r="AK726">
        <v>46.098678999999997</v>
      </c>
      <c r="AL726">
        <v>4.7359530000000003</v>
      </c>
      <c r="AM726">
        <v>48.856372813999997</v>
      </c>
      <c r="AN726">
        <v>2.3525296170000001</v>
      </c>
    </row>
    <row r="727" spans="1:40" x14ac:dyDescent="0.35">
      <c r="A727">
        <v>917</v>
      </c>
      <c r="B727">
        <v>42</v>
      </c>
      <c r="C727" t="s">
        <v>40</v>
      </c>
      <c r="D727" t="s">
        <v>41</v>
      </c>
      <c r="E727" t="s">
        <v>42</v>
      </c>
      <c r="F727" t="s">
        <v>61</v>
      </c>
      <c r="G727">
        <v>5</v>
      </c>
      <c r="H727">
        <v>25</v>
      </c>
      <c r="I727">
        <v>5</v>
      </c>
      <c r="J727" t="s">
        <v>56</v>
      </c>
      <c r="K727" t="s">
        <v>46</v>
      </c>
      <c r="L727" t="s">
        <v>60</v>
      </c>
      <c r="M727">
        <v>547.47235040690464</v>
      </c>
      <c r="N727">
        <v>184</v>
      </c>
      <c r="O727">
        <v>154</v>
      </c>
      <c r="P727">
        <v>161</v>
      </c>
      <c r="Q727">
        <v>3.8501476017100584</v>
      </c>
      <c r="R727">
        <v>2.9957322735539909</v>
      </c>
      <c r="S727">
        <v>5.4424177105217932</v>
      </c>
      <c r="T727">
        <v>88.975873222691746</v>
      </c>
      <c r="U727">
        <v>2.5514539469641888</v>
      </c>
      <c r="V727">
        <v>2.9336799326863701</v>
      </c>
      <c r="W727">
        <v>3.3730943146768602</v>
      </c>
      <c r="X727">
        <v>3.6072071704345601</v>
      </c>
      <c r="Y727">
        <v>-0.19189497559235799</v>
      </c>
      <c r="Z727">
        <v>0.17569111512999699</v>
      </c>
      <c r="AA727">
        <v>-0.304970615080496</v>
      </c>
      <c r="AB727">
        <v>1906.836709612184</v>
      </c>
      <c r="AC727">
        <v>0.7978420820676605</v>
      </c>
      <c r="AD727">
        <v>2.1056638128240834</v>
      </c>
      <c r="AE727">
        <v>-0.25037207080954499</v>
      </c>
      <c r="AF727">
        <v>0.16331687643794299</v>
      </c>
      <c r="AG727">
        <v>-0.19884989609214301</v>
      </c>
      <c r="AH727">
        <v>-3.3332562558675001</v>
      </c>
      <c r="AI727">
        <v>-0.77825432621635204</v>
      </c>
      <c r="AJ727">
        <v>-0.77700122264416904</v>
      </c>
      <c r="AK727">
        <v>44.055988999999997</v>
      </c>
      <c r="AL727">
        <v>4.8317350000000001</v>
      </c>
      <c r="AM727">
        <v>48.695</v>
      </c>
      <c r="AN727">
        <v>2.4620000000000002</v>
      </c>
    </row>
    <row r="728" spans="1:40" x14ac:dyDescent="0.35">
      <c r="A728">
        <v>920</v>
      </c>
      <c r="B728">
        <v>72</v>
      </c>
      <c r="C728" t="s">
        <v>40</v>
      </c>
      <c r="D728" t="s">
        <v>52</v>
      </c>
      <c r="E728" t="s">
        <v>42</v>
      </c>
      <c r="F728" t="s">
        <v>49</v>
      </c>
      <c r="G728">
        <v>5</v>
      </c>
      <c r="H728">
        <v>25</v>
      </c>
      <c r="I728">
        <v>7</v>
      </c>
      <c r="J728" t="s">
        <v>50</v>
      </c>
      <c r="K728" t="s">
        <v>46</v>
      </c>
      <c r="L728" t="s">
        <v>51</v>
      </c>
      <c r="M728">
        <v>157.82131685425651</v>
      </c>
      <c r="N728">
        <v>335</v>
      </c>
      <c r="O728">
        <v>180</v>
      </c>
      <c r="P728">
        <v>204</v>
      </c>
      <c r="Q728">
        <v>0</v>
      </c>
      <c r="R728">
        <v>1.3862943611198906</v>
      </c>
      <c r="S728">
        <v>4.3438054218536841</v>
      </c>
      <c r="T728">
        <v>91.16</v>
      </c>
      <c r="U728">
        <v>2.3174698847378039</v>
      </c>
      <c r="V728">
        <v>-0.58471966768986094</v>
      </c>
      <c r="W728">
        <v>-0.55557078097057</v>
      </c>
      <c r="X728">
        <v>-0.47566183223429498</v>
      </c>
      <c r="Y728">
        <v>-0.95884680312505799</v>
      </c>
      <c r="Z728">
        <v>-0.76521334103430205</v>
      </c>
      <c r="AA728">
        <v>-0.77245900699560299</v>
      </c>
      <c r="AB728">
        <v>1376</v>
      </c>
      <c r="AC728">
        <v>0</v>
      </c>
      <c r="AD728">
        <v>2</v>
      </c>
      <c r="AE728">
        <v>-1.2769936012368599</v>
      </c>
      <c r="AF728">
        <v>-1.3316678700548299</v>
      </c>
      <c r="AG728">
        <v>-2.5282859579133201</v>
      </c>
      <c r="AH728">
        <v>-0.75271929301185503</v>
      </c>
      <c r="AI728">
        <v>-2.8386152245927398</v>
      </c>
      <c r="AJ728">
        <v>1.43482176872694</v>
      </c>
      <c r="AK728">
        <v>47.815207299999997</v>
      </c>
      <c r="AL728">
        <v>3.8001657</v>
      </c>
      <c r="AM728">
        <v>48.856372813999997</v>
      </c>
      <c r="AN728">
        <v>2.3525296170000001</v>
      </c>
    </row>
    <row r="729" spans="1:40" x14ac:dyDescent="0.35">
      <c r="A729">
        <v>921</v>
      </c>
      <c r="B729">
        <v>57</v>
      </c>
      <c r="C729" t="s">
        <v>40</v>
      </c>
      <c r="D729" t="s">
        <v>41</v>
      </c>
      <c r="E729" t="s">
        <v>42</v>
      </c>
      <c r="F729" t="s">
        <v>61</v>
      </c>
      <c r="G729">
        <v>4</v>
      </c>
      <c r="H729">
        <v>16</v>
      </c>
      <c r="I729">
        <v>7</v>
      </c>
      <c r="J729" t="s">
        <v>45</v>
      </c>
      <c r="K729" t="s">
        <v>46</v>
      </c>
      <c r="L729" t="s">
        <v>69</v>
      </c>
      <c r="M729">
        <v>287.56423223041048</v>
      </c>
      <c r="N729">
        <v>869</v>
      </c>
      <c r="O729">
        <v>423</v>
      </c>
      <c r="P729">
        <v>323</v>
      </c>
      <c r="Q729">
        <v>2.3978952727983707</v>
      </c>
      <c r="R729">
        <v>4.5538768916005408</v>
      </c>
      <c r="S729">
        <v>5.4847969334906548</v>
      </c>
      <c r="T729">
        <v>93.296000000000006</v>
      </c>
      <c r="U729">
        <v>2.2325431437911538</v>
      </c>
      <c r="V729">
        <v>-0.44922684044461197</v>
      </c>
      <c r="W729">
        <v>-0.76855194782346203</v>
      </c>
      <c r="X729">
        <v>-0.44700324392789598</v>
      </c>
      <c r="Y729">
        <v>-0.846122564821426</v>
      </c>
      <c r="Z729">
        <v>-0.92679578564836795</v>
      </c>
      <c r="AA729">
        <v>0.86332342905974202</v>
      </c>
      <c r="AB729">
        <v>2050</v>
      </c>
      <c r="AC729">
        <v>1</v>
      </c>
      <c r="AD729">
        <v>2</v>
      </c>
      <c r="AE729">
        <v>-0.51011828243844404</v>
      </c>
      <c r="AF729">
        <v>-0.32697917946378802</v>
      </c>
      <c r="AG729">
        <v>0.49715621126625398</v>
      </c>
      <c r="AH729">
        <v>1.0338535348192699</v>
      </c>
      <c r="AI729">
        <v>0.55117386926346601</v>
      </c>
      <c r="AJ729">
        <v>9.2982272283998801E-2</v>
      </c>
      <c r="AK729">
        <v>47.177235000000003</v>
      </c>
      <c r="AL729">
        <v>4.964315</v>
      </c>
      <c r="AM729">
        <v>48.938999999999993</v>
      </c>
      <c r="AN729">
        <v>2.137</v>
      </c>
    </row>
    <row r="730" spans="1:40" x14ac:dyDescent="0.35">
      <c r="A730">
        <v>922</v>
      </c>
      <c r="B730">
        <v>57</v>
      </c>
      <c r="C730" t="s">
        <v>48</v>
      </c>
      <c r="D730" t="s">
        <v>41</v>
      </c>
      <c r="E730" t="s">
        <v>42</v>
      </c>
      <c r="F730" t="s">
        <v>43</v>
      </c>
      <c r="G730">
        <v>6</v>
      </c>
      <c r="H730">
        <v>36</v>
      </c>
      <c r="I730">
        <v>4</v>
      </c>
      <c r="J730" t="s">
        <v>56</v>
      </c>
      <c r="K730" t="s">
        <v>46</v>
      </c>
      <c r="L730" t="s">
        <v>65</v>
      </c>
      <c r="M730">
        <v>671.23208171923795</v>
      </c>
      <c r="N730">
        <v>566</v>
      </c>
      <c r="O730">
        <v>409</v>
      </c>
      <c r="P730">
        <v>222</v>
      </c>
      <c r="Q730">
        <v>0</v>
      </c>
      <c r="R730">
        <v>0</v>
      </c>
      <c r="S730">
        <v>4.4543472962535073</v>
      </c>
      <c r="T730">
        <v>89.333044733044744</v>
      </c>
      <c r="U730">
        <v>1.2554235437523662</v>
      </c>
      <c r="V730">
        <v>1.64975517953679</v>
      </c>
      <c r="W730">
        <v>2.4220969657957299</v>
      </c>
      <c r="X730">
        <v>1.68128863126442</v>
      </c>
      <c r="Y730">
        <v>2.0553398017137301</v>
      </c>
      <c r="Z730">
        <v>2.0921400018840099</v>
      </c>
      <c r="AA730">
        <v>2.0596698968962701</v>
      </c>
      <c r="AB730">
        <v>3262.71</v>
      </c>
      <c r="AC730">
        <v>0.33</v>
      </c>
      <c r="AD730">
        <v>0.66</v>
      </c>
      <c r="AE730">
        <v>1.9221838973381</v>
      </c>
      <c r="AF730">
        <v>-0.22169158888041099</v>
      </c>
      <c r="AG730">
        <v>0.26075894339996802</v>
      </c>
      <c r="AH730">
        <v>0.43155272629392499</v>
      </c>
      <c r="AI730">
        <v>0.71956644103217304</v>
      </c>
      <c r="AJ730">
        <v>-0.87529599125041802</v>
      </c>
      <c r="AK730">
        <v>43.537466000000002</v>
      </c>
      <c r="AL730">
        <v>6.4627330000000001</v>
      </c>
      <c r="AM730">
        <v>48.856372813999997</v>
      </c>
      <c r="AN730">
        <v>2.3525296170000001</v>
      </c>
    </row>
    <row r="731" spans="1:40" x14ac:dyDescent="0.35">
      <c r="A731">
        <v>924</v>
      </c>
      <c r="B731">
        <v>57</v>
      </c>
      <c r="C731" t="s">
        <v>40</v>
      </c>
      <c r="D731" t="s">
        <v>52</v>
      </c>
      <c r="E731" t="s">
        <v>42</v>
      </c>
      <c r="F731" t="s">
        <v>61</v>
      </c>
      <c r="G731">
        <v>5</v>
      </c>
      <c r="H731">
        <v>25</v>
      </c>
      <c r="I731">
        <v>3</v>
      </c>
      <c r="J731" t="s">
        <v>50</v>
      </c>
      <c r="K731" t="s">
        <v>46</v>
      </c>
      <c r="L731" t="s">
        <v>58</v>
      </c>
      <c r="M731">
        <v>470.20785645571289</v>
      </c>
      <c r="N731">
        <v>846</v>
      </c>
      <c r="O731">
        <v>507</v>
      </c>
      <c r="P731">
        <v>301</v>
      </c>
      <c r="Q731">
        <v>3.2580965380214821</v>
      </c>
      <c r="R731">
        <v>2.8903717578961645</v>
      </c>
      <c r="S731">
        <v>4.7535901911063645</v>
      </c>
      <c r="T731">
        <v>90.794285714285706</v>
      </c>
      <c r="U731">
        <v>0</v>
      </c>
      <c r="V731">
        <v>0.63905639120027702</v>
      </c>
      <c r="W731">
        <v>0.692565001186083</v>
      </c>
      <c r="X731">
        <v>0.56469097254324596</v>
      </c>
      <c r="Y731">
        <v>1.4483117406157899</v>
      </c>
      <c r="Z731">
        <v>1.7680602694732599</v>
      </c>
      <c r="AA731">
        <v>0.26366440732357699</v>
      </c>
      <c r="AB731">
        <v>4236</v>
      </c>
      <c r="AC731">
        <v>0</v>
      </c>
      <c r="AD731">
        <v>4</v>
      </c>
      <c r="AE731">
        <v>1.6751267091712101</v>
      </c>
      <c r="AF731">
        <v>0.33679371798985902</v>
      </c>
      <c r="AG731">
        <v>0.64602201045482099</v>
      </c>
      <c r="AH731">
        <v>0.62745960768813502</v>
      </c>
      <c r="AI731">
        <v>1.09745870283669</v>
      </c>
      <c r="AJ731">
        <v>-0.116021569762617</v>
      </c>
      <c r="AK731">
        <v>45.198478000000001</v>
      </c>
      <c r="AL731">
        <v>-0.74874399999999997</v>
      </c>
      <c r="AM731">
        <v>48.856372813999997</v>
      </c>
      <c r="AN731">
        <v>2.3525296170000001</v>
      </c>
    </row>
    <row r="732" spans="1:40" x14ac:dyDescent="0.35">
      <c r="A732">
        <v>925</v>
      </c>
      <c r="B732">
        <v>57</v>
      </c>
      <c r="C732" t="s">
        <v>40</v>
      </c>
      <c r="D732" t="s">
        <v>41</v>
      </c>
      <c r="E732" t="s">
        <v>42</v>
      </c>
      <c r="F732" t="s">
        <v>43</v>
      </c>
      <c r="G732">
        <v>6</v>
      </c>
      <c r="H732">
        <v>36</v>
      </c>
      <c r="I732">
        <v>5</v>
      </c>
      <c r="J732" t="s">
        <v>56</v>
      </c>
      <c r="K732" t="s">
        <v>46</v>
      </c>
      <c r="L732" t="s">
        <v>79</v>
      </c>
      <c r="M732">
        <v>686.77685841622576</v>
      </c>
      <c r="N732">
        <v>0</v>
      </c>
      <c r="O732">
        <v>0</v>
      </c>
      <c r="P732">
        <v>0</v>
      </c>
      <c r="Q732">
        <v>0</v>
      </c>
      <c r="R732">
        <v>1.0986122886681098</v>
      </c>
      <c r="S732">
        <v>4.4659081186545837</v>
      </c>
      <c r="T732">
        <v>90.88000000000001</v>
      </c>
      <c r="U732">
        <v>0.63076672920079646</v>
      </c>
      <c r="V732">
        <v>-0.66459185691613598</v>
      </c>
      <c r="W732">
        <v>-0.11297510960708999</v>
      </c>
      <c r="X732">
        <v>-0.19037106594949799</v>
      </c>
      <c r="Y732">
        <v>-0.374020329094302</v>
      </c>
      <c r="Z732">
        <v>-0.78642831806525804</v>
      </c>
      <c r="AA732">
        <v>-1.3830773108541501</v>
      </c>
      <c r="AB732">
        <v>1910</v>
      </c>
      <c r="AC732">
        <v>4</v>
      </c>
      <c r="AD732">
        <v>0</v>
      </c>
      <c r="AE732">
        <v>3.4620335695619099E-2</v>
      </c>
      <c r="AF732">
        <v>1.85639234173453</v>
      </c>
      <c r="AG732">
        <v>-3.2981784777206001E-2</v>
      </c>
      <c r="AH732">
        <v>0.88061054929433902</v>
      </c>
      <c r="AI732">
        <v>0.97357092100436904</v>
      </c>
      <c r="AJ732">
        <v>-0.33963937400789401</v>
      </c>
      <c r="AK732">
        <v>42.698529999999998</v>
      </c>
      <c r="AL732">
        <v>2.8953120000000001</v>
      </c>
      <c r="AM732">
        <v>48.856372813999997</v>
      </c>
      <c r="AN732">
        <v>2.3525296170000001</v>
      </c>
    </row>
    <row r="733" spans="1:40" x14ac:dyDescent="0.35">
      <c r="A733">
        <v>926</v>
      </c>
      <c r="B733">
        <v>57</v>
      </c>
      <c r="C733" t="s">
        <v>40</v>
      </c>
      <c r="D733" t="s">
        <v>41</v>
      </c>
      <c r="E733" t="s">
        <v>42</v>
      </c>
      <c r="F733" t="s">
        <v>49</v>
      </c>
      <c r="G733">
        <v>3</v>
      </c>
      <c r="H733">
        <v>9</v>
      </c>
      <c r="I733">
        <v>5</v>
      </c>
      <c r="J733" t="s">
        <v>56</v>
      </c>
      <c r="K733" t="s">
        <v>46</v>
      </c>
      <c r="L733" t="s">
        <v>55</v>
      </c>
      <c r="M733">
        <v>4.1143507696704136</v>
      </c>
      <c r="N733">
        <v>396</v>
      </c>
      <c r="O733">
        <v>210</v>
      </c>
      <c r="P733">
        <v>90</v>
      </c>
      <c r="Q733">
        <v>2.0794415416798357</v>
      </c>
      <c r="R733">
        <v>2.3025850929940459</v>
      </c>
      <c r="S733">
        <v>3.2580965380214821</v>
      </c>
      <c r="T733">
        <v>95.12</v>
      </c>
      <c r="U733">
        <v>0</v>
      </c>
      <c r="V733">
        <v>1.89305099905856</v>
      </c>
      <c r="W733">
        <v>0.59880690621441701</v>
      </c>
      <c r="X733">
        <v>1.1856460040685599</v>
      </c>
      <c r="Y733">
        <v>-0.15565097555555901</v>
      </c>
      <c r="Z733">
        <v>-0.22748295097212001</v>
      </c>
      <c r="AA733">
        <v>1.0415013010201299</v>
      </c>
      <c r="AB733">
        <v>2939.9504036908884</v>
      </c>
      <c r="AC733">
        <v>2</v>
      </c>
      <c r="AD733">
        <v>0.42868127643214149</v>
      </c>
      <c r="AE733">
        <v>-2.40641039566141E-2</v>
      </c>
      <c r="AF733">
        <v>-0.54633470064850298</v>
      </c>
      <c r="AG733">
        <v>0.141855646633712</v>
      </c>
      <c r="AH733">
        <v>0.72204871218100997</v>
      </c>
      <c r="AI733">
        <v>-0.61113538529361999</v>
      </c>
      <c r="AJ733">
        <v>5.222562024256E-2</v>
      </c>
      <c r="AK733">
        <v>48.0777517</v>
      </c>
      <c r="AL733">
        <v>7.3579641000000002</v>
      </c>
      <c r="AM733">
        <v>48.110000000000007</v>
      </c>
      <c r="AN733">
        <v>7.3849999999999989</v>
      </c>
    </row>
    <row r="734" spans="1:40" x14ac:dyDescent="0.35">
      <c r="A734">
        <v>927</v>
      </c>
      <c r="B734">
        <v>42</v>
      </c>
      <c r="C734" t="s">
        <v>40</v>
      </c>
      <c r="D734" t="s">
        <v>66</v>
      </c>
      <c r="E734" t="s">
        <v>42</v>
      </c>
      <c r="F734" t="s">
        <v>61</v>
      </c>
      <c r="G734">
        <v>5</v>
      </c>
      <c r="H734">
        <v>25</v>
      </c>
      <c r="I734">
        <v>6</v>
      </c>
      <c r="J734" t="s">
        <v>56</v>
      </c>
      <c r="K734" t="s">
        <v>46</v>
      </c>
      <c r="L734" t="s">
        <v>67</v>
      </c>
      <c r="M734">
        <v>339.69553627211502</v>
      </c>
      <c r="N734">
        <v>343</v>
      </c>
      <c r="O734">
        <v>231</v>
      </c>
      <c r="P734">
        <v>202</v>
      </c>
      <c r="Q734">
        <v>0</v>
      </c>
      <c r="R734">
        <v>1.0986122886681098</v>
      </c>
      <c r="S734">
        <v>4.499809670330265</v>
      </c>
      <c r="T734">
        <v>90.053710317460329</v>
      </c>
      <c r="U734">
        <v>1.5728028449904734</v>
      </c>
      <c r="V734">
        <v>-0.577850340007529</v>
      </c>
      <c r="W734">
        <v>-0.32460727773589898</v>
      </c>
      <c r="X734">
        <v>-0.54369568891204501</v>
      </c>
      <c r="Y734">
        <v>-0.77598924050104101</v>
      </c>
      <c r="Z734">
        <v>0.47668876811384397</v>
      </c>
      <c r="AA734">
        <v>0.85617757356637403</v>
      </c>
      <c r="AB734">
        <v>2565</v>
      </c>
      <c r="AC734">
        <v>1</v>
      </c>
      <c r="AD734">
        <v>0</v>
      </c>
      <c r="AE734">
        <v>-0.72514205471140702</v>
      </c>
      <c r="AF734">
        <v>-0.90906201580670498</v>
      </c>
      <c r="AG734">
        <v>1.6759665494356299</v>
      </c>
      <c r="AH734">
        <v>1.1473705717902101</v>
      </c>
      <c r="AI734">
        <v>-1.5762419163973</v>
      </c>
      <c r="AJ734">
        <v>1.3742810503543299</v>
      </c>
      <c r="AK734">
        <v>46.303668000000002</v>
      </c>
      <c r="AL734">
        <v>4.8322269999999996</v>
      </c>
      <c r="AM734">
        <v>48.856372813999997</v>
      </c>
      <c r="AN734">
        <v>2.3525296170000001</v>
      </c>
    </row>
    <row r="735" spans="1:40" x14ac:dyDescent="0.35">
      <c r="A735">
        <v>928</v>
      </c>
      <c r="B735">
        <v>42</v>
      </c>
      <c r="C735" t="s">
        <v>40</v>
      </c>
      <c r="D735" t="s">
        <v>66</v>
      </c>
      <c r="E735" t="s">
        <v>42</v>
      </c>
      <c r="F735" t="s">
        <v>61</v>
      </c>
      <c r="G735">
        <v>5</v>
      </c>
      <c r="H735">
        <v>25</v>
      </c>
      <c r="I735">
        <v>5</v>
      </c>
      <c r="J735" t="s">
        <v>56</v>
      </c>
      <c r="K735" t="s">
        <v>46</v>
      </c>
      <c r="L735" t="s">
        <v>83</v>
      </c>
      <c r="M735">
        <v>285.71946628213112</v>
      </c>
      <c r="N735">
        <v>96</v>
      </c>
      <c r="O735">
        <v>84</v>
      </c>
      <c r="P735">
        <v>51</v>
      </c>
      <c r="Q735">
        <v>0</v>
      </c>
      <c r="R735">
        <v>0</v>
      </c>
      <c r="S735">
        <v>4.4886363697321396</v>
      </c>
      <c r="T735">
        <v>90.115111111111119</v>
      </c>
      <c r="U735">
        <v>1.2513404171152498</v>
      </c>
      <c r="V735">
        <v>-0.46152060700845399</v>
      </c>
      <c r="W735">
        <v>-0.57121975163865102</v>
      </c>
      <c r="X735">
        <v>-0.33135740862223101</v>
      </c>
      <c r="Y735">
        <v>-0.77598924050104101</v>
      </c>
      <c r="Z735">
        <v>0.47668876811384397</v>
      </c>
      <c r="AA735">
        <v>0.85617757356637403</v>
      </c>
      <c r="AB735">
        <v>2565</v>
      </c>
      <c r="AC735">
        <v>1</v>
      </c>
      <c r="AD735">
        <v>0</v>
      </c>
      <c r="AE735">
        <v>-0.72514205471140702</v>
      </c>
      <c r="AF735">
        <v>1.9207398062835598E-2</v>
      </c>
      <c r="AG735">
        <v>0.67270547118331003</v>
      </c>
      <c r="AH735">
        <v>-1.4302429911964001</v>
      </c>
      <c r="AI735">
        <v>-1.1223325399170001</v>
      </c>
      <c r="AJ735">
        <v>0.65654184252049597</v>
      </c>
      <c r="AK735">
        <v>46.839658</v>
      </c>
      <c r="AL735">
        <v>4.7189269999999999</v>
      </c>
      <c r="AM735">
        <v>48.856372813999997</v>
      </c>
      <c r="AN735">
        <v>2.3525296170000001</v>
      </c>
    </row>
    <row r="736" spans="1:40" x14ac:dyDescent="0.35">
      <c r="A736">
        <v>929</v>
      </c>
      <c r="B736">
        <v>42</v>
      </c>
      <c r="C736" t="s">
        <v>40</v>
      </c>
      <c r="D736" t="s">
        <v>41</v>
      </c>
      <c r="E736" t="s">
        <v>42</v>
      </c>
      <c r="F736" t="s">
        <v>49</v>
      </c>
      <c r="G736">
        <v>7</v>
      </c>
      <c r="H736">
        <v>49</v>
      </c>
      <c r="I736">
        <v>4</v>
      </c>
      <c r="J736" t="s">
        <v>50</v>
      </c>
      <c r="K736" t="s">
        <v>46</v>
      </c>
      <c r="L736" t="s">
        <v>84</v>
      </c>
      <c r="M736">
        <v>61.542777725958487</v>
      </c>
      <c r="N736">
        <v>523</v>
      </c>
      <c r="O736">
        <v>358</v>
      </c>
      <c r="P736">
        <v>238</v>
      </c>
      <c r="Q736">
        <v>0</v>
      </c>
      <c r="R736">
        <v>0</v>
      </c>
      <c r="S736">
        <v>1.0986122886681098</v>
      </c>
      <c r="T736">
        <v>87.86666666666666</v>
      </c>
      <c r="U736">
        <v>0</v>
      </c>
      <c r="V736">
        <v>-1.08802880625812</v>
      </c>
      <c r="W736">
        <v>-0.92588439495074504</v>
      </c>
      <c r="X736">
        <v>-0.937742229627752</v>
      </c>
      <c r="Y736">
        <v>-5.88196171665821E-2</v>
      </c>
      <c r="Z736">
        <v>-0.53491435214143601</v>
      </c>
      <c r="AA736">
        <v>-0.88205577408398805</v>
      </c>
      <c r="AB736">
        <v>2688</v>
      </c>
      <c r="AC736">
        <v>1</v>
      </c>
      <c r="AD736">
        <v>0</v>
      </c>
      <c r="AE736">
        <v>-0.90912497987410801</v>
      </c>
      <c r="AF736">
        <v>-2.2446290699782501</v>
      </c>
      <c r="AG736">
        <v>-1.0415647189531501</v>
      </c>
      <c r="AH736">
        <v>-0.51716696042588794</v>
      </c>
      <c r="AI736">
        <v>-1.5708445783140701</v>
      </c>
      <c r="AJ736">
        <v>-0.87444877722765002</v>
      </c>
      <c r="AK736">
        <v>45.760758000000003</v>
      </c>
      <c r="AL736">
        <v>5.6861470000000001</v>
      </c>
      <c r="AM736">
        <v>45.820999999999998</v>
      </c>
      <c r="AN736">
        <v>4.8979999999999997</v>
      </c>
    </row>
    <row r="737" spans="1:40" x14ac:dyDescent="0.35">
      <c r="A737">
        <v>930</v>
      </c>
      <c r="B737">
        <v>42</v>
      </c>
      <c r="C737" t="s">
        <v>40</v>
      </c>
      <c r="D737" t="s">
        <v>66</v>
      </c>
      <c r="E737" t="s">
        <v>42</v>
      </c>
      <c r="F737" t="s">
        <v>61</v>
      </c>
      <c r="G737">
        <v>4</v>
      </c>
      <c r="H737">
        <v>16</v>
      </c>
      <c r="I737">
        <v>5</v>
      </c>
      <c r="J737" t="s">
        <v>45</v>
      </c>
      <c r="K737" t="s">
        <v>46</v>
      </c>
      <c r="L737" t="s">
        <v>55</v>
      </c>
      <c r="M737">
        <v>435.04741455547838</v>
      </c>
      <c r="N737">
        <v>556</v>
      </c>
      <c r="O737">
        <v>391</v>
      </c>
      <c r="P737">
        <v>256</v>
      </c>
      <c r="Q737">
        <v>2.0794415416798357</v>
      </c>
      <c r="R737">
        <v>2.3025850929940459</v>
      </c>
      <c r="S737">
        <v>3.2580965380214821</v>
      </c>
      <c r="T737">
        <v>95.12</v>
      </c>
      <c r="U737">
        <v>0</v>
      </c>
      <c r="V737">
        <v>1.89305099905856</v>
      </c>
      <c r="W737">
        <v>0.59880690621441701</v>
      </c>
      <c r="X737">
        <v>1.1856460040685599</v>
      </c>
      <c r="Y737">
        <v>-0.15565097555555901</v>
      </c>
      <c r="Z737">
        <v>-0.22748295097212001</v>
      </c>
      <c r="AA737">
        <v>1.0415013010201299</v>
      </c>
      <c r="AB737">
        <v>2939.9504036908884</v>
      </c>
      <c r="AC737">
        <v>2</v>
      </c>
      <c r="AD737">
        <v>0.42868127643214149</v>
      </c>
      <c r="AE737">
        <v>-2.40641039566141E-2</v>
      </c>
      <c r="AF737">
        <v>0.767807913255522</v>
      </c>
      <c r="AG737">
        <v>0.43128586560960502</v>
      </c>
      <c r="AH737">
        <v>-0.43347395131051702</v>
      </c>
      <c r="AI737">
        <v>0.48492790295650601</v>
      </c>
      <c r="AJ737">
        <v>0.86016789509559599</v>
      </c>
      <c r="AK737">
        <v>48.0777517</v>
      </c>
      <c r="AL737">
        <v>7.3579641000000002</v>
      </c>
      <c r="AM737">
        <v>50.109000000000002</v>
      </c>
      <c r="AN737">
        <v>2.2569999999999997</v>
      </c>
    </row>
    <row r="738" spans="1:40" x14ac:dyDescent="0.35">
      <c r="A738">
        <v>931</v>
      </c>
      <c r="B738">
        <v>42</v>
      </c>
      <c r="C738" t="s">
        <v>40</v>
      </c>
      <c r="D738" t="s">
        <v>41</v>
      </c>
      <c r="E738" t="s">
        <v>42</v>
      </c>
      <c r="F738" t="s">
        <v>43</v>
      </c>
      <c r="G738">
        <v>5</v>
      </c>
      <c r="H738">
        <v>25</v>
      </c>
      <c r="I738">
        <v>5</v>
      </c>
      <c r="J738" t="s">
        <v>50</v>
      </c>
      <c r="K738" t="s">
        <v>46</v>
      </c>
      <c r="L738" t="s">
        <v>58</v>
      </c>
      <c r="M738">
        <v>451.3422104311332</v>
      </c>
      <c r="N738">
        <v>321</v>
      </c>
      <c r="O738">
        <v>204</v>
      </c>
      <c r="P738">
        <v>127</v>
      </c>
      <c r="Q738">
        <v>3.2580965380214821</v>
      </c>
      <c r="R738">
        <v>2.8903717578961645</v>
      </c>
      <c r="S738">
        <v>4.7535901911063645</v>
      </c>
      <c r="T738">
        <v>90.794285714285706</v>
      </c>
      <c r="U738">
        <v>0</v>
      </c>
      <c r="V738">
        <v>0.63905639120027702</v>
      </c>
      <c r="W738">
        <v>0.692565001186083</v>
      </c>
      <c r="X738">
        <v>0.56469097254324596</v>
      </c>
      <c r="Y738">
        <v>1.4483117406157899</v>
      </c>
      <c r="Z738">
        <v>1.7680602694732599</v>
      </c>
      <c r="AA738">
        <v>0.26366440732357699</v>
      </c>
      <c r="AB738">
        <v>4236</v>
      </c>
      <c r="AC738">
        <v>0</v>
      </c>
      <c r="AD738">
        <v>4</v>
      </c>
      <c r="AE738">
        <v>1.6751267091712101</v>
      </c>
      <c r="AF738">
        <v>0.84897323030301797</v>
      </c>
      <c r="AG738">
        <v>-0.28082793743123802</v>
      </c>
      <c r="AH738">
        <v>1.7171257327221801E-2</v>
      </c>
      <c r="AI738">
        <v>0.153350008882886</v>
      </c>
      <c r="AJ738">
        <v>0.97587246736946498</v>
      </c>
      <c r="AK738">
        <v>45.198478000000001</v>
      </c>
      <c r="AL738">
        <v>-0.74874399999999997</v>
      </c>
      <c r="AM738">
        <v>48.813000000000002</v>
      </c>
      <c r="AN738">
        <v>1.9470000000000001</v>
      </c>
    </row>
    <row r="739" spans="1:40" x14ac:dyDescent="0.35">
      <c r="A739">
        <v>932</v>
      </c>
      <c r="B739">
        <v>57</v>
      </c>
      <c r="C739" t="s">
        <v>48</v>
      </c>
      <c r="D739" t="s">
        <v>41</v>
      </c>
      <c r="E739" t="s">
        <v>42</v>
      </c>
      <c r="F739" t="s">
        <v>61</v>
      </c>
      <c r="G739">
        <v>5</v>
      </c>
      <c r="H739">
        <v>25</v>
      </c>
      <c r="I739">
        <v>5</v>
      </c>
      <c r="J739" t="s">
        <v>56</v>
      </c>
      <c r="K739" t="s">
        <v>46</v>
      </c>
      <c r="L739" t="s">
        <v>77</v>
      </c>
      <c r="M739">
        <v>253.57285753495381</v>
      </c>
      <c r="N739">
        <v>26</v>
      </c>
      <c r="O739">
        <v>35</v>
      </c>
      <c r="P739">
        <v>35</v>
      </c>
      <c r="Q739">
        <v>0</v>
      </c>
      <c r="R739">
        <v>2.3978952727983707</v>
      </c>
      <c r="S739">
        <v>5.1416635565026603</v>
      </c>
      <c r="T739">
        <v>90.472417453603512</v>
      </c>
      <c r="U739">
        <v>2.7735735584863375</v>
      </c>
      <c r="V739">
        <v>-0.15231437986527399</v>
      </c>
      <c r="W739">
        <v>3.49635939345109E-2</v>
      </c>
      <c r="X739">
        <v>-0.19627808847033801</v>
      </c>
      <c r="Y739">
        <v>-0.57382446736590997</v>
      </c>
      <c r="Z739">
        <v>-0.74335605457542497</v>
      </c>
      <c r="AA739">
        <v>-0.53588051656191904</v>
      </c>
      <c r="AB739">
        <v>3937</v>
      </c>
      <c r="AC739">
        <v>0</v>
      </c>
      <c r="AD739">
        <v>1</v>
      </c>
      <c r="AE739">
        <v>-0.72244456620022002</v>
      </c>
      <c r="AF739">
        <v>0.70051331930938299</v>
      </c>
      <c r="AG739">
        <v>-0.95275341117799495</v>
      </c>
      <c r="AH739">
        <v>-0.987257519967773</v>
      </c>
      <c r="AI739">
        <v>-0.23124077667219001</v>
      </c>
      <c r="AJ739">
        <v>1.4089876059943101</v>
      </c>
      <c r="AK739">
        <v>47.259622</v>
      </c>
      <c r="AL739">
        <v>-7.8518000000000004E-2</v>
      </c>
      <c r="AM739">
        <v>48.856372813999997</v>
      </c>
      <c r="AN739">
        <v>2.3525296170000001</v>
      </c>
    </row>
    <row r="740" spans="1:40" x14ac:dyDescent="0.35">
      <c r="A740">
        <v>933</v>
      </c>
      <c r="B740">
        <v>72</v>
      </c>
      <c r="C740" t="s">
        <v>40</v>
      </c>
      <c r="D740" t="s">
        <v>52</v>
      </c>
      <c r="E740" t="s">
        <v>42</v>
      </c>
      <c r="F740" t="s">
        <v>49</v>
      </c>
      <c r="G740">
        <v>4</v>
      </c>
      <c r="H740">
        <v>16</v>
      </c>
      <c r="I740">
        <v>6</v>
      </c>
      <c r="J740" t="s">
        <v>50</v>
      </c>
      <c r="K740" t="s">
        <v>46</v>
      </c>
      <c r="L740" t="s">
        <v>64</v>
      </c>
      <c r="M740">
        <v>28.683859953307859</v>
      </c>
      <c r="N740">
        <v>297</v>
      </c>
      <c r="O740">
        <v>150</v>
      </c>
      <c r="P740">
        <v>184</v>
      </c>
      <c r="Q740">
        <v>0</v>
      </c>
      <c r="R740">
        <v>0</v>
      </c>
      <c r="S740">
        <v>0.69314718055994529</v>
      </c>
      <c r="T740">
        <v>87.72</v>
      </c>
      <c r="U740">
        <v>0</v>
      </c>
      <c r="V740">
        <v>-0.94178676980908105</v>
      </c>
      <c r="W740">
        <v>-0.82471669977796602</v>
      </c>
      <c r="X740">
        <v>-0.81853882670599298</v>
      </c>
      <c r="Y740">
        <v>1.4483117406157899</v>
      </c>
      <c r="Z740">
        <v>1.7680602694732599</v>
      </c>
      <c r="AA740">
        <v>0.26366440732357699</v>
      </c>
      <c r="AB740">
        <v>4236</v>
      </c>
      <c r="AC740">
        <v>0</v>
      </c>
      <c r="AD740">
        <v>4</v>
      </c>
      <c r="AE740">
        <v>1.6751267091712101</v>
      </c>
      <c r="AF740">
        <v>0.170672100736249</v>
      </c>
      <c r="AG740">
        <v>-0.392139807467765</v>
      </c>
      <c r="AH740">
        <v>-0.78148971947432999</v>
      </c>
      <c r="AI740">
        <v>-0.95502028467067401</v>
      </c>
      <c r="AJ740">
        <v>-0.85677615733920398</v>
      </c>
      <c r="AK740">
        <v>44.776569000000002</v>
      </c>
      <c r="AL740">
        <v>-0.34912399999999999</v>
      </c>
      <c r="AM740">
        <v>44.953250000000004</v>
      </c>
      <c r="AN740">
        <v>-0.61375000000000002</v>
      </c>
    </row>
    <row r="741" spans="1:40" x14ac:dyDescent="0.35">
      <c r="A741">
        <v>934</v>
      </c>
      <c r="B741">
        <v>42</v>
      </c>
      <c r="C741" t="s">
        <v>40</v>
      </c>
      <c r="D741" t="s">
        <v>41</v>
      </c>
      <c r="E741" t="s">
        <v>42</v>
      </c>
      <c r="F741" t="s">
        <v>61</v>
      </c>
      <c r="G741">
        <v>5</v>
      </c>
      <c r="H741">
        <v>25</v>
      </c>
      <c r="I741">
        <v>4</v>
      </c>
      <c r="J741" t="s">
        <v>50</v>
      </c>
      <c r="K741" t="s">
        <v>46</v>
      </c>
      <c r="L741" t="s">
        <v>69</v>
      </c>
      <c r="M741">
        <v>251.71677982967131</v>
      </c>
      <c r="N741">
        <v>368</v>
      </c>
      <c r="O741">
        <v>180</v>
      </c>
      <c r="P741">
        <v>152</v>
      </c>
      <c r="Q741">
        <v>2.3978952727983707</v>
      </c>
      <c r="R741">
        <v>4.5538768916005408</v>
      </c>
      <c r="S741">
        <v>5.4847969334906548</v>
      </c>
      <c r="T741">
        <v>93.296000000000006</v>
      </c>
      <c r="U741">
        <v>2.2325431437911538</v>
      </c>
      <c r="V741">
        <v>-0.44922684044461197</v>
      </c>
      <c r="W741">
        <v>-0.76855194782346203</v>
      </c>
      <c r="X741">
        <v>-0.44700324392789598</v>
      </c>
      <c r="Y741">
        <v>-0.846122564821426</v>
      </c>
      <c r="Z741">
        <v>-0.92679578564836795</v>
      </c>
      <c r="AA741">
        <v>0.86332342905974202</v>
      </c>
      <c r="AB741">
        <v>2050</v>
      </c>
      <c r="AC741">
        <v>1</v>
      </c>
      <c r="AD741">
        <v>2</v>
      </c>
      <c r="AE741">
        <v>-0.51011828243844404</v>
      </c>
      <c r="AF741">
        <v>0.50001843082649</v>
      </c>
      <c r="AG741">
        <v>-2.04963552958999</v>
      </c>
      <c r="AH741">
        <v>-0.13198953129920801</v>
      </c>
      <c r="AI741">
        <v>-0.99483458412118797</v>
      </c>
      <c r="AJ741">
        <v>0.97283875821518295</v>
      </c>
      <c r="AK741">
        <v>47.177235000000003</v>
      </c>
      <c r="AL741">
        <v>4.964315</v>
      </c>
      <c r="AM741">
        <v>48.695</v>
      </c>
      <c r="AN741">
        <v>2.4620000000000002</v>
      </c>
    </row>
    <row r="742" spans="1:40" x14ac:dyDescent="0.35">
      <c r="A742">
        <v>935</v>
      </c>
      <c r="B742">
        <v>57</v>
      </c>
      <c r="C742" t="s">
        <v>40</v>
      </c>
      <c r="D742" t="s">
        <v>52</v>
      </c>
      <c r="E742" t="s">
        <v>42</v>
      </c>
      <c r="F742" t="s">
        <v>49</v>
      </c>
      <c r="G742">
        <v>5</v>
      </c>
      <c r="H742">
        <v>25</v>
      </c>
      <c r="I742">
        <v>5</v>
      </c>
      <c r="J742" t="s">
        <v>50</v>
      </c>
      <c r="K742" t="s">
        <v>46</v>
      </c>
      <c r="L742" t="s">
        <v>67</v>
      </c>
      <c r="M742">
        <v>332.980853781561</v>
      </c>
      <c r="N742">
        <v>586</v>
      </c>
      <c r="O742">
        <v>300</v>
      </c>
      <c r="P742">
        <v>245</v>
      </c>
      <c r="Q742">
        <v>0</v>
      </c>
      <c r="R742">
        <v>1.0986122886681098</v>
      </c>
      <c r="S742">
        <v>4.499809670330265</v>
      </c>
      <c r="T742">
        <v>90.053710317460329</v>
      </c>
      <c r="U742">
        <v>1.5728028449904734</v>
      </c>
      <c r="V742">
        <v>-0.577850340007529</v>
      </c>
      <c r="W742">
        <v>-0.32460727773589898</v>
      </c>
      <c r="X742">
        <v>-0.54369568891204501</v>
      </c>
      <c r="Y742">
        <v>-0.77598924050104101</v>
      </c>
      <c r="Z742">
        <v>0.47668876811384397</v>
      </c>
      <c r="AA742">
        <v>0.85617757356637403</v>
      </c>
      <c r="AB742">
        <v>2565</v>
      </c>
      <c r="AC742">
        <v>1</v>
      </c>
      <c r="AD742">
        <v>0</v>
      </c>
      <c r="AE742">
        <v>-0.72514205471140702</v>
      </c>
      <c r="AF742">
        <v>0.32013157675135401</v>
      </c>
      <c r="AG742">
        <v>0.41725240895486798</v>
      </c>
      <c r="AH742">
        <v>-1.5656157875510901</v>
      </c>
      <c r="AI742">
        <v>-0.52679732038371396</v>
      </c>
      <c r="AJ742">
        <v>-1.6218444766909099</v>
      </c>
      <c r="AK742">
        <v>46.303668000000002</v>
      </c>
      <c r="AL742">
        <v>4.8322269999999996</v>
      </c>
      <c r="AM742">
        <v>49.001750000000001</v>
      </c>
      <c r="AN742">
        <v>2.91425</v>
      </c>
    </row>
    <row r="743" spans="1:40" x14ac:dyDescent="0.35">
      <c r="A743">
        <v>936</v>
      </c>
      <c r="B743">
        <v>57</v>
      </c>
      <c r="C743" t="s">
        <v>40</v>
      </c>
      <c r="D743" t="s">
        <v>66</v>
      </c>
      <c r="E743" t="s">
        <v>42</v>
      </c>
      <c r="F743" t="s">
        <v>49</v>
      </c>
      <c r="G743">
        <v>6</v>
      </c>
      <c r="H743">
        <v>36</v>
      </c>
      <c r="I743">
        <v>5</v>
      </c>
      <c r="J743" t="s">
        <v>56</v>
      </c>
      <c r="K743" t="s">
        <v>46</v>
      </c>
      <c r="L743" t="s">
        <v>64</v>
      </c>
      <c r="M743">
        <v>466.38475368005561</v>
      </c>
      <c r="N743">
        <v>438</v>
      </c>
      <c r="O743">
        <v>240</v>
      </c>
      <c r="P743">
        <v>222</v>
      </c>
      <c r="Q743">
        <v>0</v>
      </c>
      <c r="R743">
        <v>0</v>
      </c>
      <c r="S743">
        <v>0.69314718055994529</v>
      </c>
      <c r="T743">
        <v>87.72</v>
      </c>
      <c r="U743">
        <v>0</v>
      </c>
      <c r="V743">
        <v>-0.94178676980908105</v>
      </c>
      <c r="W743">
        <v>-0.82471669977796602</v>
      </c>
      <c r="X743">
        <v>-0.81853882670599298</v>
      </c>
      <c r="Y743">
        <v>1.4483117406157899</v>
      </c>
      <c r="Z743">
        <v>1.7680602694732599</v>
      </c>
      <c r="AA743">
        <v>0.26366440732357699</v>
      </c>
      <c r="AB743">
        <v>4236</v>
      </c>
      <c r="AC743">
        <v>0</v>
      </c>
      <c r="AD743">
        <v>4</v>
      </c>
      <c r="AE743">
        <v>1.6751267091712101</v>
      </c>
      <c r="AF743">
        <v>0.36755654938881499</v>
      </c>
      <c r="AG743">
        <v>0.34892195120264402</v>
      </c>
      <c r="AH743">
        <v>1.0238475931033899</v>
      </c>
      <c r="AI743">
        <v>0.952947863041258</v>
      </c>
      <c r="AJ743">
        <v>1.0471151174172</v>
      </c>
      <c r="AK743">
        <v>44.776569000000002</v>
      </c>
      <c r="AL743">
        <v>-0.34912399999999999</v>
      </c>
      <c r="AM743">
        <v>48.521999999999998</v>
      </c>
      <c r="AN743">
        <v>2.3879999999999999</v>
      </c>
    </row>
    <row r="744" spans="1:40" x14ac:dyDescent="0.35">
      <c r="A744">
        <v>937</v>
      </c>
      <c r="B744">
        <v>57</v>
      </c>
      <c r="C744" t="s">
        <v>48</v>
      </c>
      <c r="D744" t="s">
        <v>66</v>
      </c>
      <c r="E744" t="s">
        <v>42</v>
      </c>
      <c r="F744" t="s">
        <v>43</v>
      </c>
      <c r="G744">
        <v>3</v>
      </c>
      <c r="H744">
        <v>9</v>
      </c>
      <c r="I744">
        <v>3</v>
      </c>
      <c r="J744" t="s">
        <v>56</v>
      </c>
      <c r="K744" t="s">
        <v>46</v>
      </c>
      <c r="L744" t="s">
        <v>75</v>
      </c>
      <c r="M744">
        <v>346.90104845284583</v>
      </c>
      <c r="N744">
        <v>69</v>
      </c>
      <c r="O744">
        <v>56</v>
      </c>
      <c r="P744">
        <v>20</v>
      </c>
      <c r="Q744">
        <v>0</v>
      </c>
      <c r="R744">
        <v>0</v>
      </c>
      <c r="S744">
        <v>3.5553480614894135</v>
      </c>
      <c r="T744">
        <v>87.721111111111114</v>
      </c>
      <c r="U744">
        <v>1.8185946276597997</v>
      </c>
      <c r="V744">
        <v>-1.01058566247205</v>
      </c>
      <c r="W744">
        <v>-0.72487722485772399</v>
      </c>
      <c r="X744">
        <v>-0.83814251792544203</v>
      </c>
      <c r="Y744">
        <v>0.643019057251217</v>
      </c>
      <c r="Z744">
        <v>0.97010361819212798</v>
      </c>
      <c r="AA744">
        <v>-1.0557286875948499</v>
      </c>
      <c r="AB744">
        <v>4179</v>
      </c>
      <c r="AC744">
        <v>0</v>
      </c>
      <c r="AD744">
        <v>0</v>
      </c>
      <c r="AE744">
        <v>0.59808311135132897</v>
      </c>
      <c r="AF744">
        <v>0.43628596237348699</v>
      </c>
      <c r="AG744">
        <v>-0.47888462971346202</v>
      </c>
      <c r="AH744">
        <v>-3.78657243854763E-2</v>
      </c>
      <c r="AI744">
        <v>-9.2528507049068398E-2</v>
      </c>
      <c r="AJ744">
        <v>-1.5433671183667701</v>
      </c>
      <c r="AK744">
        <v>47.087721999999999</v>
      </c>
      <c r="AL744">
        <v>-1.2817419999999999</v>
      </c>
      <c r="AM744">
        <v>49.143000000000001</v>
      </c>
      <c r="AN744">
        <v>2.2280000000000002</v>
      </c>
    </row>
    <row r="745" spans="1:40" x14ac:dyDescent="0.35">
      <c r="A745">
        <v>938</v>
      </c>
      <c r="B745">
        <v>57</v>
      </c>
      <c r="C745" t="s">
        <v>40</v>
      </c>
      <c r="D745" t="s">
        <v>52</v>
      </c>
      <c r="E745" t="s">
        <v>42</v>
      </c>
      <c r="F745" t="s">
        <v>49</v>
      </c>
      <c r="G745">
        <v>4</v>
      </c>
      <c r="H745">
        <v>16</v>
      </c>
      <c r="I745">
        <v>6</v>
      </c>
      <c r="J745" t="s">
        <v>56</v>
      </c>
      <c r="K745" t="s">
        <v>46</v>
      </c>
      <c r="L745" t="s">
        <v>77</v>
      </c>
      <c r="M745">
        <v>64.399682379832242</v>
      </c>
      <c r="N745">
        <v>343</v>
      </c>
      <c r="O745">
        <v>231</v>
      </c>
      <c r="P745">
        <v>202</v>
      </c>
      <c r="Q745">
        <v>0</v>
      </c>
      <c r="R745">
        <v>2.3978952727983707</v>
      </c>
      <c r="S745">
        <v>5.1416635565026603</v>
      </c>
      <c r="T745">
        <v>90.472417453603512</v>
      </c>
      <c r="U745">
        <v>2.7735735584863375</v>
      </c>
      <c r="V745">
        <v>-0.15231437986527399</v>
      </c>
      <c r="W745">
        <v>3.49635939345109E-2</v>
      </c>
      <c r="X745">
        <v>-0.19627808847033801</v>
      </c>
      <c r="Y745">
        <v>-0.57382446736590997</v>
      </c>
      <c r="Z745">
        <v>-0.74335605457542497</v>
      </c>
      <c r="AA745">
        <v>-0.53588051656191904</v>
      </c>
      <c r="AB745">
        <v>3937</v>
      </c>
      <c r="AC745">
        <v>0</v>
      </c>
      <c r="AD745">
        <v>1</v>
      </c>
      <c r="AE745">
        <v>-0.72244456620022002</v>
      </c>
      <c r="AF745">
        <v>1.2727500471783399</v>
      </c>
      <c r="AG745">
        <v>1.1460646782350099</v>
      </c>
      <c r="AH745">
        <v>0.79523518597283405</v>
      </c>
      <c r="AI745">
        <v>1.4836044289928401</v>
      </c>
      <c r="AJ745">
        <v>0.76193534118230599</v>
      </c>
      <c r="AK745">
        <v>47.259622</v>
      </c>
      <c r="AL745">
        <v>-7.8518000000000004E-2</v>
      </c>
      <c r="AM745">
        <v>47.423000000000002</v>
      </c>
      <c r="AN745">
        <v>-0.89749999999999996</v>
      </c>
    </row>
    <row r="746" spans="1:40" x14ac:dyDescent="0.35">
      <c r="A746">
        <v>939</v>
      </c>
      <c r="B746">
        <v>57</v>
      </c>
      <c r="C746" t="s">
        <v>40</v>
      </c>
      <c r="D746" t="s">
        <v>41</v>
      </c>
      <c r="E746" t="s">
        <v>42</v>
      </c>
      <c r="F746" t="s">
        <v>43</v>
      </c>
      <c r="G746">
        <v>5</v>
      </c>
      <c r="H746">
        <v>25</v>
      </c>
      <c r="I746">
        <v>6</v>
      </c>
      <c r="J746" t="s">
        <v>56</v>
      </c>
      <c r="K746" t="s">
        <v>46</v>
      </c>
      <c r="L746" t="s">
        <v>83</v>
      </c>
      <c r="M746">
        <v>285.71946628213112</v>
      </c>
      <c r="N746">
        <v>360</v>
      </c>
      <c r="O746">
        <v>231</v>
      </c>
      <c r="P746">
        <v>223</v>
      </c>
      <c r="Q746">
        <v>0</v>
      </c>
      <c r="R746">
        <v>0</v>
      </c>
      <c r="S746">
        <v>4.4886363697321396</v>
      </c>
      <c r="T746">
        <v>90.115111111111119</v>
      </c>
      <c r="U746">
        <v>1.2513404171152498</v>
      </c>
      <c r="V746">
        <v>-0.46152060700845399</v>
      </c>
      <c r="W746">
        <v>-0.57121975163865102</v>
      </c>
      <c r="X746">
        <v>-0.33135740862223101</v>
      </c>
      <c r="Y746">
        <v>-0.77598924050104101</v>
      </c>
      <c r="Z746">
        <v>0.47668876811384397</v>
      </c>
      <c r="AA746">
        <v>0.85617757356637403</v>
      </c>
      <c r="AB746">
        <v>2565</v>
      </c>
      <c r="AC746">
        <v>1</v>
      </c>
      <c r="AD746">
        <v>0</v>
      </c>
      <c r="AE746">
        <v>-0.72514205471140702</v>
      </c>
      <c r="AF746">
        <v>-0.89581759797226201</v>
      </c>
      <c r="AG746">
        <v>-0.451445848217712</v>
      </c>
      <c r="AH746">
        <v>-0.26749203938952698</v>
      </c>
      <c r="AI746">
        <v>-1.3300988179372499</v>
      </c>
      <c r="AJ746">
        <v>0.16621781935744201</v>
      </c>
      <c r="AK746">
        <v>46.839658</v>
      </c>
      <c r="AL746">
        <v>4.7189269999999999</v>
      </c>
      <c r="AM746">
        <v>48.856372813999997</v>
      </c>
      <c r="AN746">
        <v>2.3525296170000001</v>
      </c>
    </row>
    <row r="747" spans="1:40" x14ac:dyDescent="0.35">
      <c r="A747">
        <v>940</v>
      </c>
      <c r="B747">
        <v>57</v>
      </c>
      <c r="C747" t="s">
        <v>40</v>
      </c>
      <c r="D747" t="s">
        <v>41</v>
      </c>
      <c r="E747" t="s">
        <v>42</v>
      </c>
      <c r="F747" t="s">
        <v>49</v>
      </c>
      <c r="G747">
        <v>4</v>
      </c>
      <c r="H747">
        <v>16</v>
      </c>
      <c r="I747">
        <v>4</v>
      </c>
      <c r="J747" t="s">
        <v>56</v>
      </c>
      <c r="K747" t="s">
        <v>46</v>
      </c>
      <c r="L747" t="s">
        <v>83</v>
      </c>
      <c r="M747">
        <v>295.06778328000581</v>
      </c>
      <c r="N747">
        <v>435</v>
      </c>
      <c r="O747">
        <v>240</v>
      </c>
      <c r="P747">
        <v>213</v>
      </c>
      <c r="Q747">
        <v>0</v>
      </c>
      <c r="R747">
        <v>0</v>
      </c>
      <c r="S747">
        <v>4.4886363697321396</v>
      </c>
      <c r="T747">
        <v>90.115111111111119</v>
      </c>
      <c r="U747">
        <v>1.2513404171152498</v>
      </c>
      <c r="V747">
        <v>-0.46152060700845399</v>
      </c>
      <c r="W747">
        <v>-0.57121975163865102</v>
      </c>
      <c r="X747">
        <v>-0.33135740862223101</v>
      </c>
      <c r="Y747">
        <v>-0.77598924050104101</v>
      </c>
      <c r="Z747">
        <v>0.47668876811384397</v>
      </c>
      <c r="AA747">
        <v>0.85617757356637403</v>
      </c>
      <c r="AB747">
        <v>2565</v>
      </c>
      <c r="AC747">
        <v>1</v>
      </c>
      <c r="AD747">
        <v>0</v>
      </c>
      <c r="AE747">
        <v>-0.72514205471140702</v>
      </c>
      <c r="AF747">
        <v>1.0060181786495599</v>
      </c>
      <c r="AG747">
        <v>0.551922641249733</v>
      </c>
      <c r="AH747">
        <v>-0.15299851530015601</v>
      </c>
      <c r="AI747">
        <v>0.97458319502641</v>
      </c>
      <c r="AJ747">
        <v>-0.32450863365531801</v>
      </c>
      <c r="AK747">
        <v>46.839658</v>
      </c>
      <c r="AL747">
        <v>4.7189269999999999</v>
      </c>
      <c r="AM747">
        <v>48.869000000000014</v>
      </c>
      <c r="AN747">
        <v>2.177</v>
      </c>
    </row>
    <row r="748" spans="1:40" x14ac:dyDescent="0.35">
      <c r="A748">
        <v>941</v>
      </c>
      <c r="B748">
        <v>72</v>
      </c>
      <c r="C748" t="s">
        <v>40</v>
      </c>
      <c r="D748" t="s">
        <v>52</v>
      </c>
      <c r="E748" t="s">
        <v>42</v>
      </c>
      <c r="F748" t="s">
        <v>43</v>
      </c>
      <c r="G748">
        <v>4</v>
      </c>
      <c r="H748">
        <v>16</v>
      </c>
      <c r="I748">
        <v>6</v>
      </c>
      <c r="J748" t="s">
        <v>56</v>
      </c>
      <c r="K748" t="s">
        <v>46</v>
      </c>
      <c r="L748" t="s">
        <v>70</v>
      </c>
      <c r="M748">
        <v>361.33296117471298</v>
      </c>
      <c r="N748">
        <v>551</v>
      </c>
      <c r="O748">
        <v>290</v>
      </c>
      <c r="P748">
        <v>277</v>
      </c>
      <c r="Q748">
        <v>0</v>
      </c>
      <c r="R748">
        <v>0</v>
      </c>
      <c r="S748">
        <v>5.3230099791384085</v>
      </c>
      <c r="T748">
        <v>90.615999999999985</v>
      </c>
      <c r="U748">
        <v>1.11573792223403</v>
      </c>
      <c r="V748">
        <v>0.80288722813325297</v>
      </c>
      <c r="W748">
        <v>0.52082154240315903</v>
      </c>
      <c r="X748">
        <v>0.61908815691345198</v>
      </c>
      <c r="Y748">
        <v>1.5007680231051199</v>
      </c>
      <c r="Z748">
        <v>0.24292628533916899</v>
      </c>
      <c r="AA748">
        <v>8.5217386942517098E-2</v>
      </c>
      <c r="AB748">
        <v>3943</v>
      </c>
      <c r="AC748">
        <v>0</v>
      </c>
      <c r="AD748">
        <v>1</v>
      </c>
      <c r="AE748">
        <v>1.1088815174583</v>
      </c>
      <c r="AF748">
        <v>-0.26983203567761499</v>
      </c>
      <c r="AG748">
        <v>9.3791393878183901E-2</v>
      </c>
      <c r="AH748">
        <v>0.65899350436130599</v>
      </c>
      <c r="AI748">
        <v>-1.3377161462781799</v>
      </c>
      <c r="AJ748">
        <v>-0.60850741842798906</v>
      </c>
      <c r="AK748">
        <v>46.098678999999997</v>
      </c>
      <c r="AL748">
        <v>4.7359530000000003</v>
      </c>
      <c r="AM748">
        <v>48.91</v>
      </c>
      <c r="AN748">
        <v>2.3330000000000002</v>
      </c>
    </row>
    <row r="749" spans="1:40" x14ac:dyDescent="0.35">
      <c r="A749">
        <v>942</v>
      </c>
      <c r="B749">
        <v>57</v>
      </c>
      <c r="C749" t="s">
        <v>40</v>
      </c>
      <c r="D749" t="s">
        <v>52</v>
      </c>
      <c r="E749" t="s">
        <v>42</v>
      </c>
      <c r="F749" t="s">
        <v>49</v>
      </c>
      <c r="G749">
        <v>6</v>
      </c>
      <c r="H749">
        <v>36</v>
      </c>
      <c r="I749">
        <v>5</v>
      </c>
      <c r="J749" t="s">
        <v>50</v>
      </c>
      <c r="K749" t="s">
        <v>46</v>
      </c>
      <c r="L749" t="s">
        <v>71</v>
      </c>
      <c r="M749">
        <v>559.96174431466318</v>
      </c>
      <c r="N749">
        <v>688</v>
      </c>
      <c r="O749">
        <v>466</v>
      </c>
      <c r="P749">
        <v>270</v>
      </c>
      <c r="Q749">
        <v>4.5747109785033828</v>
      </c>
      <c r="R749">
        <v>3.5263605246161616</v>
      </c>
      <c r="S749">
        <v>5.1416635565026603</v>
      </c>
      <c r="T749">
        <v>92.265120976563693</v>
      </c>
      <c r="U749">
        <v>2.9351954657362995</v>
      </c>
      <c r="V749">
        <v>-8.3509539921858403E-2</v>
      </c>
      <c r="W749">
        <v>-8.6188355584626702E-2</v>
      </c>
      <c r="X749">
        <v>-6.2117403422328299E-2</v>
      </c>
      <c r="Y749">
        <v>-0.51135009403950604</v>
      </c>
      <c r="Z749">
        <v>-0.669554030021006</v>
      </c>
      <c r="AA749">
        <v>-1.4915282051312999</v>
      </c>
      <c r="AB749">
        <v>1813.5248996931791</v>
      </c>
      <c r="AC749">
        <v>1.6535284399339156</v>
      </c>
      <c r="AD749">
        <v>0.49421760679726223</v>
      </c>
      <c r="AE749">
        <v>-0.18520258641298501</v>
      </c>
      <c r="AF749">
        <v>-0.98770562381634197</v>
      </c>
      <c r="AG749">
        <v>-1.44906711907026</v>
      </c>
      <c r="AH749">
        <v>1.4834277543801</v>
      </c>
      <c r="AI749">
        <v>0.80074598986956103</v>
      </c>
      <c r="AJ749">
        <v>9.2951164937519107E-2</v>
      </c>
      <c r="AK749">
        <v>45.071283999999999</v>
      </c>
      <c r="AL749">
        <v>4.8370730000000002</v>
      </c>
      <c r="AM749">
        <v>49.456545454545449</v>
      </c>
      <c r="AN749">
        <v>1.2014545454545453</v>
      </c>
    </row>
    <row r="750" spans="1:40" x14ac:dyDescent="0.35">
      <c r="A750">
        <v>943</v>
      </c>
      <c r="B750">
        <v>57</v>
      </c>
      <c r="C750" t="s">
        <v>48</v>
      </c>
      <c r="D750" t="s">
        <v>41</v>
      </c>
      <c r="E750" t="s">
        <v>42</v>
      </c>
      <c r="F750" t="s">
        <v>49</v>
      </c>
      <c r="G750">
        <v>7</v>
      </c>
      <c r="H750">
        <v>49</v>
      </c>
      <c r="I750">
        <v>6</v>
      </c>
      <c r="J750" t="s">
        <v>50</v>
      </c>
      <c r="K750" t="s">
        <v>46</v>
      </c>
      <c r="L750" t="s">
        <v>60</v>
      </c>
      <c r="M750">
        <v>567.10864805143422</v>
      </c>
      <c r="N750">
        <v>133</v>
      </c>
      <c r="O750">
        <v>85</v>
      </c>
      <c r="P750">
        <v>115</v>
      </c>
      <c r="Q750">
        <v>3.8501476017100584</v>
      </c>
      <c r="R750">
        <v>2.9957322735539909</v>
      </c>
      <c r="S750">
        <v>5.4424177105217932</v>
      </c>
      <c r="T750">
        <v>88.975873222691746</v>
      </c>
      <c r="U750">
        <v>2.5514539469641888</v>
      </c>
      <c r="V750">
        <v>2.9336799326863701</v>
      </c>
      <c r="W750">
        <v>3.3730943146768602</v>
      </c>
      <c r="X750">
        <v>3.6072071704345601</v>
      </c>
      <c r="Y750">
        <v>-0.19189497559235799</v>
      </c>
      <c r="Z750">
        <v>0.17569111512999699</v>
      </c>
      <c r="AA750">
        <v>-0.304970615080496</v>
      </c>
      <c r="AB750">
        <v>1906.836709612184</v>
      </c>
      <c r="AC750">
        <v>0.7978420820676605</v>
      </c>
      <c r="AD750">
        <v>2.1056638128240834</v>
      </c>
      <c r="AE750">
        <v>-0.25037207080954499</v>
      </c>
      <c r="AF750">
        <v>-1.6774337369277699E-2</v>
      </c>
      <c r="AG750">
        <v>-4.7746723836445799E-2</v>
      </c>
      <c r="AH750">
        <v>1.1480201559432699</v>
      </c>
      <c r="AI750">
        <v>1.162708909901</v>
      </c>
      <c r="AJ750">
        <v>0.96203195566570499</v>
      </c>
      <c r="AK750">
        <v>44.055988999999997</v>
      </c>
      <c r="AL750">
        <v>4.8317350000000001</v>
      </c>
      <c r="AM750">
        <v>48.856372813999997</v>
      </c>
      <c r="AN750">
        <v>2.3525296170000001</v>
      </c>
    </row>
    <row r="751" spans="1:40" x14ac:dyDescent="0.35">
      <c r="A751">
        <v>944</v>
      </c>
      <c r="B751">
        <v>57</v>
      </c>
      <c r="C751" t="s">
        <v>40</v>
      </c>
      <c r="D751" t="s">
        <v>52</v>
      </c>
      <c r="E751" t="s">
        <v>42</v>
      </c>
      <c r="F751" t="s">
        <v>49</v>
      </c>
      <c r="G751">
        <v>4</v>
      </c>
      <c r="H751">
        <v>16</v>
      </c>
      <c r="I751">
        <v>4</v>
      </c>
      <c r="J751" t="s">
        <v>56</v>
      </c>
      <c r="K751" t="s">
        <v>46</v>
      </c>
      <c r="L751" t="s">
        <v>71</v>
      </c>
      <c r="M751">
        <v>468.8486087596325</v>
      </c>
      <c r="N751">
        <v>423</v>
      </c>
      <c r="O751">
        <v>220</v>
      </c>
      <c r="P751">
        <v>168</v>
      </c>
      <c r="Q751">
        <v>4.5747109785033828</v>
      </c>
      <c r="R751">
        <v>3.5263605246161616</v>
      </c>
      <c r="S751">
        <v>5.1416635565026603</v>
      </c>
      <c r="T751">
        <v>92.265120976563693</v>
      </c>
      <c r="U751">
        <v>2.9351954657362995</v>
      </c>
      <c r="V751">
        <v>-8.3509539921858403E-2</v>
      </c>
      <c r="W751">
        <v>-8.6188355584626702E-2</v>
      </c>
      <c r="X751">
        <v>-6.2117403422328299E-2</v>
      </c>
      <c r="Y751">
        <v>-0.51135009403950604</v>
      </c>
      <c r="Z751">
        <v>-0.669554030021006</v>
      </c>
      <c r="AA751">
        <v>-1.4915282051312999</v>
      </c>
      <c r="AB751">
        <v>1813.5248996931791</v>
      </c>
      <c r="AC751">
        <v>1.6535284399339156</v>
      </c>
      <c r="AD751">
        <v>0.49421760679726223</v>
      </c>
      <c r="AE751">
        <v>-0.18520258641298501</v>
      </c>
      <c r="AF751">
        <v>-1.7291407713746301</v>
      </c>
      <c r="AG751">
        <v>0.57974936909201802</v>
      </c>
      <c r="AH751">
        <v>0.87983616599596803</v>
      </c>
      <c r="AI751">
        <v>0.211273923036676</v>
      </c>
      <c r="AJ751">
        <v>0.433252704597057</v>
      </c>
      <c r="AK751">
        <v>45.071283999999999</v>
      </c>
      <c r="AL751">
        <v>4.8370730000000002</v>
      </c>
      <c r="AM751">
        <v>48.898000000000003</v>
      </c>
      <c r="AN751">
        <v>2.2559999999999998</v>
      </c>
    </row>
    <row r="752" spans="1:40" x14ac:dyDescent="0.35">
      <c r="A752">
        <v>945</v>
      </c>
      <c r="B752">
        <v>29.5</v>
      </c>
      <c r="C752" t="s">
        <v>40</v>
      </c>
      <c r="D752" t="s">
        <v>41</v>
      </c>
      <c r="E752" t="s">
        <v>42</v>
      </c>
      <c r="F752" t="s">
        <v>49</v>
      </c>
      <c r="G752">
        <v>5</v>
      </c>
      <c r="H752">
        <v>25</v>
      </c>
      <c r="I752">
        <v>6</v>
      </c>
      <c r="J752" t="s">
        <v>56</v>
      </c>
      <c r="K752" t="s">
        <v>46</v>
      </c>
      <c r="L752" t="s">
        <v>70</v>
      </c>
      <c r="M752">
        <v>355.48069403017831</v>
      </c>
      <c r="N752">
        <v>49</v>
      </c>
      <c r="O752">
        <v>40</v>
      </c>
      <c r="P752">
        <v>313</v>
      </c>
      <c r="Q752">
        <v>0</v>
      </c>
      <c r="R752">
        <v>0</v>
      </c>
      <c r="S752">
        <v>5.3230099791384085</v>
      </c>
      <c r="T752">
        <v>90.615999999999985</v>
      </c>
      <c r="U752">
        <v>1.11573792223403</v>
      </c>
      <c r="V752">
        <v>0.80288722813325297</v>
      </c>
      <c r="W752">
        <v>0.52082154240315903</v>
      </c>
      <c r="X752">
        <v>0.61908815691345198</v>
      </c>
      <c r="Y752">
        <v>1.5007680231051199</v>
      </c>
      <c r="Z752">
        <v>0.24292628533916899</v>
      </c>
      <c r="AA752">
        <v>8.5217386942517098E-2</v>
      </c>
      <c r="AB752">
        <v>3943</v>
      </c>
      <c r="AC752">
        <v>0</v>
      </c>
      <c r="AD752">
        <v>1</v>
      </c>
      <c r="AE752">
        <v>1.1088815174583</v>
      </c>
      <c r="AF752">
        <v>-2.1035356397273102</v>
      </c>
      <c r="AG752">
        <v>0.21299164841413901</v>
      </c>
      <c r="AH752">
        <v>0.481268540453205</v>
      </c>
      <c r="AI752">
        <v>-0.91420909940842898</v>
      </c>
      <c r="AJ752">
        <v>0.47059846796382399</v>
      </c>
      <c r="AK752">
        <v>46.098678999999997</v>
      </c>
      <c r="AL752">
        <v>4.7359530000000003</v>
      </c>
      <c r="AM752">
        <v>48.856372813999997</v>
      </c>
      <c r="AN752">
        <v>2.3525296170000001</v>
      </c>
    </row>
    <row r="753" spans="1:40" x14ac:dyDescent="0.35">
      <c r="A753">
        <v>946</v>
      </c>
      <c r="B753">
        <v>29.5</v>
      </c>
      <c r="C753" t="s">
        <v>40</v>
      </c>
      <c r="D753" t="s">
        <v>41</v>
      </c>
      <c r="E753" t="s">
        <v>42</v>
      </c>
      <c r="F753" t="s">
        <v>49</v>
      </c>
      <c r="G753">
        <v>5</v>
      </c>
      <c r="H753">
        <v>25</v>
      </c>
      <c r="I753">
        <v>4</v>
      </c>
      <c r="J753" t="s">
        <v>56</v>
      </c>
      <c r="K753" t="s">
        <v>46</v>
      </c>
      <c r="L753" t="s">
        <v>71</v>
      </c>
      <c r="M753">
        <v>77.268061289258455</v>
      </c>
      <c r="N753">
        <v>959</v>
      </c>
      <c r="O753">
        <v>500</v>
      </c>
      <c r="P753">
        <v>444</v>
      </c>
      <c r="Q753">
        <v>4.5747109785033828</v>
      </c>
      <c r="R753">
        <v>3.5263605246161616</v>
      </c>
      <c r="S753">
        <v>5.1416635565026603</v>
      </c>
      <c r="T753">
        <v>92.265120976563693</v>
      </c>
      <c r="U753">
        <v>2.9351954657362995</v>
      </c>
      <c r="V753">
        <v>-8.3509539921858403E-2</v>
      </c>
      <c r="W753">
        <v>-8.6188355584626702E-2</v>
      </c>
      <c r="X753">
        <v>-6.2117403422328299E-2</v>
      </c>
      <c r="Y753">
        <v>-0.51135009403950604</v>
      </c>
      <c r="Z753">
        <v>-0.669554030021006</v>
      </c>
      <c r="AA753">
        <v>-1.4915282051312999</v>
      </c>
      <c r="AB753">
        <v>1813.5248996931791</v>
      </c>
      <c r="AC753">
        <v>1.6535284399339156</v>
      </c>
      <c r="AD753">
        <v>0.49421760679726223</v>
      </c>
      <c r="AE753">
        <v>-0.18520258641298501</v>
      </c>
      <c r="AF753">
        <v>-1.4076801353805599</v>
      </c>
      <c r="AG753">
        <v>-0.28248775636063</v>
      </c>
      <c r="AH753">
        <v>-1.6453849766344399</v>
      </c>
      <c r="AI753">
        <v>-1.7106219845919699</v>
      </c>
      <c r="AJ753">
        <v>0.63839333111250895</v>
      </c>
      <c r="AK753">
        <v>45.071283999999999</v>
      </c>
      <c r="AL753">
        <v>4.8370730000000002</v>
      </c>
      <c r="AM753">
        <v>45.762999999999998</v>
      </c>
      <c r="AN753">
        <v>4.7549999999999999</v>
      </c>
    </row>
    <row r="754" spans="1:40" x14ac:dyDescent="0.35">
      <c r="A754">
        <v>947</v>
      </c>
      <c r="B754">
        <v>57</v>
      </c>
      <c r="C754" t="s">
        <v>40</v>
      </c>
      <c r="D754" t="s">
        <v>66</v>
      </c>
      <c r="E754" t="s">
        <v>42</v>
      </c>
      <c r="F754" t="s">
        <v>61</v>
      </c>
      <c r="G754">
        <v>5</v>
      </c>
      <c r="H754">
        <v>25</v>
      </c>
      <c r="I754">
        <v>7</v>
      </c>
      <c r="J754" t="s">
        <v>56</v>
      </c>
      <c r="K754" t="s">
        <v>46</v>
      </c>
      <c r="L754" t="s">
        <v>65</v>
      </c>
      <c r="M754">
        <v>760.51263644823121</v>
      </c>
      <c r="N754">
        <v>133</v>
      </c>
      <c r="O754">
        <v>85</v>
      </c>
      <c r="P754">
        <v>115</v>
      </c>
      <c r="Q754">
        <v>0</v>
      </c>
      <c r="R754">
        <v>0</v>
      </c>
      <c r="S754">
        <v>4.4543472962535073</v>
      </c>
      <c r="T754">
        <v>89.333044733044744</v>
      </c>
      <c r="U754">
        <v>1.2554235437523662</v>
      </c>
      <c r="V754">
        <v>1.64975517953679</v>
      </c>
      <c r="W754">
        <v>2.4220969657957299</v>
      </c>
      <c r="X754">
        <v>1.68128863126442</v>
      </c>
      <c r="Y754">
        <v>2.0553398017137301</v>
      </c>
      <c r="Z754">
        <v>2.0921400018840099</v>
      </c>
      <c r="AA754">
        <v>2.0596698968962701</v>
      </c>
      <c r="AB754">
        <v>3262.71</v>
      </c>
      <c r="AC754">
        <v>0.33</v>
      </c>
      <c r="AD754">
        <v>0.66</v>
      </c>
      <c r="AE754">
        <v>1.9221838973381</v>
      </c>
      <c r="AF754">
        <v>-1.01366458745235</v>
      </c>
      <c r="AG754">
        <v>-0.54302184446229995</v>
      </c>
      <c r="AH754">
        <v>-1.5798771319768701</v>
      </c>
      <c r="AI754">
        <v>-0.37630998430268198</v>
      </c>
      <c r="AJ754">
        <v>-0.19644916893105999</v>
      </c>
      <c r="AK754">
        <v>43.537466000000002</v>
      </c>
      <c r="AL754">
        <v>6.4627330000000001</v>
      </c>
      <c r="AM754">
        <v>49.321000000000005</v>
      </c>
      <c r="AN754">
        <v>1.1759999999999999</v>
      </c>
    </row>
    <row r="755" spans="1:40" x14ac:dyDescent="0.35">
      <c r="A755">
        <v>948</v>
      </c>
      <c r="B755">
        <v>57</v>
      </c>
      <c r="C755" t="s">
        <v>40</v>
      </c>
      <c r="D755" t="s">
        <v>66</v>
      </c>
      <c r="E755" t="s">
        <v>42</v>
      </c>
      <c r="F755" t="s">
        <v>61</v>
      </c>
      <c r="G755">
        <v>4</v>
      </c>
      <c r="H755">
        <v>16</v>
      </c>
      <c r="I755">
        <v>5</v>
      </c>
      <c r="J755" t="s">
        <v>45</v>
      </c>
      <c r="K755" t="s">
        <v>46</v>
      </c>
      <c r="L755" t="s">
        <v>71</v>
      </c>
      <c r="M755">
        <v>467.19595836386259</v>
      </c>
      <c r="N755">
        <v>588</v>
      </c>
      <c r="O755">
        <v>372</v>
      </c>
      <c r="P755">
        <v>207</v>
      </c>
      <c r="Q755">
        <v>4.5747109785033828</v>
      </c>
      <c r="R755">
        <v>3.5263605246161616</v>
      </c>
      <c r="S755">
        <v>5.1416635565026603</v>
      </c>
      <c r="T755">
        <v>92.265120976563693</v>
      </c>
      <c r="U755">
        <v>2.9351954657362995</v>
      </c>
      <c r="V755">
        <v>-8.3509539921858403E-2</v>
      </c>
      <c r="W755">
        <v>-8.6188355584626702E-2</v>
      </c>
      <c r="X755">
        <v>-6.2117403422328299E-2</v>
      </c>
      <c r="Y755">
        <v>-0.51135009403950604</v>
      </c>
      <c r="Z755">
        <v>-0.669554030021006</v>
      </c>
      <c r="AA755">
        <v>-1.4915282051312999</v>
      </c>
      <c r="AB755">
        <v>1813.5248996931791</v>
      </c>
      <c r="AC755">
        <v>1.6535284399339156</v>
      </c>
      <c r="AD755">
        <v>0.49421760679726223</v>
      </c>
      <c r="AE755">
        <v>-0.18520258641298501</v>
      </c>
      <c r="AF755">
        <v>0.54031981320405098</v>
      </c>
      <c r="AG755">
        <v>-1.0835966465209601</v>
      </c>
      <c r="AH755">
        <v>-0.28146696083182499</v>
      </c>
      <c r="AI755">
        <v>0.98244780224271699</v>
      </c>
      <c r="AJ755">
        <v>-0.495455755375315</v>
      </c>
      <c r="AK755">
        <v>45.071283999999999</v>
      </c>
      <c r="AL755">
        <v>4.8370730000000002</v>
      </c>
      <c r="AM755">
        <v>48.87</v>
      </c>
      <c r="AN755">
        <v>2.2200000000000002</v>
      </c>
    </row>
    <row r="756" spans="1:40" x14ac:dyDescent="0.35">
      <c r="A756">
        <v>949</v>
      </c>
      <c r="B756">
        <v>42</v>
      </c>
      <c r="C756" t="s">
        <v>48</v>
      </c>
      <c r="D756" t="s">
        <v>41</v>
      </c>
      <c r="E756" t="s">
        <v>42</v>
      </c>
      <c r="F756" t="s">
        <v>49</v>
      </c>
      <c r="G756">
        <v>5</v>
      </c>
      <c r="H756">
        <v>25</v>
      </c>
      <c r="I756">
        <v>6</v>
      </c>
      <c r="J756" t="s">
        <v>56</v>
      </c>
      <c r="K756" t="s">
        <v>46</v>
      </c>
      <c r="L756" t="s">
        <v>73</v>
      </c>
      <c r="M756">
        <v>512.41920951948691</v>
      </c>
      <c r="N756">
        <v>200</v>
      </c>
      <c r="O756">
        <v>138</v>
      </c>
      <c r="P756">
        <v>168</v>
      </c>
      <c r="Q756">
        <v>1.9459101490553132</v>
      </c>
      <c r="R756">
        <v>2.9444389791664403</v>
      </c>
      <c r="S756">
        <v>4.2626798770413155</v>
      </c>
      <c r="T756">
        <v>91.872500000000002</v>
      </c>
      <c r="U756">
        <v>2.0033201607997366</v>
      </c>
      <c r="V756">
        <v>7.5580716531248995E-2</v>
      </c>
      <c r="W756">
        <v>0.203376316306385</v>
      </c>
      <c r="X756">
        <v>0.143329752535333</v>
      </c>
      <c r="Y756">
        <v>1.4483117406157899</v>
      </c>
      <c r="Z756">
        <v>1.7680602694732599</v>
      </c>
      <c r="AA756">
        <v>0.26366440732357699</v>
      </c>
      <c r="AB756">
        <v>4236</v>
      </c>
      <c r="AC756">
        <v>0</v>
      </c>
      <c r="AD756">
        <v>4</v>
      </c>
      <c r="AE756">
        <v>1.6751267091712101</v>
      </c>
      <c r="AF756">
        <v>0.56278317984769399</v>
      </c>
      <c r="AG756">
        <v>-0.35812047681036302</v>
      </c>
      <c r="AH756">
        <v>0.277524085469603</v>
      </c>
      <c r="AI756">
        <v>0.74318681618151405</v>
      </c>
      <c r="AJ756">
        <v>1.13219827916871</v>
      </c>
      <c r="AK756">
        <v>44.686388999999998</v>
      </c>
      <c r="AL756">
        <v>-0.52383800000000003</v>
      </c>
      <c r="AM756">
        <v>48.884000000000007</v>
      </c>
      <c r="AN756">
        <v>2.238</v>
      </c>
    </row>
    <row r="757" spans="1:40" x14ac:dyDescent="0.35">
      <c r="A757">
        <v>950</v>
      </c>
      <c r="B757">
        <v>72</v>
      </c>
      <c r="C757" t="s">
        <v>40</v>
      </c>
      <c r="D757" t="s">
        <v>52</v>
      </c>
      <c r="E757" t="s">
        <v>42</v>
      </c>
      <c r="F757" t="s">
        <v>49</v>
      </c>
      <c r="G757">
        <v>4</v>
      </c>
      <c r="H757">
        <v>16</v>
      </c>
      <c r="I757">
        <v>6</v>
      </c>
      <c r="J757" t="s">
        <v>50</v>
      </c>
      <c r="K757" t="s">
        <v>46</v>
      </c>
      <c r="L757" t="s">
        <v>76</v>
      </c>
      <c r="M757">
        <v>184.16477884163351</v>
      </c>
      <c r="N757">
        <v>199</v>
      </c>
      <c r="O757">
        <v>141</v>
      </c>
      <c r="P757">
        <v>113</v>
      </c>
      <c r="Q757">
        <v>0</v>
      </c>
      <c r="R757">
        <v>1.0986122886681098</v>
      </c>
      <c r="S757">
        <v>4.1588830833596715</v>
      </c>
      <c r="T757">
        <v>91.226666666666674</v>
      </c>
      <c r="U757">
        <v>1.418823059726001</v>
      </c>
      <c r="V757">
        <v>-0.39095273818515502</v>
      </c>
      <c r="W757">
        <v>-0.53446083104759001</v>
      </c>
      <c r="X757">
        <v>-0.40804429067029002</v>
      </c>
      <c r="Y757">
        <v>-0.56789545922357498</v>
      </c>
      <c r="Z757">
        <v>-0.94760790482486201</v>
      </c>
      <c r="AA757">
        <v>-1.0848673571571601</v>
      </c>
      <c r="AB757">
        <v>1770.5103102717287</v>
      </c>
      <c r="AC757">
        <v>0.28213528618230871</v>
      </c>
      <c r="AD757">
        <v>1.7130468298323378</v>
      </c>
      <c r="AE757">
        <v>-1.13486126839574</v>
      </c>
      <c r="AF757">
        <v>0.519204866056449</v>
      </c>
      <c r="AG757">
        <v>-0.58770566117428102</v>
      </c>
      <c r="AH757">
        <v>3.0303686951033096E-2</v>
      </c>
      <c r="AI757">
        <v>0.72718376937310403</v>
      </c>
      <c r="AJ757">
        <v>-0.10057075346498601</v>
      </c>
      <c r="AK757">
        <v>47.330690599999997</v>
      </c>
      <c r="AL757">
        <v>2.8390453999999998</v>
      </c>
      <c r="AM757">
        <v>48.927</v>
      </c>
      <c r="AN757">
        <v>2.1880000000000002</v>
      </c>
    </row>
    <row r="758" spans="1:40" x14ac:dyDescent="0.35">
      <c r="A758">
        <v>951</v>
      </c>
      <c r="B758">
        <v>57</v>
      </c>
      <c r="C758" t="s">
        <v>48</v>
      </c>
      <c r="D758" t="s">
        <v>41</v>
      </c>
      <c r="E758" t="s">
        <v>42</v>
      </c>
      <c r="F758" t="s">
        <v>49</v>
      </c>
      <c r="G758">
        <v>5</v>
      </c>
      <c r="H758">
        <v>25</v>
      </c>
      <c r="I758">
        <v>5</v>
      </c>
      <c r="J758" t="s">
        <v>56</v>
      </c>
      <c r="K758" t="s">
        <v>46</v>
      </c>
      <c r="L758" t="s">
        <v>76</v>
      </c>
      <c r="M758">
        <v>173.64663678342501</v>
      </c>
      <c r="N758">
        <v>263</v>
      </c>
      <c r="O758">
        <v>214</v>
      </c>
      <c r="P758">
        <v>168</v>
      </c>
      <c r="Q758">
        <v>0</v>
      </c>
      <c r="R758">
        <v>1.0986122886681098</v>
      </c>
      <c r="S758">
        <v>4.1588830833596715</v>
      </c>
      <c r="T758">
        <v>91.226666666666674</v>
      </c>
      <c r="U758">
        <v>1.418823059726001</v>
      </c>
      <c r="V758">
        <v>-0.39095273818515502</v>
      </c>
      <c r="W758">
        <v>-0.53446083104759001</v>
      </c>
      <c r="X758">
        <v>-0.40804429067029002</v>
      </c>
      <c r="Y758">
        <v>-0.56789545922357498</v>
      </c>
      <c r="Z758">
        <v>-0.94760790482486201</v>
      </c>
      <c r="AA758">
        <v>-1.0848673571571601</v>
      </c>
      <c r="AB758">
        <v>1770.5103102717287</v>
      </c>
      <c r="AC758">
        <v>0.28213528618230871</v>
      </c>
      <c r="AD758">
        <v>1.7130468298323378</v>
      </c>
      <c r="AE758">
        <v>-1.13486126839574</v>
      </c>
      <c r="AF758">
        <v>-1.57507797126174</v>
      </c>
      <c r="AG758">
        <v>0.89206919956936903</v>
      </c>
      <c r="AH758">
        <v>0.486834698033769</v>
      </c>
      <c r="AI758">
        <v>-0.21387395588840799</v>
      </c>
      <c r="AJ758">
        <v>1.1679535753594801</v>
      </c>
      <c r="AK758">
        <v>47.330690599999997</v>
      </c>
      <c r="AL758">
        <v>2.8390453999999998</v>
      </c>
      <c r="AM758">
        <v>48.856372813999997</v>
      </c>
      <c r="AN758">
        <v>2.3525296170000001</v>
      </c>
    </row>
    <row r="759" spans="1:40" x14ac:dyDescent="0.35">
      <c r="A759">
        <v>952</v>
      </c>
      <c r="B759">
        <v>57</v>
      </c>
      <c r="C759" t="s">
        <v>40</v>
      </c>
      <c r="D759" t="s">
        <v>41</v>
      </c>
      <c r="E759" t="s">
        <v>42</v>
      </c>
      <c r="F759" t="s">
        <v>43</v>
      </c>
      <c r="G759">
        <v>4</v>
      </c>
      <c r="H759">
        <v>16</v>
      </c>
      <c r="I759">
        <v>4</v>
      </c>
      <c r="J759" t="s">
        <v>50</v>
      </c>
      <c r="K759" t="s">
        <v>46</v>
      </c>
      <c r="L759" t="s">
        <v>59</v>
      </c>
      <c r="M759">
        <v>203.93004156257089</v>
      </c>
      <c r="N759">
        <v>607</v>
      </c>
      <c r="O759">
        <v>367</v>
      </c>
      <c r="P759">
        <v>275</v>
      </c>
      <c r="Q759">
        <v>1.3862943611198906</v>
      </c>
      <c r="R759">
        <v>1.3862943611198906</v>
      </c>
      <c r="S759">
        <v>4.9972122737641147</v>
      </c>
      <c r="T759">
        <v>90.035146103896111</v>
      </c>
      <c r="U759">
        <v>1.418823059726001</v>
      </c>
      <c r="V759">
        <v>-0.52223564926899602</v>
      </c>
      <c r="W759">
        <v>-0.46072710968150399</v>
      </c>
      <c r="X759">
        <v>-0.361786268345754</v>
      </c>
      <c r="Y759">
        <v>-0.552694479448822</v>
      </c>
      <c r="Z759">
        <v>2.1676297177028899E-2</v>
      </c>
      <c r="AA759">
        <v>0.625223797005378</v>
      </c>
      <c r="AB759">
        <v>2234.6992515788952</v>
      </c>
      <c r="AC759">
        <v>0</v>
      </c>
      <c r="AD759">
        <v>0.12112735591028891</v>
      </c>
      <c r="AE759">
        <v>-0.60610368582010199</v>
      </c>
      <c r="AF759">
        <v>5.8437853133178098E-2</v>
      </c>
      <c r="AG759">
        <v>1.6484979131173898E-2</v>
      </c>
      <c r="AH759">
        <v>0.27985784772208899</v>
      </c>
      <c r="AI759">
        <v>0.357041090025362</v>
      </c>
      <c r="AJ759">
        <v>0.25424136822379001</v>
      </c>
      <c r="AK759">
        <v>47.411035099999999</v>
      </c>
      <c r="AL759">
        <v>0.98369799999999996</v>
      </c>
      <c r="AM759">
        <v>49.083500000000001</v>
      </c>
      <c r="AN759">
        <v>2.1065</v>
      </c>
    </row>
    <row r="760" spans="1:40" x14ac:dyDescent="0.35">
      <c r="A760">
        <v>953</v>
      </c>
      <c r="B760">
        <v>57</v>
      </c>
      <c r="C760" t="s">
        <v>40</v>
      </c>
      <c r="D760" t="s">
        <v>66</v>
      </c>
      <c r="E760" t="s">
        <v>42</v>
      </c>
      <c r="F760" t="s">
        <v>49</v>
      </c>
      <c r="G760">
        <v>4</v>
      </c>
      <c r="H760">
        <v>16</v>
      </c>
      <c r="I760">
        <v>6</v>
      </c>
      <c r="J760" t="s">
        <v>50</v>
      </c>
      <c r="K760" t="s">
        <v>46</v>
      </c>
      <c r="L760" t="s">
        <v>72</v>
      </c>
      <c r="M760">
        <v>471.92800703061062</v>
      </c>
      <c r="N760">
        <v>607</v>
      </c>
      <c r="O760">
        <v>367</v>
      </c>
      <c r="P760">
        <v>275</v>
      </c>
      <c r="Q760">
        <v>0.69314718055994529</v>
      </c>
      <c r="R760">
        <v>1.3862943611198906</v>
      </c>
      <c r="S760">
        <v>4.5538768916005408</v>
      </c>
      <c r="T760">
        <v>89.340161030595823</v>
      </c>
      <c r="U760">
        <v>1.4712304197281412</v>
      </c>
      <c r="V760">
        <v>0.59716251398508702</v>
      </c>
      <c r="W760">
        <v>0.91068296986709796</v>
      </c>
      <c r="X760">
        <v>1.2273243988355</v>
      </c>
      <c r="Y760">
        <v>-0.4121809470949</v>
      </c>
      <c r="Z760">
        <v>-0.86472582726521097</v>
      </c>
      <c r="AA760">
        <v>-1.0172779374790899</v>
      </c>
      <c r="AB760">
        <v>1828.1689246701658</v>
      </c>
      <c r="AC760">
        <v>1.1127464888636687</v>
      </c>
      <c r="AD760">
        <v>1.8630656830756136</v>
      </c>
      <c r="AE760">
        <v>-0.53926882203722504</v>
      </c>
      <c r="AF760">
        <v>1.3462533120734499</v>
      </c>
      <c r="AG760">
        <v>-1.06689251138232</v>
      </c>
      <c r="AH760">
        <v>-0.310177530033593</v>
      </c>
      <c r="AI760">
        <v>1.2017110626699301</v>
      </c>
      <c r="AJ760">
        <v>-0.65062582604164898</v>
      </c>
      <c r="AK760">
        <v>44.853456999999999</v>
      </c>
      <c r="AL760">
        <v>0.48753099999999999</v>
      </c>
      <c r="AM760">
        <v>48.914999999999999</v>
      </c>
      <c r="AN760">
        <v>2.2669999999999999</v>
      </c>
    </row>
    <row r="761" spans="1:40" x14ac:dyDescent="0.35">
      <c r="A761">
        <v>954</v>
      </c>
      <c r="B761">
        <v>72</v>
      </c>
      <c r="C761" t="s">
        <v>40</v>
      </c>
      <c r="D761" t="s">
        <v>52</v>
      </c>
      <c r="E761" t="s">
        <v>42</v>
      </c>
      <c r="F761" t="s">
        <v>49</v>
      </c>
      <c r="G761">
        <v>5</v>
      </c>
      <c r="H761">
        <v>25</v>
      </c>
      <c r="I761">
        <v>5</v>
      </c>
      <c r="J761" t="s">
        <v>50</v>
      </c>
      <c r="K761" t="s">
        <v>46</v>
      </c>
      <c r="L761" t="s">
        <v>76</v>
      </c>
      <c r="M761">
        <v>265.61778287537089</v>
      </c>
      <c r="N761">
        <v>376</v>
      </c>
      <c r="O761">
        <v>259</v>
      </c>
      <c r="P761">
        <v>325</v>
      </c>
      <c r="Q761">
        <v>0</v>
      </c>
      <c r="R761">
        <v>1.0986122886681098</v>
      </c>
      <c r="S761">
        <v>4.1588830833596715</v>
      </c>
      <c r="T761">
        <v>91.226666666666674</v>
      </c>
      <c r="U761">
        <v>1.418823059726001</v>
      </c>
      <c r="V761">
        <v>-0.39095273818515502</v>
      </c>
      <c r="W761">
        <v>-0.53446083104759001</v>
      </c>
      <c r="X761">
        <v>-0.40804429067029002</v>
      </c>
      <c r="Y761">
        <v>-0.56789545922357498</v>
      </c>
      <c r="Z761">
        <v>-0.94760790482486201</v>
      </c>
      <c r="AA761">
        <v>-1.0848673571571601</v>
      </c>
      <c r="AB761">
        <v>1770.5103102717287</v>
      </c>
      <c r="AC761">
        <v>0.28213528618230871</v>
      </c>
      <c r="AD761">
        <v>1.7130468298323378</v>
      </c>
      <c r="AE761">
        <v>-1.13486126839574</v>
      </c>
      <c r="AF761">
        <v>-1.7476791304653101</v>
      </c>
      <c r="AG761">
        <v>-0.76495093359500199</v>
      </c>
      <c r="AH761">
        <v>0.54442291920944397</v>
      </c>
      <c r="AI761">
        <v>-1.97388462496043</v>
      </c>
      <c r="AJ761">
        <v>1.1418182332387901</v>
      </c>
      <c r="AK761">
        <v>47.330690599999997</v>
      </c>
      <c r="AL761">
        <v>2.8390453999999998</v>
      </c>
      <c r="AM761">
        <v>44.985307692307693</v>
      </c>
      <c r="AN761">
        <v>2.205307692307692</v>
      </c>
    </row>
    <row r="762" spans="1:40" x14ac:dyDescent="0.35">
      <c r="A762">
        <v>955</v>
      </c>
      <c r="B762">
        <v>29.5</v>
      </c>
      <c r="C762" t="s">
        <v>48</v>
      </c>
      <c r="D762" t="s">
        <v>41</v>
      </c>
      <c r="E762" t="s">
        <v>42</v>
      </c>
      <c r="F762" t="s">
        <v>49</v>
      </c>
      <c r="G762">
        <v>4</v>
      </c>
      <c r="H762">
        <v>16</v>
      </c>
      <c r="I762">
        <v>6</v>
      </c>
      <c r="J762" t="s">
        <v>56</v>
      </c>
      <c r="K762" t="s">
        <v>46</v>
      </c>
      <c r="L762" t="s">
        <v>76</v>
      </c>
      <c r="M762">
        <v>239.5547896915144</v>
      </c>
      <c r="N762">
        <v>292</v>
      </c>
      <c r="O762">
        <v>207</v>
      </c>
      <c r="P762">
        <v>259</v>
      </c>
      <c r="Q762">
        <v>0</v>
      </c>
      <c r="R762">
        <v>1.0986122886681098</v>
      </c>
      <c r="S762">
        <v>4.1588830833596715</v>
      </c>
      <c r="T762">
        <v>91.226666666666674</v>
      </c>
      <c r="U762">
        <v>1.418823059726001</v>
      </c>
      <c r="V762">
        <v>-0.39095273818515502</v>
      </c>
      <c r="W762">
        <v>-0.53446083104759001</v>
      </c>
      <c r="X762">
        <v>-0.40804429067029002</v>
      </c>
      <c r="Y762">
        <v>-0.56789545922357498</v>
      </c>
      <c r="Z762">
        <v>-0.94760790482486201</v>
      </c>
      <c r="AA762">
        <v>-1.0848673571571601</v>
      </c>
      <c r="AB762">
        <v>1770.5103102717287</v>
      </c>
      <c r="AC762">
        <v>0.28213528618230871</v>
      </c>
      <c r="AD762">
        <v>1.7130468298323378</v>
      </c>
      <c r="AE762">
        <v>-1.13486126839574</v>
      </c>
      <c r="AF762">
        <v>-0.51491326536334503</v>
      </c>
      <c r="AG762">
        <v>-1.52090005139272</v>
      </c>
      <c r="AH762">
        <v>-2.5131287404176899</v>
      </c>
      <c r="AI762">
        <v>-0.87982181664761905</v>
      </c>
      <c r="AJ762">
        <v>-7.6974416367004E-2</v>
      </c>
      <c r="AK762">
        <v>47.330690599999997</v>
      </c>
      <c r="AL762">
        <v>2.8390453999999998</v>
      </c>
      <c r="AM762">
        <v>49.421374999999998</v>
      </c>
      <c r="AN762">
        <v>2.0712499999999996</v>
      </c>
    </row>
    <row r="763" spans="1:40" x14ac:dyDescent="0.35">
      <c r="A763">
        <v>956</v>
      </c>
      <c r="B763">
        <v>42</v>
      </c>
      <c r="C763" t="s">
        <v>40</v>
      </c>
      <c r="D763" t="s">
        <v>41</v>
      </c>
      <c r="E763" t="s">
        <v>42</v>
      </c>
      <c r="F763" t="s">
        <v>49</v>
      </c>
      <c r="G763">
        <v>3</v>
      </c>
      <c r="H763">
        <v>9</v>
      </c>
      <c r="I763">
        <v>5</v>
      </c>
      <c r="J763" t="s">
        <v>45</v>
      </c>
      <c r="K763" t="s">
        <v>46</v>
      </c>
      <c r="L763" t="s">
        <v>72</v>
      </c>
      <c r="M763">
        <v>492.64404854898049</v>
      </c>
      <c r="N763">
        <v>576</v>
      </c>
      <c r="O763">
        <v>361</v>
      </c>
      <c r="P763">
        <v>326</v>
      </c>
      <c r="Q763">
        <v>0.69314718055994529</v>
      </c>
      <c r="R763">
        <v>1.3862943611198906</v>
      </c>
      <c r="S763">
        <v>4.5538768916005408</v>
      </c>
      <c r="T763">
        <v>89.340161030595823</v>
      </c>
      <c r="U763">
        <v>1.4712304197281412</v>
      </c>
      <c r="V763">
        <v>0.59716251398508702</v>
      </c>
      <c r="W763">
        <v>0.91068296986709796</v>
      </c>
      <c r="X763">
        <v>1.2273243988355</v>
      </c>
      <c r="Y763">
        <v>-0.4121809470949</v>
      </c>
      <c r="Z763">
        <v>-0.86472582726521097</v>
      </c>
      <c r="AA763">
        <v>-1.0172779374790899</v>
      </c>
      <c r="AB763">
        <v>1828.1689246701658</v>
      </c>
      <c r="AC763">
        <v>1.1127464888636687</v>
      </c>
      <c r="AD763">
        <v>1.8630656830756136</v>
      </c>
      <c r="AE763">
        <v>-0.53926882203722504</v>
      </c>
      <c r="AF763">
        <v>-0.40114878099394702</v>
      </c>
      <c r="AG763">
        <v>-2.3098890280169599</v>
      </c>
      <c r="AH763">
        <v>-0.15232870767574699</v>
      </c>
      <c r="AI763">
        <v>-0.98389166583884202</v>
      </c>
      <c r="AJ763">
        <v>-1.1431427820535001</v>
      </c>
      <c r="AK763">
        <v>44.503641999999999</v>
      </c>
      <c r="AL763">
        <v>1.1863669999999999</v>
      </c>
      <c r="AM763">
        <v>48.856372813999997</v>
      </c>
      <c r="AN763">
        <v>2.3525296170000001</v>
      </c>
    </row>
    <row r="764" spans="1:40" x14ac:dyDescent="0.35">
      <c r="A764">
        <v>957</v>
      </c>
      <c r="B764">
        <v>29.5</v>
      </c>
      <c r="C764" t="s">
        <v>48</v>
      </c>
      <c r="D764" t="s">
        <v>41</v>
      </c>
      <c r="E764" t="s">
        <v>42</v>
      </c>
      <c r="F764" t="s">
        <v>53</v>
      </c>
      <c r="G764">
        <v>4</v>
      </c>
      <c r="H764">
        <v>16</v>
      </c>
      <c r="I764">
        <v>4</v>
      </c>
      <c r="J764" t="s">
        <v>50</v>
      </c>
      <c r="K764" t="s">
        <v>46</v>
      </c>
      <c r="L764" t="s">
        <v>71</v>
      </c>
      <c r="M764">
        <v>428.89756014809223</v>
      </c>
      <c r="N764">
        <v>574</v>
      </c>
      <c r="O764">
        <v>300</v>
      </c>
      <c r="P764">
        <v>361</v>
      </c>
      <c r="Q764">
        <v>4.5747109785033828</v>
      </c>
      <c r="R764">
        <v>3.5263605246161616</v>
      </c>
      <c r="S764">
        <v>5.1416635565026603</v>
      </c>
      <c r="T764">
        <v>92.265120976563693</v>
      </c>
      <c r="U764">
        <v>2.9351954657362995</v>
      </c>
      <c r="V764">
        <v>-8.3509539921858403E-2</v>
      </c>
      <c r="W764">
        <v>-8.6188355584626702E-2</v>
      </c>
      <c r="X764">
        <v>-6.2117403422328299E-2</v>
      </c>
      <c r="Y764">
        <v>-0.51135009403950604</v>
      </c>
      <c r="Z764">
        <v>-0.669554030021006</v>
      </c>
      <c r="AA764">
        <v>-1.4915282051312999</v>
      </c>
      <c r="AB764">
        <v>1813.5248996931791</v>
      </c>
      <c r="AC764">
        <v>1.6535284399339156</v>
      </c>
      <c r="AD764">
        <v>0.49421760679726223</v>
      </c>
      <c r="AE764">
        <v>-0.18520258641298501</v>
      </c>
      <c r="AF764">
        <v>-0.118792720944526</v>
      </c>
      <c r="AG764">
        <v>0.27986870706795403</v>
      </c>
      <c r="AH764">
        <v>0.38647733214026703</v>
      </c>
      <c r="AI764">
        <v>0.69831238820493602</v>
      </c>
      <c r="AJ764">
        <v>-0.38693737817928298</v>
      </c>
      <c r="AK764">
        <v>45.071283999999999</v>
      </c>
      <c r="AL764">
        <v>4.8370730000000002</v>
      </c>
      <c r="AM764">
        <v>44.866</v>
      </c>
      <c r="AN764">
        <v>-0.60199999999999998</v>
      </c>
    </row>
    <row r="765" spans="1:40" x14ac:dyDescent="0.35">
      <c r="A765">
        <v>958</v>
      </c>
      <c r="B765">
        <v>72</v>
      </c>
      <c r="C765" t="s">
        <v>40</v>
      </c>
      <c r="D765" t="s">
        <v>52</v>
      </c>
      <c r="E765" t="s">
        <v>42</v>
      </c>
      <c r="F765" t="s">
        <v>43</v>
      </c>
      <c r="G765">
        <v>7</v>
      </c>
      <c r="H765">
        <v>49</v>
      </c>
      <c r="I765">
        <v>5</v>
      </c>
      <c r="J765" t="s">
        <v>56</v>
      </c>
      <c r="K765" t="s">
        <v>46</v>
      </c>
      <c r="L765" t="s">
        <v>76</v>
      </c>
      <c r="M765">
        <v>179.7837626996475</v>
      </c>
      <c r="N765">
        <v>211</v>
      </c>
      <c r="O765">
        <v>159</v>
      </c>
      <c r="P765">
        <v>171</v>
      </c>
      <c r="Q765">
        <v>0</v>
      </c>
      <c r="R765">
        <v>1.0986122886681098</v>
      </c>
      <c r="S765">
        <v>4.1588830833596715</v>
      </c>
      <c r="T765">
        <v>91.226666666666674</v>
      </c>
      <c r="U765">
        <v>1.418823059726001</v>
      </c>
      <c r="V765">
        <v>-0.39095273818515502</v>
      </c>
      <c r="W765">
        <v>-0.53446083104759001</v>
      </c>
      <c r="X765">
        <v>-0.40804429067029002</v>
      </c>
      <c r="Y765">
        <v>-0.56789545922357498</v>
      </c>
      <c r="Z765">
        <v>-0.94760790482486201</v>
      </c>
      <c r="AA765">
        <v>-1.0848673571571601</v>
      </c>
      <c r="AB765">
        <v>1770.5103102717287</v>
      </c>
      <c r="AC765">
        <v>0.28213528618230871</v>
      </c>
      <c r="AD765">
        <v>1.7130468298323378</v>
      </c>
      <c r="AE765">
        <v>-1.13486126839574</v>
      </c>
      <c r="AF765">
        <v>-0.87372793662858295</v>
      </c>
      <c r="AG765">
        <v>1.19762601989191</v>
      </c>
      <c r="AH765">
        <v>1.0320770657392799</v>
      </c>
      <c r="AI765">
        <v>1.00226115035508</v>
      </c>
      <c r="AJ765">
        <v>1.0620802629074</v>
      </c>
      <c r="AK765">
        <v>47.330690599999997</v>
      </c>
      <c r="AL765">
        <v>2.8390453999999998</v>
      </c>
      <c r="AM765">
        <v>48.91</v>
      </c>
      <c r="AN765">
        <v>2.3330000000000002</v>
      </c>
    </row>
    <row r="766" spans="1:40" x14ac:dyDescent="0.35">
      <c r="A766">
        <v>959</v>
      </c>
      <c r="B766">
        <v>72</v>
      </c>
      <c r="C766" t="s">
        <v>40</v>
      </c>
      <c r="D766" t="s">
        <v>52</v>
      </c>
      <c r="E766" t="s">
        <v>42</v>
      </c>
      <c r="F766" t="s">
        <v>43</v>
      </c>
      <c r="G766">
        <v>6</v>
      </c>
      <c r="H766">
        <v>36</v>
      </c>
      <c r="I766">
        <v>7</v>
      </c>
      <c r="J766" t="s">
        <v>50</v>
      </c>
      <c r="K766" t="s">
        <v>46</v>
      </c>
      <c r="L766" t="s">
        <v>62</v>
      </c>
      <c r="M766">
        <v>282.57356127327762</v>
      </c>
      <c r="N766">
        <v>356</v>
      </c>
      <c r="O766">
        <v>200</v>
      </c>
      <c r="P766">
        <v>250</v>
      </c>
      <c r="Q766">
        <v>0.69314718055994529</v>
      </c>
      <c r="R766">
        <v>3.2580965380214821</v>
      </c>
      <c r="S766">
        <v>3.2580965380214821</v>
      </c>
      <c r="T766">
        <v>95.68</v>
      </c>
      <c r="U766">
        <v>0</v>
      </c>
      <c r="V766">
        <v>1.82802042479695</v>
      </c>
      <c r="W766">
        <v>0.99424279543483596</v>
      </c>
      <c r="X766">
        <v>0.99177342203587404</v>
      </c>
      <c r="Y766">
        <v>-0.96278755162326501</v>
      </c>
      <c r="Z766">
        <v>-0.75605764486205096</v>
      </c>
      <c r="AA766">
        <v>-0.80037586101695801</v>
      </c>
      <c r="AB766">
        <v>2092.91</v>
      </c>
      <c r="AC766">
        <v>0</v>
      </c>
      <c r="AD766">
        <v>2.1</v>
      </c>
      <c r="AE766">
        <v>-1.0768626388726401</v>
      </c>
      <c r="AF766">
        <v>0.868298914936108</v>
      </c>
      <c r="AG766">
        <v>-0.21192535610569499</v>
      </c>
      <c r="AH766">
        <v>1.0319825637808</v>
      </c>
      <c r="AI766">
        <v>0.20728574418224799</v>
      </c>
      <c r="AJ766">
        <v>1.09864746466164</v>
      </c>
      <c r="AK766">
        <v>49.042560999999999</v>
      </c>
      <c r="AL766">
        <v>3.9528660000000002</v>
      </c>
      <c r="AM766">
        <v>48.623000000000005</v>
      </c>
      <c r="AN766">
        <v>7.7565</v>
      </c>
    </row>
    <row r="767" spans="1:40" x14ac:dyDescent="0.35">
      <c r="A767">
        <v>960</v>
      </c>
      <c r="B767">
        <v>42</v>
      </c>
      <c r="C767" t="s">
        <v>48</v>
      </c>
      <c r="D767" t="s">
        <v>41</v>
      </c>
      <c r="E767" t="s">
        <v>42</v>
      </c>
      <c r="F767" t="s">
        <v>49</v>
      </c>
      <c r="G767">
        <v>3</v>
      </c>
      <c r="H767">
        <v>9</v>
      </c>
      <c r="I767">
        <v>5</v>
      </c>
      <c r="J767" t="s">
        <v>56</v>
      </c>
      <c r="K767" t="s">
        <v>46</v>
      </c>
      <c r="L767" t="s">
        <v>72</v>
      </c>
      <c r="M767">
        <v>497.23070997740189</v>
      </c>
      <c r="N767">
        <v>581</v>
      </c>
      <c r="O767">
        <v>359</v>
      </c>
      <c r="P767">
        <v>365</v>
      </c>
      <c r="Q767">
        <v>0.69314718055994529</v>
      </c>
      <c r="R767">
        <v>1.3862943611198906</v>
      </c>
      <c r="S767">
        <v>4.5538768916005408</v>
      </c>
      <c r="T767">
        <v>89.340161030595823</v>
      </c>
      <c r="U767">
        <v>1.4712304197281412</v>
      </c>
      <c r="V767">
        <v>0.59716251398508702</v>
      </c>
      <c r="W767">
        <v>0.91068296986709796</v>
      </c>
      <c r="X767">
        <v>1.2273243988355</v>
      </c>
      <c r="Y767">
        <v>-0.4121809470949</v>
      </c>
      <c r="Z767">
        <v>-0.86472582726521097</v>
      </c>
      <c r="AA767">
        <v>-1.0172779374790899</v>
      </c>
      <c r="AB767">
        <v>1828.1689246701658</v>
      </c>
      <c r="AC767">
        <v>1.1127464888636687</v>
      </c>
      <c r="AD767">
        <v>1.8630656830756136</v>
      </c>
      <c r="AE767">
        <v>-0.53926882203722504</v>
      </c>
      <c r="AF767">
        <v>0.245908873431222</v>
      </c>
      <c r="AG767">
        <v>1.0281874003982201</v>
      </c>
      <c r="AH767">
        <v>-0.216059619929028</v>
      </c>
      <c r="AI767">
        <v>7.6893854842009904E-2</v>
      </c>
      <c r="AJ767">
        <v>-0.302635014644767</v>
      </c>
      <c r="AK767">
        <v>44.503641999999999</v>
      </c>
      <c r="AL767">
        <v>1.1863669999999999</v>
      </c>
      <c r="AM767">
        <v>48.904000000000003</v>
      </c>
      <c r="AN767">
        <v>2.3060000000000005</v>
      </c>
    </row>
    <row r="768" spans="1:40" x14ac:dyDescent="0.35">
      <c r="A768">
        <v>961</v>
      </c>
      <c r="B768">
        <v>57</v>
      </c>
      <c r="C768" t="s">
        <v>40</v>
      </c>
      <c r="D768" t="s">
        <v>52</v>
      </c>
      <c r="E768" t="s">
        <v>42</v>
      </c>
      <c r="F768" t="s">
        <v>49</v>
      </c>
      <c r="G768">
        <v>6</v>
      </c>
      <c r="H768">
        <v>36</v>
      </c>
      <c r="I768">
        <v>5</v>
      </c>
      <c r="J768" t="s">
        <v>56</v>
      </c>
      <c r="K768" t="s">
        <v>46</v>
      </c>
      <c r="L768" t="s">
        <v>67</v>
      </c>
      <c r="M768">
        <v>310.0543438761178</v>
      </c>
      <c r="N768">
        <v>362</v>
      </c>
      <c r="O768">
        <v>180</v>
      </c>
      <c r="P768">
        <v>138</v>
      </c>
      <c r="Q768">
        <v>0</v>
      </c>
      <c r="R768">
        <v>1.0986122886681098</v>
      </c>
      <c r="S768">
        <v>4.499809670330265</v>
      </c>
      <c r="T768">
        <v>90.053710317460329</v>
      </c>
      <c r="U768">
        <v>1.5728028449904734</v>
      </c>
      <c r="V768">
        <v>-0.577850340007529</v>
      </c>
      <c r="W768">
        <v>-0.32460727773589898</v>
      </c>
      <c r="X768">
        <v>-0.54369568891204501</v>
      </c>
      <c r="Y768">
        <v>-0.77598924050104101</v>
      </c>
      <c r="Z768">
        <v>0.47668876811384397</v>
      </c>
      <c r="AA768">
        <v>0.85617757356637403</v>
      </c>
      <c r="AB768">
        <v>2565</v>
      </c>
      <c r="AC768">
        <v>1</v>
      </c>
      <c r="AD768">
        <v>0</v>
      </c>
      <c r="AE768">
        <v>-0.72514205471140702</v>
      </c>
      <c r="AF768">
        <v>-0.38285781051090101</v>
      </c>
      <c r="AG768">
        <v>-0.200960381449791</v>
      </c>
      <c r="AH768">
        <v>-7.9931900312545601E-2</v>
      </c>
      <c r="AI768">
        <v>1.18847117482757</v>
      </c>
      <c r="AJ768">
        <v>-2.7754834865270701</v>
      </c>
      <c r="AK768">
        <v>46.303668000000002</v>
      </c>
      <c r="AL768">
        <v>4.8322269999999996</v>
      </c>
      <c r="AM768">
        <v>48.563499999999991</v>
      </c>
      <c r="AN768">
        <v>2.4245000000000001</v>
      </c>
    </row>
    <row r="769" spans="1:40" x14ac:dyDescent="0.35">
      <c r="A769">
        <v>962</v>
      </c>
      <c r="B769">
        <v>42</v>
      </c>
      <c r="C769" t="s">
        <v>48</v>
      </c>
      <c r="D769" t="s">
        <v>41</v>
      </c>
      <c r="E769" t="s">
        <v>42</v>
      </c>
      <c r="F769" t="s">
        <v>43</v>
      </c>
      <c r="G769">
        <v>4</v>
      </c>
      <c r="H769">
        <v>16</v>
      </c>
      <c r="I769">
        <v>6</v>
      </c>
      <c r="J769" t="s">
        <v>56</v>
      </c>
      <c r="K769" t="s">
        <v>44</v>
      </c>
      <c r="L769" t="s">
        <v>63</v>
      </c>
      <c r="M769">
        <v>470.06426600498531</v>
      </c>
      <c r="N769">
        <v>556</v>
      </c>
      <c r="O769">
        <v>290</v>
      </c>
      <c r="P769">
        <v>200</v>
      </c>
      <c r="Q769">
        <v>0</v>
      </c>
      <c r="R769">
        <v>0</v>
      </c>
      <c r="S769">
        <v>2.1972245773362196</v>
      </c>
      <c r="T769">
        <v>88.571764705882345</v>
      </c>
      <c r="U769">
        <v>1.0581645007873905</v>
      </c>
      <c r="V769">
        <v>-0.86345913794285001</v>
      </c>
      <c r="W769">
        <v>-0.82100750411685597</v>
      </c>
      <c r="X769">
        <v>-0.74332398245148801</v>
      </c>
      <c r="Y769">
        <v>1.4483117406157899</v>
      </c>
      <c r="Z769">
        <v>1.7680602694732599</v>
      </c>
      <c r="AA769">
        <v>0.26366440732357699</v>
      </c>
      <c r="AB769">
        <v>4236</v>
      </c>
      <c r="AC769">
        <v>0</v>
      </c>
      <c r="AD769">
        <v>4</v>
      </c>
      <c r="AE769">
        <v>1.6751267091712101</v>
      </c>
      <c r="AF769">
        <v>0.39707771754502202</v>
      </c>
      <c r="AG769">
        <v>0.95989395522367205</v>
      </c>
      <c r="AH769">
        <v>-9.6948987005734205E-2</v>
      </c>
      <c r="AI769">
        <v>0.55911868148625299</v>
      </c>
      <c r="AJ769">
        <v>-0.77524768400871902</v>
      </c>
      <c r="AK769">
        <v>45.086143999999997</v>
      </c>
      <c r="AL769">
        <v>-0.60531999999999997</v>
      </c>
      <c r="AM769">
        <v>48.836999999999996</v>
      </c>
      <c r="AN769">
        <v>2.2390000000000003</v>
      </c>
    </row>
    <row r="770" spans="1:40" x14ac:dyDescent="0.35">
      <c r="A770">
        <v>963</v>
      </c>
      <c r="B770">
        <v>72</v>
      </c>
      <c r="C770" t="s">
        <v>40</v>
      </c>
      <c r="D770" t="s">
        <v>52</v>
      </c>
      <c r="E770" t="s">
        <v>42</v>
      </c>
      <c r="F770" t="s">
        <v>49</v>
      </c>
      <c r="G770">
        <v>4</v>
      </c>
      <c r="H770">
        <v>16</v>
      </c>
      <c r="I770">
        <v>7</v>
      </c>
      <c r="J770" t="s">
        <v>56</v>
      </c>
      <c r="K770" t="s">
        <v>46</v>
      </c>
      <c r="L770" t="s">
        <v>83</v>
      </c>
      <c r="M770">
        <v>293.85394123991603</v>
      </c>
      <c r="N770">
        <v>348</v>
      </c>
      <c r="O770">
        <v>221</v>
      </c>
      <c r="P770">
        <v>228</v>
      </c>
      <c r="Q770">
        <v>0</v>
      </c>
      <c r="R770">
        <v>0</v>
      </c>
      <c r="S770">
        <v>4.4886363697321396</v>
      </c>
      <c r="T770">
        <v>90.115111111111119</v>
      </c>
      <c r="U770">
        <v>1.2513404171152498</v>
      </c>
      <c r="V770">
        <v>-0.46152060700845399</v>
      </c>
      <c r="W770">
        <v>-0.57121975163865102</v>
      </c>
      <c r="X770">
        <v>-0.33135740862223101</v>
      </c>
      <c r="Y770">
        <v>-0.77598924050104101</v>
      </c>
      <c r="Z770">
        <v>0.47668876811384397</v>
      </c>
      <c r="AA770">
        <v>0.85617757356637403</v>
      </c>
      <c r="AB770">
        <v>2565</v>
      </c>
      <c r="AC770">
        <v>1</v>
      </c>
      <c r="AD770">
        <v>0</v>
      </c>
      <c r="AE770">
        <v>-0.72514205471140702</v>
      </c>
      <c r="AF770">
        <v>0.58715018906653804</v>
      </c>
      <c r="AG770">
        <v>0.133465447913029</v>
      </c>
      <c r="AH770">
        <v>-5.0719132599078398E-2</v>
      </c>
      <c r="AI770">
        <v>0.373231788622371</v>
      </c>
      <c r="AJ770">
        <v>-1.6682008477903101</v>
      </c>
      <c r="AK770">
        <v>46.839658</v>
      </c>
      <c r="AL770">
        <v>4.7189269999999999</v>
      </c>
      <c r="AM770">
        <v>48.826999999999998</v>
      </c>
      <c r="AN770">
        <v>2.13</v>
      </c>
    </row>
    <row r="771" spans="1:40" x14ac:dyDescent="0.35">
      <c r="A771">
        <v>964</v>
      </c>
      <c r="B771">
        <v>57</v>
      </c>
      <c r="C771" t="s">
        <v>48</v>
      </c>
      <c r="D771" t="s">
        <v>41</v>
      </c>
      <c r="E771" t="s">
        <v>42</v>
      </c>
      <c r="F771" t="s">
        <v>49</v>
      </c>
      <c r="G771">
        <v>4</v>
      </c>
      <c r="H771">
        <v>16</v>
      </c>
      <c r="I771">
        <v>3</v>
      </c>
      <c r="J771" t="s">
        <v>50</v>
      </c>
      <c r="K771" t="s">
        <v>46</v>
      </c>
      <c r="L771" t="s">
        <v>54</v>
      </c>
      <c r="M771">
        <v>489.52887924295572</v>
      </c>
      <c r="N771">
        <v>616</v>
      </c>
      <c r="O771">
        <v>396</v>
      </c>
      <c r="P771">
        <v>223</v>
      </c>
      <c r="Q771">
        <v>3.9889840465642745</v>
      </c>
      <c r="R771">
        <v>3.0910424533583161</v>
      </c>
      <c r="S771">
        <v>4.1271343850450917</v>
      </c>
      <c r="T771">
        <v>92.826666666666668</v>
      </c>
      <c r="U771">
        <v>2.9827057067926286</v>
      </c>
      <c r="V771">
        <v>-0.16604708794949699</v>
      </c>
      <c r="W771">
        <v>-0.150727876652859</v>
      </c>
      <c r="X771">
        <v>-0.19602043866096</v>
      </c>
      <c r="Y771">
        <v>1.4483117406157899</v>
      </c>
      <c r="Z771">
        <v>1.7680602694732599</v>
      </c>
      <c r="AA771">
        <v>0.26366440732357699</v>
      </c>
      <c r="AB771">
        <v>4236</v>
      </c>
      <c r="AC771">
        <v>0</v>
      </c>
      <c r="AD771">
        <v>4</v>
      </c>
      <c r="AE771">
        <v>1.6751267091712101</v>
      </c>
      <c r="AF771">
        <v>0.47783631251407399</v>
      </c>
      <c r="AG771">
        <v>-0.167026512826083</v>
      </c>
      <c r="AH771">
        <v>0.80053325943337095</v>
      </c>
      <c r="AI771">
        <v>1.3712136295674899</v>
      </c>
      <c r="AJ771">
        <v>-0.107176556892359</v>
      </c>
      <c r="AK771">
        <v>44.917983300000003</v>
      </c>
      <c r="AL771">
        <v>-0.22352169999999999</v>
      </c>
      <c r="AM771">
        <v>48.969000000000001</v>
      </c>
      <c r="AN771">
        <v>2.2850000000000001</v>
      </c>
    </row>
    <row r="772" spans="1:40" x14ac:dyDescent="0.35">
      <c r="A772">
        <v>965</v>
      </c>
      <c r="B772">
        <v>57</v>
      </c>
      <c r="C772" t="s">
        <v>40</v>
      </c>
      <c r="D772" t="s">
        <v>52</v>
      </c>
      <c r="E772" t="s">
        <v>42</v>
      </c>
      <c r="F772" t="s">
        <v>49</v>
      </c>
      <c r="G772">
        <v>4</v>
      </c>
      <c r="H772">
        <v>16</v>
      </c>
      <c r="I772">
        <v>6</v>
      </c>
      <c r="J772" t="s">
        <v>50</v>
      </c>
      <c r="K772" t="s">
        <v>46</v>
      </c>
      <c r="L772" t="s">
        <v>55</v>
      </c>
      <c r="M772">
        <v>368.21425896962819</v>
      </c>
      <c r="N772">
        <v>486</v>
      </c>
      <c r="O772">
        <v>341</v>
      </c>
      <c r="P772">
        <v>185</v>
      </c>
      <c r="Q772">
        <v>2.0794415416798357</v>
      </c>
      <c r="R772">
        <v>2.3025850929940459</v>
      </c>
      <c r="S772">
        <v>3.2580965380214821</v>
      </c>
      <c r="T772">
        <v>95.12</v>
      </c>
      <c r="U772">
        <v>0</v>
      </c>
      <c r="V772">
        <v>1.89305099905856</v>
      </c>
      <c r="W772">
        <v>0.59880690621441701</v>
      </c>
      <c r="X772">
        <v>1.1856460040685599</v>
      </c>
      <c r="Y772">
        <v>-0.15565097555555901</v>
      </c>
      <c r="Z772">
        <v>-0.22748295097212001</v>
      </c>
      <c r="AA772">
        <v>1.0415013010201299</v>
      </c>
      <c r="AB772">
        <v>2939.9504036908884</v>
      </c>
      <c r="AC772">
        <v>2</v>
      </c>
      <c r="AD772">
        <v>0.42868127643214149</v>
      </c>
      <c r="AE772">
        <v>-2.40641039566141E-2</v>
      </c>
      <c r="AF772">
        <v>1.52858649518351</v>
      </c>
      <c r="AG772">
        <v>1.11489968825912</v>
      </c>
      <c r="AH772">
        <v>0.43907374271923899</v>
      </c>
      <c r="AI772">
        <v>-0.212717786632801</v>
      </c>
      <c r="AJ772">
        <v>-2.0718512420258701</v>
      </c>
      <c r="AK772">
        <v>48.0777517</v>
      </c>
      <c r="AL772">
        <v>7.3579641000000002</v>
      </c>
      <c r="AM772">
        <v>48.842000000000006</v>
      </c>
      <c r="AN772">
        <v>2.504</v>
      </c>
    </row>
    <row r="773" spans="1:40" x14ac:dyDescent="0.35">
      <c r="A773">
        <v>966</v>
      </c>
      <c r="B773">
        <v>42</v>
      </c>
      <c r="C773" t="s">
        <v>40</v>
      </c>
      <c r="D773" t="s">
        <v>41</v>
      </c>
      <c r="E773" t="s">
        <v>42</v>
      </c>
      <c r="F773" t="s">
        <v>43</v>
      </c>
      <c r="G773">
        <v>5</v>
      </c>
      <c r="H773">
        <v>25</v>
      </c>
      <c r="I773">
        <v>5</v>
      </c>
      <c r="J773" t="s">
        <v>45</v>
      </c>
      <c r="K773" t="s">
        <v>46</v>
      </c>
      <c r="L773" t="s">
        <v>76</v>
      </c>
      <c r="M773">
        <v>181.41352050834479</v>
      </c>
      <c r="N773">
        <v>214</v>
      </c>
      <c r="O773">
        <v>150</v>
      </c>
      <c r="P773">
        <v>145</v>
      </c>
      <c r="Q773">
        <v>0</v>
      </c>
      <c r="R773">
        <v>1.0986122886681098</v>
      </c>
      <c r="S773">
        <v>4.1588830833596715</v>
      </c>
      <c r="T773">
        <v>91.226666666666674</v>
      </c>
      <c r="U773">
        <v>1.418823059726001</v>
      </c>
      <c r="V773">
        <v>-0.39095273818515502</v>
      </c>
      <c r="W773">
        <v>-0.53446083104759001</v>
      </c>
      <c r="X773">
        <v>-0.40804429067029002</v>
      </c>
      <c r="Y773">
        <v>-0.56789545922357498</v>
      </c>
      <c r="Z773">
        <v>-0.94760790482486201</v>
      </c>
      <c r="AA773">
        <v>-1.0848673571571601</v>
      </c>
      <c r="AB773">
        <v>1770.5103102717287</v>
      </c>
      <c r="AC773">
        <v>0.28213528618230871</v>
      </c>
      <c r="AD773">
        <v>1.7130468298323378</v>
      </c>
      <c r="AE773">
        <v>-1.13486126839574</v>
      </c>
      <c r="AF773">
        <v>0.18235780853911299</v>
      </c>
      <c r="AG773">
        <v>0.35237914579574697</v>
      </c>
      <c r="AH773">
        <v>-0.63656033800383005</v>
      </c>
      <c r="AI773">
        <v>-0.94939772516924104</v>
      </c>
      <c r="AJ773">
        <v>0.49335626536078497</v>
      </c>
      <c r="AK773">
        <v>47.330690599999997</v>
      </c>
      <c r="AL773">
        <v>2.8390453999999998</v>
      </c>
      <c r="AM773">
        <v>48.914999999999999</v>
      </c>
      <c r="AN773">
        <v>2.2669999999999999</v>
      </c>
    </row>
    <row r="774" spans="1:40" x14ac:dyDescent="0.35">
      <c r="A774">
        <v>967</v>
      </c>
      <c r="B774">
        <v>57</v>
      </c>
      <c r="C774" t="s">
        <v>40</v>
      </c>
      <c r="D774" t="s">
        <v>41</v>
      </c>
      <c r="E774" t="s">
        <v>42</v>
      </c>
      <c r="F774" t="s">
        <v>61</v>
      </c>
      <c r="G774">
        <v>5</v>
      </c>
      <c r="H774">
        <v>25</v>
      </c>
      <c r="I774">
        <v>6</v>
      </c>
      <c r="J774" t="s">
        <v>56</v>
      </c>
      <c r="K774" t="s">
        <v>46</v>
      </c>
      <c r="L774" t="s">
        <v>79</v>
      </c>
      <c r="M774">
        <v>738.89124239239675</v>
      </c>
      <c r="N774">
        <v>941</v>
      </c>
      <c r="O774">
        <v>555</v>
      </c>
      <c r="P774">
        <v>455</v>
      </c>
      <c r="Q774">
        <v>0</v>
      </c>
      <c r="R774">
        <v>1.0986122886681098</v>
      </c>
      <c r="S774">
        <v>4.4659081186545837</v>
      </c>
      <c r="T774">
        <v>90.88000000000001</v>
      </c>
      <c r="U774">
        <v>0.63076672920079646</v>
      </c>
      <c r="V774">
        <v>-0.66459185691613598</v>
      </c>
      <c r="W774">
        <v>-0.11297510960708999</v>
      </c>
      <c r="X774">
        <v>-0.19037106594949799</v>
      </c>
      <c r="Y774">
        <v>-0.374020329094302</v>
      </c>
      <c r="Z774">
        <v>-0.78642831806525804</v>
      </c>
      <c r="AA774">
        <v>-1.3830773108541501</v>
      </c>
      <c r="AB774">
        <v>1910</v>
      </c>
      <c r="AC774">
        <v>4</v>
      </c>
      <c r="AD774">
        <v>0</v>
      </c>
      <c r="AE774">
        <v>3.4620335695619099E-2</v>
      </c>
      <c r="AF774">
        <v>-1.21893332784569</v>
      </c>
      <c r="AG774">
        <v>-0.25475335417306799</v>
      </c>
      <c r="AH774">
        <v>-0.68090974479075705</v>
      </c>
      <c r="AI774">
        <v>-2.0693262306132398</v>
      </c>
      <c r="AJ774">
        <v>1.35092545545483</v>
      </c>
      <c r="AK774">
        <v>42.698529999999998</v>
      </c>
      <c r="AL774">
        <v>2.8953120000000001</v>
      </c>
      <c r="AM774">
        <v>48.494</v>
      </c>
      <c r="AN774">
        <v>7.5284999999999993</v>
      </c>
    </row>
    <row r="775" spans="1:40" x14ac:dyDescent="0.35">
      <c r="A775">
        <v>969</v>
      </c>
      <c r="B775">
        <v>42</v>
      </c>
      <c r="C775" t="s">
        <v>40</v>
      </c>
      <c r="D775" t="s">
        <v>66</v>
      </c>
      <c r="E775" t="s">
        <v>42</v>
      </c>
      <c r="F775" t="s">
        <v>53</v>
      </c>
      <c r="G775">
        <v>7</v>
      </c>
      <c r="H775">
        <v>49</v>
      </c>
      <c r="I775">
        <v>3</v>
      </c>
      <c r="J775" t="s">
        <v>45</v>
      </c>
      <c r="K775" t="s">
        <v>46</v>
      </c>
      <c r="L775" t="s">
        <v>59</v>
      </c>
      <c r="M775">
        <v>190.33174110274479</v>
      </c>
      <c r="N775">
        <v>224</v>
      </c>
      <c r="O775">
        <v>178</v>
      </c>
      <c r="P775">
        <v>97</v>
      </c>
      <c r="Q775">
        <v>1.3862943611198906</v>
      </c>
      <c r="R775">
        <v>1.3862943611198906</v>
      </c>
      <c r="S775">
        <v>4.9972122737641147</v>
      </c>
      <c r="T775">
        <v>90.035146103896111</v>
      </c>
      <c r="U775">
        <v>1.418823059726001</v>
      </c>
      <c r="V775">
        <v>-0.52223564926899602</v>
      </c>
      <c r="W775">
        <v>-0.46072710968150399</v>
      </c>
      <c r="X775">
        <v>-0.361786268345754</v>
      </c>
      <c r="Y775">
        <v>-0.552694479448822</v>
      </c>
      <c r="Z775">
        <v>2.1676297177028899E-2</v>
      </c>
      <c r="AA775">
        <v>0.625223797005378</v>
      </c>
      <c r="AB775">
        <v>2234.6992515788952</v>
      </c>
      <c r="AC775">
        <v>0</v>
      </c>
      <c r="AD775">
        <v>0.12112735591028891</v>
      </c>
      <c r="AE775">
        <v>-0.60610368582010199</v>
      </c>
      <c r="AF775">
        <v>1.79162755575207</v>
      </c>
      <c r="AG775">
        <v>-3.3863094771454301</v>
      </c>
      <c r="AH775">
        <v>1.18425891691354</v>
      </c>
      <c r="AI775">
        <v>0.74318681618151405</v>
      </c>
      <c r="AJ775">
        <v>1.13219827916871</v>
      </c>
      <c r="AK775">
        <v>47.411035099999999</v>
      </c>
      <c r="AL775">
        <v>0.98369799999999996</v>
      </c>
      <c r="AM775">
        <v>48.856372813999997</v>
      </c>
      <c r="AN775">
        <v>2.3525296170000001</v>
      </c>
    </row>
    <row r="776" spans="1:40" x14ac:dyDescent="0.35">
      <c r="A776">
        <v>970</v>
      </c>
      <c r="B776">
        <v>72</v>
      </c>
      <c r="C776" t="s">
        <v>40</v>
      </c>
      <c r="D776" t="s">
        <v>52</v>
      </c>
      <c r="E776" t="s">
        <v>42</v>
      </c>
      <c r="F776" t="s">
        <v>49</v>
      </c>
      <c r="G776">
        <v>6</v>
      </c>
      <c r="H776">
        <v>36</v>
      </c>
      <c r="I776">
        <v>4</v>
      </c>
      <c r="J776" t="s">
        <v>56</v>
      </c>
      <c r="K776" t="s">
        <v>46</v>
      </c>
      <c r="L776" t="s">
        <v>60</v>
      </c>
      <c r="M776">
        <v>613.58690534597008</v>
      </c>
      <c r="N776">
        <v>783</v>
      </c>
      <c r="O776">
        <v>535</v>
      </c>
      <c r="P776">
        <v>762</v>
      </c>
      <c r="Q776">
        <v>3.8501476017100584</v>
      </c>
      <c r="R776">
        <v>2.9957322735539909</v>
      </c>
      <c r="S776">
        <v>5.4424177105217932</v>
      </c>
      <c r="T776">
        <v>88.975873222691746</v>
      </c>
      <c r="U776">
        <v>2.5514539469641888</v>
      </c>
      <c r="V776">
        <v>2.9336799326863701</v>
      </c>
      <c r="W776">
        <v>3.3730943146768602</v>
      </c>
      <c r="X776">
        <v>3.6072071704345601</v>
      </c>
      <c r="Y776">
        <v>-0.19189497559235799</v>
      </c>
      <c r="Z776">
        <v>0.17569111512999699</v>
      </c>
      <c r="AA776">
        <v>-0.304970615080496</v>
      </c>
      <c r="AB776">
        <v>1906.836709612184</v>
      </c>
      <c r="AC776">
        <v>0.7978420820676605</v>
      </c>
      <c r="AD776">
        <v>2.1056638128240834</v>
      </c>
      <c r="AE776">
        <v>-0.25037207080954499</v>
      </c>
      <c r="AF776">
        <v>1.8794646910675292</v>
      </c>
      <c r="AG776">
        <v>0.50237979886843154</v>
      </c>
      <c r="AH776">
        <v>0.22714059202205625</v>
      </c>
      <c r="AI776">
        <v>0.85694138958223498</v>
      </c>
      <c r="AJ776">
        <v>0.52750711397485195</v>
      </c>
      <c r="AK776">
        <v>44.055988999999997</v>
      </c>
      <c r="AL776">
        <v>4.8317350000000001</v>
      </c>
      <c r="AM776">
        <v>49.399000000000001</v>
      </c>
      <c r="AN776">
        <v>2.8530000000000002</v>
      </c>
    </row>
    <row r="777" spans="1:40" x14ac:dyDescent="0.35">
      <c r="A777">
        <v>971</v>
      </c>
      <c r="B777">
        <v>57</v>
      </c>
      <c r="C777" t="s">
        <v>40</v>
      </c>
      <c r="D777" t="s">
        <v>41</v>
      </c>
      <c r="E777" t="s">
        <v>42</v>
      </c>
      <c r="F777" t="s">
        <v>49</v>
      </c>
      <c r="G777">
        <v>5</v>
      </c>
      <c r="H777">
        <v>25</v>
      </c>
      <c r="I777">
        <v>4</v>
      </c>
      <c r="J777" t="s">
        <v>56</v>
      </c>
      <c r="K777" t="s">
        <v>46</v>
      </c>
      <c r="L777" t="s">
        <v>47</v>
      </c>
      <c r="M777">
        <v>608.94331772135831</v>
      </c>
      <c r="N777">
        <v>755</v>
      </c>
      <c r="O777">
        <v>464</v>
      </c>
      <c r="P777">
        <v>352</v>
      </c>
      <c r="Q777">
        <v>5.9107966440405271</v>
      </c>
      <c r="R777">
        <v>6.4997870406558542</v>
      </c>
      <c r="S777">
        <v>8.6415324656718457</v>
      </c>
      <c r="T777">
        <v>89.265350482850479</v>
      </c>
      <c r="U777">
        <v>1.4417786561042019</v>
      </c>
      <c r="V777">
        <v>-0.22886708829074301</v>
      </c>
      <c r="W777">
        <v>0.28745285629339301</v>
      </c>
      <c r="X777">
        <v>-0.15627425222847</v>
      </c>
      <c r="Y777">
        <v>1.45226138127617</v>
      </c>
      <c r="Z777">
        <v>0.98247225355557</v>
      </c>
      <c r="AA777">
        <v>0.627775520474398</v>
      </c>
      <c r="AB777">
        <v>3362.2959371744532</v>
      </c>
      <c r="AC777">
        <v>2.8998317172850387</v>
      </c>
      <c r="AD777">
        <v>2.9499158586425196</v>
      </c>
      <c r="AE777">
        <v>1.06273170356322</v>
      </c>
      <c r="AF777">
        <v>0.51165874890377405</v>
      </c>
      <c r="AG777">
        <v>-0.72476467757958496</v>
      </c>
      <c r="AH777">
        <v>-0.280006094242649</v>
      </c>
      <c r="AI777">
        <v>-1.04558535044571</v>
      </c>
      <c r="AJ777">
        <v>1.0891012741194299</v>
      </c>
      <c r="AK777">
        <v>43.3535629403058</v>
      </c>
      <c r="AL777">
        <v>3.21615314793977</v>
      </c>
      <c r="AM777">
        <v>48.795999999999999</v>
      </c>
      <c r="AN777">
        <v>2.4209999999999998</v>
      </c>
    </row>
    <row r="778" spans="1:40" x14ac:dyDescent="0.35">
      <c r="A778">
        <v>972</v>
      </c>
      <c r="B778">
        <v>72</v>
      </c>
      <c r="C778" t="s">
        <v>40</v>
      </c>
      <c r="D778" t="s">
        <v>52</v>
      </c>
      <c r="E778" t="s">
        <v>42</v>
      </c>
      <c r="F778" t="s">
        <v>53</v>
      </c>
      <c r="G778">
        <v>5</v>
      </c>
      <c r="H778">
        <v>25</v>
      </c>
      <c r="I778">
        <v>5</v>
      </c>
      <c r="J778" t="s">
        <v>50</v>
      </c>
      <c r="K778" t="s">
        <v>46</v>
      </c>
      <c r="L778" t="s">
        <v>65</v>
      </c>
      <c r="M778">
        <v>676.0404482059555</v>
      </c>
      <c r="N778">
        <v>873</v>
      </c>
      <c r="O778">
        <v>450</v>
      </c>
      <c r="P778">
        <v>396</v>
      </c>
      <c r="Q778">
        <v>0</v>
      </c>
      <c r="R778">
        <v>0</v>
      </c>
      <c r="S778">
        <v>4.4543472962535073</v>
      </c>
      <c r="T778">
        <v>89.333044733044744</v>
      </c>
      <c r="U778">
        <v>1.2554235437523662</v>
      </c>
      <c r="V778">
        <v>1.64975517953679</v>
      </c>
      <c r="W778">
        <v>2.4220969657957299</v>
      </c>
      <c r="X778">
        <v>1.68128863126442</v>
      </c>
      <c r="Y778">
        <v>2.0553398017137301</v>
      </c>
      <c r="Z778">
        <v>2.0921400018840099</v>
      </c>
      <c r="AA778">
        <v>2.0596698968962701</v>
      </c>
      <c r="AB778">
        <v>3262.71</v>
      </c>
      <c r="AC778">
        <v>0.33</v>
      </c>
      <c r="AD778">
        <v>0.66</v>
      </c>
      <c r="AE778">
        <v>1.9221838973381</v>
      </c>
      <c r="AF778">
        <v>-1.70994447006793</v>
      </c>
      <c r="AG778">
        <v>0.94328922896899403</v>
      </c>
      <c r="AH778">
        <v>0.29391789952872499</v>
      </c>
      <c r="AI778">
        <v>-1.16622203624529</v>
      </c>
      <c r="AJ778">
        <v>1.2742016357661501</v>
      </c>
      <c r="AK778">
        <v>43.537466000000002</v>
      </c>
      <c r="AL778">
        <v>6.4627330000000001</v>
      </c>
      <c r="AM778">
        <v>48.78</v>
      </c>
      <c r="AN778">
        <v>2.0299999999999998</v>
      </c>
    </row>
    <row r="779" spans="1:40" x14ac:dyDescent="0.35">
      <c r="A779">
        <v>973</v>
      </c>
      <c r="B779">
        <v>72</v>
      </c>
      <c r="C779" t="s">
        <v>40</v>
      </c>
      <c r="D779" t="s">
        <v>52</v>
      </c>
      <c r="E779" t="s">
        <v>42</v>
      </c>
      <c r="F779" t="s">
        <v>49</v>
      </c>
      <c r="G779">
        <v>6</v>
      </c>
      <c r="H779">
        <v>36</v>
      </c>
      <c r="I779">
        <v>6</v>
      </c>
      <c r="J779" t="s">
        <v>56</v>
      </c>
      <c r="K779" t="s">
        <v>46</v>
      </c>
      <c r="L779" t="s">
        <v>47</v>
      </c>
      <c r="M779">
        <v>635.13491557281554</v>
      </c>
      <c r="N779">
        <v>794</v>
      </c>
      <c r="O779">
        <v>491</v>
      </c>
      <c r="P779">
        <v>339</v>
      </c>
      <c r="Q779">
        <v>5.9107966440405271</v>
      </c>
      <c r="R779">
        <v>6.4997870406558542</v>
      </c>
      <c r="S779">
        <v>8.6415324656718457</v>
      </c>
      <c r="T779">
        <v>89.265350482850479</v>
      </c>
      <c r="U779">
        <v>1.4417786561042019</v>
      </c>
      <c r="V779">
        <v>-0.22886708829074301</v>
      </c>
      <c r="W779">
        <v>0.28745285629339301</v>
      </c>
      <c r="X779">
        <v>-0.15627425222847</v>
      </c>
      <c r="Y779">
        <v>1.45226138127617</v>
      </c>
      <c r="Z779">
        <v>0.98247225355557</v>
      </c>
      <c r="AA779">
        <v>0.627775520474398</v>
      </c>
      <c r="AB779">
        <v>3362.2959371744532</v>
      </c>
      <c r="AC779">
        <v>2.8998317172850387</v>
      </c>
      <c r="AD779">
        <v>2.9499158586425196</v>
      </c>
      <c r="AE779">
        <v>1.06273170356322</v>
      </c>
      <c r="AF779">
        <v>2.00344551177788E-2</v>
      </c>
      <c r="AG779">
        <v>0.16772917467086099</v>
      </c>
      <c r="AH779">
        <v>0.63502659151514396</v>
      </c>
      <c r="AI779">
        <v>0.74580691735013904</v>
      </c>
      <c r="AJ779">
        <v>0.64252056670674595</v>
      </c>
      <c r="AK779">
        <v>43.3535629403058</v>
      </c>
      <c r="AL779">
        <v>3.21615314793977</v>
      </c>
      <c r="AM779">
        <v>49.015000000000008</v>
      </c>
      <c r="AN779">
        <v>2.1920000000000002</v>
      </c>
    </row>
    <row r="780" spans="1:40" x14ac:dyDescent="0.35">
      <c r="A780">
        <v>974</v>
      </c>
      <c r="B780">
        <v>72</v>
      </c>
      <c r="C780" t="s">
        <v>40</v>
      </c>
      <c r="D780" t="s">
        <v>52</v>
      </c>
      <c r="E780" t="s">
        <v>42</v>
      </c>
      <c r="F780" t="s">
        <v>49</v>
      </c>
      <c r="G780">
        <v>5</v>
      </c>
      <c r="H780">
        <v>25</v>
      </c>
      <c r="I780">
        <v>3</v>
      </c>
      <c r="J780" t="s">
        <v>56</v>
      </c>
      <c r="K780" t="s">
        <v>46</v>
      </c>
      <c r="L780" t="s">
        <v>74</v>
      </c>
      <c r="M780">
        <v>513.40567177170988</v>
      </c>
      <c r="N780">
        <v>657</v>
      </c>
      <c r="O780">
        <v>420</v>
      </c>
      <c r="P780">
        <v>377</v>
      </c>
      <c r="Q780">
        <v>1.6094379124341003</v>
      </c>
      <c r="R780">
        <v>2.5649493574615367</v>
      </c>
      <c r="S780">
        <v>4.8202815656050371</v>
      </c>
      <c r="T780">
        <v>91.984920634920627</v>
      </c>
      <c r="U780">
        <v>1.0351430572167302</v>
      </c>
      <c r="V780">
        <v>-0.45376679124596098</v>
      </c>
      <c r="W780">
        <v>-0.56138574648679695</v>
      </c>
      <c r="X780">
        <v>-0.92192590083580195</v>
      </c>
      <c r="Y780">
        <v>-1.17232967929859</v>
      </c>
      <c r="Z780">
        <v>-0.98267194414701198</v>
      </c>
      <c r="AA780">
        <v>-0.89586780259421905</v>
      </c>
      <c r="AB780">
        <v>1270</v>
      </c>
      <c r="AC780">
        <v>3</v>
      </c>
      <c r="AD780">
        <v>1</v>
      </c>
      <c r="AE780">
        <v>-1.1438350904766701</v>
      </c>
      <c r="AF780">
        <v>0.47129400562218399</v>
      </c>
      <c r="AG780">
        <v>-0.15352974109789</v>
      </c>
      <c r="AH780">
        <v>1.03016814883482</v>
      </c>
      <c r="AI780">
        <v>-0.928774667206131</v>
      </c>
      <c r="AJ780">
        <v>-0.89339822606431796</v>
      </c>
      <c r="AK780">
        <v>46.672161000000003</v>
      </c>
      <c r="AL780">
        <v>5.558465</v>
      </c>
      <c r="AM780">
        <v>44.740666666666669</v>
      </c>
      <c r="AN780">
        <v>-0.44133333333333336</v>
      </c>
    </row>
    <row r="781" spans="1:40" x14ac:dyDescent="0.35">
      <c r="A781">
        <v>975</v>
      </c>
      <c r="B781">
        <v>42</v>
      </c>
      <c r="C781" t="s">
        <v>40</v>
      </c>
      <c r="D781" t="s">
        <v>41</v>
      </c>
      <c r="E781" t="s">
        <v>42</v>
      </c>
      <c r="F781" t="s">
        <v>43</v>
      </c>
      <c r="G781">
        <v>5</v>
      </c>
      <c r="H781">
        <v>25</v>
      </c>
      <c r="I781">
        <v>5</v>
      </c>
      <c r="J781" t="s">
        <v>50</v>
      </c>
      <c r="K781" t="s">
        <v>46</v>
      </c>
      <c r="L781" t="s">
        <v>57</v>
      </c>
      <c r="M781">
        <v>285.5477632405748</v>
      </c>
      <c r="N781">
        <v>327</v>
      </c>
      <c r="O781">
        <v>246</v>
      </c>
      <c r="P781">
        <v>147</v>
      </c>
      <c r="Q781">
        <v>0.69314718055994529</v>
      </c>
      <c r="R781">
        <v>3.6109179126442243</v>
      </c>
      <c r="S781">
        <v>5.8833223884882786</v>
      </c>
      <c r="T781">
        <v>90.922105263157903</v>
      </c>
      <c r="U781">
        <v>2.3923758041545438</v>
      </c>
      <c r="V781">
        <v>-0.399596989308249</v>
      </c>
      <c r="W781">
        <v>-0.58810405700346202</v>
      </c>
      <c r="X781">
        <v>-0.29041857108635599</v>
      </c>
      <c r="Y781">
        <v>-0.846122564821426</v>
      </c>
      <c r="Z781">
        <v>-0.92679578564836795</v>
      </c>
      <c r="AA781">
        <v>0.86332342905974202</v>
      </c>
      <c r="AB781">
        <v>2050</v>
      </c>
      <c r="AC781">
        <v>1</v>
      </c>
      <c r="AD781">
        <v>2</v>
      </c>
      <c r="AE781">
        <v>-0.51011828243844404</v>
      </c>
      <c r="AF781">
        <v>-1.5335262307535</v>
      </c>
      <c r="AG781">
        <v>1.9129763427505599</v>
      </c>
      <c r="AH781">
        <v>-0.47232809340717302</v>
      </c>
      <c r="AI781">
        <v>-0.202734135969766</v>
      </c>
      <c r="AJ781">
        <v>1.19872687924982</v>
      </c>
      <c r="AK781">
        <v>47.023905999999997</v>
      </c>
      <c r="AL781">
        <v>4.8380429999999999</v>
      </c>
      <c r="AM781">
        <v>48.869000000000014</v>
      </c>
      <c r="AN781">
        <v>2.177</v>
      </c>
    </row>
    <row r="782" spans="1:40" x14ac:dyDescent="0.35">
      <c r="A782">
        <v>976</v>
      </c>
      <c r="B782">
        <v>57</v>
      </c>
      <c r="C782" t="s">
        <v>48</v>
      </c>
      <c r="D782" t="s">
        <v>41</v>
      </c>
      <c r="E782" t="s">
        <v>42</v>
      </c>
      <c r="F782" t="s">
        <v>49</v>
      </c>
      <c r="G782">
        <v>4</v>
      </c>
      <c r="H782">
        <v>16</v>
      </c>
      <c r="I782">
        <v>5</v>
      </c>
      <c r="J782" t="s">
        <v>50</v>
      </c>
      <c r="K782" t="s">
        <v>46</v>
      </c>
      <c r="L782" t="s">
        <v>60</v>
      </c>
      <c r="M782">
        <v>56.54777407472848</v>
      </c>
      <c r="N782">
        <v>115</v>
      </c>
      <c r="O782">
        <v>83</v>
      </c>
      <c r="P782">
        <v>112</v>
      </c>
      <c r="Q782">
        <v>3.8501476017100584</v>
      </c>
      <c r="R782">
        <v>2.9957322735539909</v>
      </c>
      <c r="S782">
        <v>5.4424177105217932</v>
      </c>
      <c r="T782">
        <v>88.975873222691746</v>
      </c>
      <c r="U782">
        <v>2.5514539469641888</v>
      </c>
      <c r="V782">
        <v>2.9336799326863701</v>
      </c>
      <c r="W782">
        <v>3.3730943146768602</v>
      </c>
      <c r="X782">
        <v>3.6072071704345601</v>
      </c>
      <c r="Y782">
        <v>-0.19189497559235799</v>
      </c>
      <c r="Z782">
        <v>0.17569111512999699</v>
      </c>
      <c r="AA782">
        <v>-0.304970615080496</v>
      </c>
      <c r="AB782">
        <v>1906.836709612184</v>
      </c>
      <c r="AC782">
        <v>0.7978420820676605</v>
      </c>
      <c r="AD782">
        <v>2.1056638128240834</v>
      </c>
      <c r="AE782">
        <v>-0.25037207080954499</v>
      </c>
      <c r="AF782">
        <v>-1.16862484792902</v>
      </c>
      <c r="AG782">
        <v>0.102641770194425</v>
      </c>
      <c r="AH782">
        <v>2.2878102418816396E-2</v>
      </c>
      <c r="AI782">
        <v>-1.20585195817418</v>
      </c>
      <c r="AJ782">
        <v>7.3796569160127404E-2</v>
      </c>
      <c r="AK782">
        <v>44.055988999999997</v>
      </c>
      <c r="AL782">
        <v>4.8317350000000001</v>
      </c>
      <c r="AM782">
        <v>44.5576875</v>
      </c>
      <c r="AN782">
        <v>4.9429999999999996</v>
      </c>
    </row>
    <row r="783" spans="1:40" x14ac:dyDescent="0.35">
      <c r="A783">
        <v>977</v>
      </c>
      <c r="B783">
        <v>72</v>
      </c>
      <c r="C783" t="s">
        <v>40</v>
      </c>
      <c r="D783" t="s">
        <v>52</v>
      </c>
      <c r="E783" t="s">
        <v>42</v>
      </c>
      <c r="F783" t="s">
        <v>49</v>
      </c>
      <c r="G783">
        <v>5</v>
      </c>
      <c r="H783">
        <v>25</v>
      </c>
      <c r="I783">
        <v>7</v>
      </c>
      <c r="J783" t="s">
        <v>50</v>
      </c>
      <c r="K783" t="s">
        <v>46</v>
      </c>
      <c r="L783" t="s">
        <v>59</v>
      </c>
      <c r="M783">
        <v>190.97295169136689</v>
      </c>
      <c r="N783">
        <v>216</v>
      </c>
      <c r="O783">
        <v>161</v>
      </c>
      <c r="P783">
        <v>152</v>
      </c>
      <c r="Q783">
        <v>1.3862943611198906</v>
      </c>
      <c r="R783">
        <v>1.3862943611198906</v>
      </c>
      <c r="S783">
        <v>4.9972122737641147</v>
      </c>
      <c r="T783">
        <v>90.035146103896111</v>
      </c>
      <c r="U783">
        <v>1.418823059726001</v>
      </c>
      <c r="V783">
        <v>-0.52223564926899602</v>
      </c>
      <c r="W783">
        <v>-0.46072710968150399</v>
      </c>
      <c r="X783">
        <v>-0.361786268345754</v>
      </c>
      <c r="Y783">
        <v>-0.552694479448822</v>
      </c>
      <c r="Z783">
        <v>2.1676297177028899E-2</v>
      </c>
      <c r="AA783">
        <v>0.625223797005378</v>
      </c>
      <c r="AB783">
        <v>2234.6992515788952</v>
      </c>
      <c r="AC783">
        <v>0</v>
      </c>
      <c r="AD783">
        <v>0.12112735591028891</v>
      </c>
      <c r="AE783">
        <v>-0.60610368582010199</v>
      </c>
      <c r="AF783">
        <v>-0.77237013487505601</v>
      </c>
      <c r="AG783">
        <v>0.67307233057487104</v>
      </c>
      <c r="AH783">
        <v>-1.3427366272912999</v>
      </c>
      <c r="AI783">
        <v>-2.2826470256345899</v>
      </c>
      <c r="AJ783">
        <v>4.0378005564498901E-2</v>
      </c>
      <c r="AK783">
        <v>47.411035099999999</v>
      </c>
      <c r="AL783">
        <v>0.98369799999999996</v>
      </c>
      <c r="AM783">
        <v>48.927</v>
      </c>
      <c r="AN783">
        <v>2.1880000000000002</v>
      </c>
    </row>
    <row r="784" spans="1:40" x14ac:dyDescent="0.35">
      <c r="A784">
        <v>978</v>
      </c>
      <c r="B784">
        <v>72</v>
      </c>
      <c r="C784" t="s">
        <v>40</v>
      </c>
      <c r="D784" t="s">
        <v>52</v>
      </c>
      <c r="E784" t="s">
        <v>42</v>
      </c>
      <c r="F784" t="s">
        <v>43</v>
      </c>
      <c r="G784">
        <v>5</v>
      </c>
      <c r="H784">
        <v>25</v>
      </c>
      <c r="I784">
        <v>5</v>
      </c>
      <c r="J784" t="s">
        <v>56</v>
      </c>
      <c r="K784" t="s">
        <v>46</v>
      </c>
      <c r="L784" t="s">
        <v>55</v>
      </c>
      <c r="M784">
        <v>394.19051437491947</v>
      </c>
      <c r="N784">
        <v>529</v>
      </c>
      <c r="O784">
        <v>374</v>
      </c>
      <c r="P784">
        <v>212</v>
      </c>
      <c r="Q784">
        <v>2.0794415416798357</v>
      </c>
      <c r="R784">
        <v>2.3025850929940459</v>
      </c>
      <c r="S784">
        <v>3.2580965380214821</v>
      </c>
      <c r="T784">
        <v>95.12</v>
      </c>
      <c r="U784">
        <v>0</v>
      </c>
      <c r="V784">
        <v>1.89305099905856</v>
      </c>
      <c r="W784">
        <v>0.59880690621441701</v>
      </c>
      <c r="X784">
        <v>1.1856460040685599</v>
      </c>
      <c r="Y784">
        <v>-0.15565097555555901</v>
      </c>
      <c r="Z784">
        <v>-0.22748295097212001</v>
      </c>
      <c r="AA784">
        <v>1.0415013010201299</v>
      </c>
      <c r="AB784">
        <v>2939.9504036908884</v>
      </c>
      <c r="AC784">
        <v>2</v>
      </c>
      <c r="AD784">
        <v>0.42868127643214149</v>
      </c>
      <c r="AE784">
        <v>-2.40641039566141E-2</v>
      </c>
      <c r="AF784">
        <v>0.19600234360320901</v>
      </c>
      <c r="AG784">
        <v>6.3103425916770498E-2</v>
      </c>
      <c r="AH784">
        <v>-2.0108519509501502E-2</v>
      </c>
      <c r="AI784">
        <v>-0.30054528964885302</v>
      </c>
      <c r="AJ784">
        <v>0.82664818793500805</v>
      </c>
      <c r="AK784">
        <v>48.0777517</v>
      </c>
      <c r="AL784">
        <v>7.3579641000000002</v>
      </c>
      <c r="AM784">
        <v>49.106999999999999</v>
      </c>
      <c r="AN784">
        <v>2.234</v>
      </c>
    </row>
    <row r="785" spans="1:40" x14ac:dyDescent="0.35">
      <c r="A785">
        <v>979</v>
      </c>
      <c r="B785">
        <v>42</v>
      </c>
      <c r="C785" t="s">
        <v>40</v>
      </c>
      <c r="D785" t="s">
        <v>41</v>
      </c>
      <c r="E785" t="s">
        <v>42</v>
      </c>
      <c r="F785" t="s">
        <v>49</v>
      </c>
      <c r="G785">
        <v>5</v>
      </c>
      <c r="H785">
        <v>25</v>
      </c>
      <c r="I785">
        <v>5</v>
      </c>
      <c r="J785" t="s">
        <v>56</v>
      </c>
      <c r="K785" t="s">
        <v>46</v>
      </c>
      <c r="L785" t="s">
        <v>47</v>
      </c>
      <c r="M785">
        <v>634.93793108588</v>
      </c>
      <c r="N785">
        <v>794</v>
      </c>
      <c r="O785">
        <v>491</v>
      </c>
      <c r="P785">
        <v>339</v>
      </c>
      <c r="Q785">
        <v>5.9107966440405271</v>
      </c>
      <c r="R785">
        <v>6.4997870406558542</v>
      </c>
      <c r="S785">
        <v>8.6415324656718457</v>
      </c>
      <c r="T785">
        <v>89.265350482850479</v>
      </c>
      <c r="U785">
        <v>1.4417786561042019</v>
      </c>
      <c r="V785">
        <v>-0.22886708829074301</v>
      </c>
      <c r="W785">
        <v>0.28745285629339301</v>
      </c>
      <c r="X785">
        <v>-0.15627425222847</v>
      </c>
      <c r="Y785">
        <v>1.45226138127617</v>
      </c>
      <c r="Z785">
        <v>0.98247225355557</v>
      </c>
      <c r="AA785">
        <v>0.627775520474398</v>
      </c>
      <c r="AB785">
        <v>3362.2959371744532</v>
      </c>
      <c r="AC785">
        <v>2.8998317172850387</v>
      </c>
      <c r="AD785">
        <v>2.9499158586425196</v>
      </c>
      <c r="AE785">
        <v>1.06273170356322</v>
      </c>
      <c r="AF785">
        <v>1.69863861544525</v>
      </c>
      <c r="AG785">
        <v>-1.95217681129633</v>
      </c>
      <c r="AH785">
        <v>1.1467499860416199</v>
      </c>
      <c r="AI785">
        <v>-0.64776149006513895</v>
      </c>
      <c r="AJ785">
        <v>0.20621107903396299</v>
      </c>
      <c r="AK785">
        <v>43.3535629403058</v>
      </c>
      <c r="AL785">
        <v>3.21615314793977</v>
      </c>
      <c r="AM785">
        <v>49.01</v>
      </c>
      <c r="AN785">
        <v>2.1555</v>
      </c>
    </row>
    <row r="786" spans="1:40" x14ac:dyDescent="0.35">
      <c r="A786">
        <v>980</v>
      </c>
      <c r="B786">
        <v>57</v>
      </c>
      <c r="C786" t="s">
        <v>40</v>
      </c>
      <c r="D786" t="s">
        <v>41</v>
      </c>
      <c r="E786" t="s">
        <v>42</v>
      </c>
      <c r="F786" t="s">
        <v>53</v>
      </c>
      <c r="G786">
        <v>7</v>
      </c>
      <c r="H786">
        <v>49</v>
      </c>
      <c r="I786">
        <v>6</v>
      </c>
      <c r="J786" t="s">
        <v>50</v>
      </c>
      <c r="K786" t="s">
        <v>46</v>
      </c>
      <c r="L786" t="s">
        <v>62</v>
      </c>
      <c r="M786">
        <v>126.3813761912776</v>
      </c>
      <c r="N786">
        <v>162</v>
      </c>
      <c r="O786">
        <v>110</v>
      </c>
      <c r="P786">
        <v>145</v>
      </c>
      <c r="Q786">
        <v>0.69314718055994529</v>
      </c>
      <c r="R786">
        <v>3.2580965380214821</v>
      </c>
      <c r="S786">
        <v>3.2580965380214821</v>
      </c>
      <c r="T786">
        <v>95.68</v>
      </c>
      <c r="U786">
        <v>0</v>
      </c>
      <c r="V786">
        <v>1.82802042479695</v>
      </c>
      <c r="W786">
        <v>0.99424279543483596</v>
      </c>
      <c r="X786">
        <v>0.99177342203587404</v>
      </c>
      <c r="Y786">
        <v>-0.96278755162326501</v>
      </c>
      <c r="Z786">
        <v>-0.75605764486205096</v>
      </c>
      <c r="AA786">
        <v>-0.80037586101695801</v>
      </c>
      <c r="AB786">
        <v>2092.91</v>
      </c>
      <c r="AC786">
        <v>0</v>
      </c>
      <c r="AD786">
        <v>2.1</v>
      </c>
      <c r="AE786">
        <v>-1.0768626388726401</v>
      </c>
      <c r="AF786">
        <v>-2.3375388053775898</v>
      </c>
      <c r="AG786">
        <v>-2.4387872887500501</v>
      </c>
      <c r="AH786">
        <v>1.05865565013861</v>
      </c>
      <c r="AI786">
        <v>-1.1286638624581999</v>
      </c>
      <c r="AJ786">
        <v>1.8326297519000401</v>
      </c>
      <c r="AK786">
        <v>49.042560999999999</v>
      </c>
      <c r="AL786">
        <v>3.9528660000000002</v>
      </c>
      <c r="AM786">
        <v>48.667000000000002</v>
      </c>
      <c r="AN786">
        <v>2.3245</v>
      </c>
    </row>
    <row r="787" spans="1:40" x14ac:dyDescent="0.35">
      <c r="A787">
        <v>981</v>
      </c>
      <c r="B787">
        <v>72</v>
      </c>
      <c r="C787" t="s">
        <v>40</v>
      </c>
      <c r="D787" t="s">
        <v>52</v>
      </c>
      <c r="E787" t="s">
        <v>42</v>
      </c>
      <c r="F787" t="s">
        <v>49</v>
      </c>
      <c r="G787">
        <v>6</v>
      </c>
      <c r="H787">
        <v>36</v>
      </c>
      <c r="I787">
        <v>6</v>
      </c>
      <c r="J787" t="s">
        <v>50</v>
      </c>
      <c r="K787" t="s">
        <v>46</v>
      </c>
      <c r="L787" t="s">
        <v>72</v>
      </c>
      <c r="M787">
        <v>501.32578662336721</v>
      </c>
      <c r="N787">
        <v>568</v>
      </c>
      <c r="O787">
        <v>346</v>
      </c>
      <c r="P787">
        <v>347</v>
      </c>
      <c r="Q787">
        <v>0.69314718055994529</v>
      </c>
      <c r="R787">
        <v>1.3862943611198906</v>
      </c>
      <c r="S787">
        <v>4.5538768916005408</v>
      </c>
      <c r="T787">
        <v>89.340161030595823</v>
      </c>
      <c r="U787">
        <v>1.4712304197281412</v>
      </c>
      <c r="V787">
        <v>0.59716251398508702</v>
      </c>
      <c r="W787">
        <v>0.91068296986709796</v>
      </c>
      <c r="X787">
        <v>1.2273243988355</v>
      </c>
      <c r="Y787">
        <v>-0.4121809470949</v>
      </c>
      <c r="Z787">
        <v>-0.86472582726521097</v>
      </c>
      <c r="AA787">
        <v>-1.0172779374790899</v>
      </c>
      <c r="AB787">
        <v>1828.1689246701658</v>
      </c>
      <c r="AC787">
        <v>1.1127464888636687</v>
      </c>
      <c r="AD787">
        <v>1.8630656830756136</v>
      </c>
      <c r="AE787">
        <v>-0.53926882203722504</v>
      </c>
      <c r="AF787">
        <v>0.96289631944576104</v>
      </c>
      <c r="AG787">
        <v>-0.98432612742445103</v>
      </c>
      <c r="AH787">
        <v>0.75544566334407304</v>
      </c>
      <c r="AI787">
        <v>0.188662596205213</v>
      </c>
      <c r="AJ787">
        <v>0.35555614448991302</v>
      </c>
      <c r="AK787">
        <v>44.503641999999999</v>
      </c>
      <c r="AL787">
        <v>1.1863669999999999</v>
      </c>
      <c r="AM787">
        <v>48.978500000000004</v>
      </c>
      <c r="AN787">
        <v>1.9269999999999998</v>
      </c>
    </row>
    <row r="788" spans="1:40" x14ac:dyDescent="0.35">
      <c r="A788">
        <v>982</v>
      </c>
      <c r="B788">
        <v>57</v>
      </c>
      <c r="C788" t="s">
        <v>48</v>
      </c>
      <c r="D788" t="s">
        <v>66</v>
      </c>
      <c r="E788" t="s">
        <v>42</v>
      </c>
      <c r="F788" t="s">
        <v>5</v>
      </c>
      <c r="G788">
        <v>5</v>
      </c>
      <c r="H788">
        <v>25</v>
      </c>
      <c r="I788">
        <v>3</v>
      </c>
      <c r="J788" t="s">
        <v>50</v>
      </c>
      <c r="K788" t="s">
        <v>46</v>
      </c>
      <c r="L788" t="s">
        <v>76</v>
      </c>
      <c r="M788">
        <v>168.94405512121691</v>
      </c>
      <c r="N788">
        <v>214</v>
      </c>
      <c r="O788">
        <v>150</v>
      </c>
      <c r="P788">
        <v>145</v>
      </c>
      <c r="Q788">
        <v>0</v>
      </c>
      <c r="R788">
        <v>1.0986122886681098</v>
      </c>
      <c r="S788">
        <v>4.1588830833596715</v>
      </c>
      <c r="T788">
        <v>91.226666666666674</v>
      </c>
      <c r="U788">
        <v>1.418823059726001</v>
      </c>
      <c r="V788">
        <v>-0.39095273818515502</v>
      </c>
      <c r="W788">
        <v>-0.53446083104759001</v>
      </c>
      <c r="X788">
        <v>-0.40804429067029002</v>
      </c>
      <c r="Y788">
        <v>-0.56789545922357498</v>
      </c>
      <c r="Z788">
        <v>-0.94760790482486201</v>
      </c>
      <c r="AA788">
        <v>-1.0848673571571601</v>
      </c>
      <c r="AB788">
        <v>1770.5103102717287</v>
      </c>
      <c r="AC788">
        <v>0.28213528618230871</v>
      </c>
      <c r="AD788">
        <v>1.7130468298323378</v>
      </c>
      <c r="AE788">
        <v>-1.13486126839574</v>
      </c>
      <c r="AF788">
        <v>-0.90974045444395213</v>
      </c>
      <c r="AG788">
        <v>0.3277189761455937</v>
      </c>
      <c r="AH788">
        <v>0.2852079792277058</v>
      </c>
      <c r="AI788">
        <v>1.4836044289928401</v>
      </c>
      <c r="AJ788">
        <v>0.76193534118230599</v>
      </c>
      <c r="AK788">
        <v>47.330690599999997</v>
      </c>
      <c r="AL788">
        <v>2.8390453999999998</v>
      </c>
      <c r="AM788">
        <v>48.802999999999997</v>
      </c>
      <c r="AN788">
        <v>2.2879999999999998</v>
      </c>
    </row>
    <row r="789" spans="1:40" x14ac:dyDescent="0.35">
      <c r="A789">
        <v>984</v>
      </c>
      <c r="B789">
        <v>57</v>
      </c>
      <c r="C789" t="s">
        <v>48</v>
      </c>
      <c r="D789" t="s">
        <v>66</v>
      </c>
      <c r="E789" t="s">
        <v>42</v>
      </c>
      <c r="F789" t="s">
        <v>49</v>
      </c>
      <c r="G789">
        <v>5</v>
      </c>
      <c r="H789">
        <v>25</v>
      </c>
      <c r="I789">
        <v>4</v>
      </c>
      <c r="J789" t="s">
        <v>50</v>
      </c>
      <c r="K789" t="s">
        <v>46</v>
      </c>
      <c r="L789" t="s">
        <v>55</v>
      </c>
      <c r="M789">
        <v>217.7539743035625</v>
      </c>
      <c r="N789">
        <v>357</v>
      </c>
      <c r="O789">
        <v>251</v>
      </c>
      <c r="P789">
        <v>324</v>
      </c>
      <c r="Q789">
        <v>2.0794415416798357</v>
      </c>
      <c r="R789">
        <v>2.3025850929940459</v>
      </c>
      <c r="S789">
        <v>3.2580965380214821</v>
      </c>
      <c r="T789">
        <v>95.12</v>
      </c>
      <c r="U789">
        <v>0</v>
      </c>
      <c r="V789">
        <v>1.89305099905856</v>
      </c>
      <c r="W789">
        <v>0.59880690621441701</v>
      </c>
      <c r="X789">
        <v>1.1856460040685599</v>
      </c>
      <c r="Y789">
        <v>-0.15565097555555901</v>
      </c>
      <c r="Z789">
        <v>-0.22748295097212001</v>
      </c>
      <c r="AA789">
        <v>1.0415013010201299</v>
      </c>
      <c r="AB789">
        <v>2939.9504036908884</v>
      </c>
      <c r="AC789">
        <v>2</v>
      </c>
      <c r="AD789">
        <v>0.42868127643214149</v>
      </c>
      <c r="AE789">
        <v>-2.40641039566141E-2</v>
      </c>
      <c r="AF789">
        <v>1.5460613518814501</v>
      </c>
      <c r="AG789">
        <v>1.0797383975188599</v>
      </c>
      <c r="AH789">
        <v>0.82580291285532803</v>
      </c>
      <c r="AI789">
        <v>1.4836044289928401</v>
      </c>
      <c r="AJ789">
        <v>0.76193534118230599</v>
      </c>
      <c r="AK789">
        <v>48.0777517</v>
      </c>
      <c r="AL789">
        <v>7.3579641000000002</v>
      </c>
      <c r="AM789">
        <v>46.227142857142852</v>
      </c>
      <c r="AN789">
        <v>6.4258571428571427</v>
      </c>
    </row>
    <row r="790" spans="1:40" x14ac:dyDescent="0.35">
      <c r="A790">
        <v>985</v>
      </c>
      <c r="B790">
        <v>72</v>
      </c>
      <c r="C790" t="s">
        <v>40</v>
      </c>
      <c r="D790" t="s">
        <v>52</v>
      </c>
      <c r="E790" t="s">
        <v>42</v>
      </c>
      <c r="F790" t="s">
        <v>49</v>
      </c>
      <c r="G790">
        <v>6</v>
      </c>
      <c r="H790">
        <v>36</v>
      </c>
      <c r="I790">
        <v>6</v>
      </c>
      <c r="J790" t="s">
        <v>56</v>
      </c>
      <c r="K790" t="s">
        <v>46</v>
      </c>
      <c r="L790" t="s">
        <v>65</v>
      </c>
      <c r="M790">
        <v>57.574925668169627</v>
      </c>
      <c r="N790">
        <v>85</v>
      </c>
      <c r="O790">
        <v>55</v>
      </c>
      <c r="P790">
        <v>80</v>
      </c>
      <c r="Q790">
        <v>0</v>
      </c>
      <c r="R790">
        <v>0</v>
      </c>
      <c r="S790">
        <v>4.4543472962535073</v>
      </c>
      <c r="T790">
        <v>89.333044733044744</v>
      </c>
      <c r="U790">
        <v>1.2554235437523662</v>
      </c>
      <c r="V790">
        <v>1.64975517953679</v>
      </c>
      <c r="W790">
        <v>2.4220969657957299</v>
      </c>
      <c r="X790">
        <v>1.68128863126442</v>
      </c>
      <c r="Y790">
        <v>2.0553398017137301</v>
      </c>
      <c r="Z790">
        <v>2.0921400018840099</v>
      </c>
      <c r="AA790">
        <v>2.0596698968962701</v>
      </c>
      <c r="AB790">
        <v>3262.71</v>
      </c>
      <c r="AC790">
        <v>0.33</v>
      </c>
      <c r="AD790">
        <v>0.66</v>
      </c>
      <c r="AE790">
        <v>1.9221838973381</v>
      </c>
      <c r="AF790">
        <v>-0.69492075940071296</v>
      </c>
      <c r="AG790">
        <v>3.77474200803289E-2</v>
      </c>
      <c r="AH790">
        <v>-0.22302108042899299</v>
      </c>
      <c r="AI790">
        <v>-2.47530267749643E-3</v>
      </c>
      <c r="AJ790">
        <v>1.18373062641315</v>
      </c>
      <c r="AK790">
        <v>43.537466000000002</v>
      </c>
      <c r="AL790">
        <v>6.4627330000000001</v>
      </c>
      <c r="AM790">
        <v>43.182000000000002</v>
      </c>
      <c r="AN790">
        <v>5.9459999999999997</v>
      </c>
    </row>
    <row r="791" spans="1:40" x14ac:dyDescent="0.35">
      <c r="A791">
        <v>987</v>
      </c>
      <c r="B791">
        <v>42</v>
      </c>
      <c r="C791" t="s">
        <v>40</v>
      </c>
      <c r="D791" t="s">
        <v>41</v>
      </c>
      <c r="E791" t="s">
        <v>42</v>
      </c>
      <c r="F791" t="s">
        <v>61</v>
      </c>
      <c r="G791">
        <v>5</v>
      </c>
      <c r="H791">
        <v>25</v>
      </c>
      <c r="I791">
        <v>5</v>
      </c>
      <c r="J791" t="s">
        <v>56</v>
      </c>
      <c r="K791" t="s">
        <v>46</v>
      </c>
      <c r="L791" t="s">
        <v>73</v>
      </c>
      <c r="M791">
        <v>517.1056543497873</v>
      </c>
      <c r="N791">
        <v>588</v>
      </c>
      <c r="O791">
        <v>372</v>
      </c>
      <c r="P791">
        <v>207</v>
      </c>
      <c r="Q791">
        <v>1.9459101490553132</v>
      </c>
      <c r="R791">
        <v>2.9444389791664403</v>
      </c>
      <c r="S791">
        <v>4.2626798770413155</v>
      </c>
      <c r="T791">
        <v>91.872500000000002</v>
      </c>
      <c r="U791">
        <v>2.0033201607997366</v>
      </c>
      <c r="V791">
        <v>7.5580716531248995E-2</v>
      </c>
      <c r="W791">
        <v>0.203376316306385</v>
      </c>
      <c r="X791">
        <v>0.143329752535333</v>
      </c>
      <c r="Y791">
        <v>1.4483117406157899</v>
      </c>
      <c r="Z791">
        <v>1.7680602694732599</v>
      </c>
      <c r="AA791">
        <v>0.26366440732357699</v>
      </c>
      <c r="AB791">
        <v>4236</v>
      </c>
      <c r="AC791">
        <v>0</v>
      </c>
      <c r="AD791">
        <v>4</v>
      </c>
      <c r="AE791">
        <v>1.6751267091712101</v>
      </c>
      <c r="AF791">
        <v>0.22584292432299999</v>
      </c>
      <c r="AG791">
        <v>1.01014452253872</v>
      </c>
      <c r="AH791">
        <v>-3.6591460080348601</v>
      </c>
      <c r="AI791">
        <v>-1.06052897169717</v>
      </c>
      <c r="AJ791">
        <v>-1.30629725186673</v>
      </c>
      <c r="AK791">
        <v>44.686388999999998</v>
      </c>
      <c r="AL791">
        <v>-0.52383800000000003</v>
      </c>
      <c r="AM791">
        <v>48.915000000000006</v>
      </c>
      <c r="AN791">
        <v>2.2879999999999998</v>
      </c>
    </row>
    <row r="792" spans="1:40" x14ac:dyDescent="0.35">
      <c r="A792">
        <v>988</v>
      </c>
      <c r="B792">
        <v>29.5</v>
      </c>
      <c r="C792" t="s">
        <v>40</v>
      </c>
      <c r="D792" t="s">
        <v>41</v>
      </c>
      <c r="E792" t="s">
        <v>42</v>
      </c>
      <c r="F792" t="s">
        <v>49</v>
      </c>
      <c r="G792">
        <v>2</v>
      </c>
      <c r="H792">
        <v>4</v>
      </c>
      <c r="I792">
        <v>4</v>
      </c>
      <c r="J792" t="s">
        <v>45</v>
      </c>
      <c r="K792" t="s">
        <v>46</v>
      </c>
      <c r="L792" t="s">
        <v>72</v>
      </c>
      <c r="M792">
        <v>492.64404854898049</v>
      </c>
      <c r="N792">
        <v>576</v>
      </c>
      <c r="O792">
        <v>361</v>
      </c>
      <c r="P792">
        <v>326</v>
      </c>
      <c r="Q792">
        <v>0.69314718055994529</v>
      </c>
      <c r="R792">
        <v>1.3862943611198906</v>
      </c>
      <c r="S792">
        <v>4.5538768916005408</v>
      </c>
      <c r="T792">
        <v>89.340161030595823</v>
      </c>
      <c r="U792">
        <v>1.4712304197281412</v>
      </c>
      <c r="V792">
        <v>0.59716251398508702</v>
      </c>
      <c r="W792">
        <v>0.91068296986709796</v>
      </c>
      <c r="X792">
        <v>1.2273243988355</v>
      </c>
      <c r="Y792">
        <v>-0.4121809470949</v>
      </c>
      <c r="Z792">
        <v>-0.86472582726521097</v>
      </c>
      <c r="AA792">
        <v>-1.0172779374790899</v>
      </c>
      <c r="AB792">
        <v>1828.1689246701658</v>
      </c>
      <c r="AC792">
        <v>1.1127464888636687</v>
      </c>
      <c r="AD792">
        <v>1.8630656830756136</v>
      </c>
      <c r="AE792">
        <v>-0.53926882203722504</v>
      </c>
      <c r="AF792">
        <v>-0.175298405781383</v>
      </c>
      <c r="AG792">
        <v>0.21383663271372799</v>
      </c>
      <c r="AH792">
        <v>-1.52285701337319</v>
      </c>
      <c r="AI792">
        <v>-0.87439802566207903</v>
      </c>
      <c r="AJ792">
        <v>0.55565052236884904</v>
      </c>
      <c r="AK792">
        <v>44.503641999999999</v>
      </c>
      <c r="AL792">
        <v>1.1863669999999999</v>
      </c>
      <c r="AM792">
        <v>48.856372813999997</v>
      </c>
      <c r="AN792">
        <v>2.3525296170000001</v>
      </c>
    </row>
    <row r="793" spans="1:40" x14ac:dyDescent="0.35">
      <c r="A793">
        <v>989</v>
      </c>
      <c r="B793">
        <v>42</v>
      </c>
      <c r="C793" t="s">
        <v>40</v>
      </c>
      <c r="D793" t="s">
        <v>66</v>
      </c>
      <c r="E793" t="s">
        <v>42</v>
      </c>
      <c r="F793" t="s">
        <v>49</v>
      </c>
      <c r="G793">
        <v>6</v>
      </c>
      <c r="H793">
        <v>36</v>
      </c>
      <c r="I793">
        <v>5</v>
      </c>
      <c r="J793" t="s">
        <v>56</v>
      </c>
      <c r="K793" t="s">
        <v>46</v>
      </c>
      <c r="L793" t="s">
        <v>83</v>
      </c>
      <c r="M793">
        <v>281.24017235346082</v>
      </c>
      <c r="N793">
        <v>329</v>
      </c>
      <c r="O793">
        <v>199</v>
      </c>
      <c r="P793">
        <v>228</v>
      </c>
      <c r="Q793">
        <v>0</v>
      </c>
      <c r="R793">
        <v>0</v>
      </c>
      <c r="S793">
        <v>4.4886363697321396</v>
      </c>
      <c r="T793">
        <v>90.115111111111119</v>
      </c>
      <c r="U793">
        <v>1.2513404171152498</v>
      </c>
      <c r="V793">
        <v>-0.46152060700845399</v>
      </c>
      <c r="W793">
        <v>-0.57121975163865102</v>
      </c>
      <c r="X793">
        <v>-0.33135740862223101</v>
      </c>
      <c r="Y793">
        <v>-0.77598924050104101</v>
      </c>
      <c r="Z793">
        <v>0.47668876811384397</v>
      </c>
      <c r="AA793">
        <v>0.85617757356637403</v>
      </c>
      <c r="AB793">
        <v>2565</v>
      </c>
      <c r="AC793">
        <v>1</v>
      </c>
      <c r="AD793">
        <v>0</v>
      </c>
      <c r="AE793">
        <v>-0.72514205471140702</v>
      </c>
      <c r="AF793">
        <v>-1.4949982102668999</v>
      </c>
      <c r="AG793">
        <v>1.87876753935315</v>
      </c>
      <c r="AH793">
        <v>-5.4135623262590797E-2</v>
      </c>
      <c r="AI793">
        <v>-0.39774846321435398</v>
      </c>
      <c r="AJ793">
        <v>1.53245372282847</v>
      </c>
      <c r="AK793">
        <v>46.839658</v>
      </c>
      <c r="AL793">
        <v>4.7189269999999999</v>
      </c>
      <c r="AM793">
        <v>49.295941176470592</v>
      </c>
      <c r="AN793">
        <v>3.8339411764705877</v>
      </c>
    </row>
    <row r="794" spans="1:40" x14ac:dyDescent="0.35">
      <c r="A794">
        <v>990</v>
      </c>
      <c r="B794">
        <v>57</v>
      </c>
      <c r="C794" t="s">
        <v>40</v>
      </c>
      <c r="D794" t="s">
        <v>66</v>
      </c>
      <c r="E794" t="s">
        <v>42</v>
      </c>
      <c r="F794" t="s">
        <v>43</v>
      </c>
      <c r="G794">
        <v>5</v>
      </c>
      <c r="H794">
        <v>25</v>
      </c>
      <c r="I794">
        <v>7</v>
      </c>
      <c r="J794" t="s">
        <v>56</v>
      </c>
      <c r="K794" t="s">
        <v>46</v>
      </c>
      <c r="L794" t="s">
        <v>75</v>
      </c>
      <c r="M794">
        <v>320.11134420373128</v>
      </c>
      <c r="N794">
        <v>399</v>
      </c>
      <c r="O794">
        <v>243</v>
      </c>
      <c r="P794">
        <v>217</v>
      </c>
      <c r="Q794">
        <v>0</v>
      </c>
      <c r="R794">
        <v>0</v>
      </c>
      <c r="S794">
        <v>3.5553480614894135</v>
      </c>
      <c r="T794">
        <v>87.721111111111114</v>
      </c>
      <c r="U794">
        <v>1.8185946276597997</v>
      </c>
      <c r="V794">
        <v>-1.01058566247205</v>
      </c>
      <c r="W794">
        <v>-0.72487722485772399</v>
      </c>
      <c r="X794">
        <v>-0.83814251792544203</v>
      </c>
      <c r="Y794">
        <v>0.643019057251217</v>
      </c>
      <c r="Z794">
        <v>0.97010361819212798</v>
      </c>
      <c r="AA794">
        <v>-1.0557286875948499</v>
      </c>
      <c r="AB794">
        <v>4179</v>
      </c>
      <c r="AC794">
        <v>0</v>
      </c>
      <c r="AD794">
        <v>0</v>
      </c>
      <c r="AE794">
        <v>0.59808311135132897</v>
      </c>
      <c r="AF794">
        <v>0.45670016479609099</v>
      </c>
      <c r="AG794">
        <v>-0.71378454354871701</v>
      </c>
      <c r="AH794">
        <v>0.12969728927905999</v>
      </c>
      <c r="AI794">
        <v>0.49623479674404503</v>
      </c>
      <c r="AJ794">
        <v>0.642551674053226</v>
      </c>
      <c r="AK794">
        <v>47.087721999999999</v>
      </c>
      <c r="AL794">
        <v>-1.2817419999999999</v>
      </c>
      <c r="AM794">
        <v>48.966000000000001</v>
      </c>
      <c r="AN794">
        <v>1.9750000000000001</v>
      </c>
    </row>
    <row r="795" spans="1:40" x14ac:dyDescent="0.35">
      <c r="A795">
        <v>991</v>
      </c>
      <c r="B795">
        <v>42</v>
      </c>
      <c r="C795" t="s">
        <v>40</v>
      </c>
      <c r="D795" t="s">
        <v>66</v>
      </c>
      <c r="E795" t="s">
        <v>42</v>
      </c>
      <c r="F795" t="s">
        <v>61</v>
      </c>
      <c r="G795">
        <v>5</v>
      </c>
      <c r="H795">
        <v>25</v>
      </c>
      <c r="I795">
        <v>5</v>
      </c>
      <c r="J795" t="s">
        <v>56</v>
      </c>
      <c r="K795" t="s">
        <v>46</v>
      </c>
      <c r="L795" t="s">
        <v>55</v>
      </c>
      <c r="M795">
        <v>435.04741455547838</v>
      </c>
      <c r="N795">
        <v>523</v>
      </c>
      <c r="O795">
        <v>358</v>
      </c>
      <c r="P795">
        <v>238</v>
      </c>
      <c r="Q795">
        <v>2.0794415416798357</v>
      </c>
      <c r="R795">
        <v>2.3025850929940459</v>
      </c>
      <c r="S795">
        <v>3.2580965380214821</v>
      </c>
      <c r="T795">
        <v>95.12</v>
      </c>
      <c r="U795">
        <v>0</v>
      </c>
      <c r="V795">
        <v>1.89305099905856</v>
      </c>
      <c r="W795">
        <v>0.59880690621441701</v>
      </c>
      <c r="X795">
        <v>1.1856460040685599</v>
      </c>
      <c r="Y795">
        <v>-0.15565097555555901</v>
      </c>
      <c r="Z795">
        <v>-0.22748295097212001</v>
      </c>
      <c r="AA795">
        <v>1.0415013010201299</v>
      </c>
      <c r="AB795">
        <v>2939.9504036908884</v>
      </c>
      <c r="AC795">
        <v>2</v>
      </c>
      <c r="AD795">
        <v>0.42868127643214149</v>
      </c>
      <c r="AE795">
        <v>-2.40641039566141E-2</v>
      </c>
      <c r="AF795">
        <v>1.0060181786495599</v>
      </c>
      <c r="AG795">
        <v>0.551922641249733</v>
      </c>
      <c r="AH795">
        <v>-0.15299851530015601</v>
      </c>
      <c r="AI795">
        <v>4.6036641636324198E-2</v>
      </c>
      <c r="AJ795">
        <v>0.67388068496947795</v>
      </c>
      <c r="AK795">
        <v>48.0777517</v>
      </c>
      <c r="AL795">
        <v>7.3579641000000002</v>
      </c>
      <c r="AM795">
        <v>50.109000000000002</v>
      </c>
      <c r="AN795">
        <v>2.2569999999999997</v>
      </c>
    </row>
    <row r="796" spans="1:40" x14ac:dyDescent="0.35">
      <c r="A796">
        <v>992</v>
      </c>
      <c r="B796">
        <v>72</v>
      </c>
      <c r="C796" t="s">
        <v>40</v>
      </c>
      <c r="D796" t="s">
        <v>52</v>
      </c>
      <c r="E796" t="s">
        <v>42</v>
      </c>
      <c r="F796" t="s">
        <v>49</v>
      </c>
      <c r="G796">
        <v>5</v>
      </c>
      <c r="H796">
        <v>25</v>
      </c>
      <c r="I796">
        <v>7</v>
      </c>
      <c r="J796" t="s">
        <v>50</v>
      </c>
      <c r="K796" t="s">
        <v>46</v>
      </c>
      <c r="L796" t="s">
        <v>59</v>
      </c>
      <c r="M796">
        <v>190.33174110274479</v>
      </c>
      <c r="N796">
        <v>224</v>
      </c>
      <c r="O796">
        <v>178</v>
      </c>
      <c r="P796">
        <v>97</v>
      </c>
      <c r="Q796">
        <v>1.3862943611198906</v>
      </c>
      <c r="R796">
        <v>1.3862943611198906</v>
      </c>
      <c r="S796">
        <v>4.9972122737641147</v>
      </c>
      <c r="T796">
        <v>90.035146103896111</v>
      </c>
      <c r="U796">
        <v>1.418823059726001</v>
      </c>
      <c r="V796">
        <v>-0.52223564926899602</v>
      </c>
      <c r="W796">
        <v>-0.46072710968150399</v>
      </c>
      <c r="X796">
        <v>-0.361786268345754</v>
      </c>
      <c r="Y796">
        <v>-0.552694479448822</v>
      </c>
      <c r="Z796">
        <v>2.1676297177028899E-2</v>
      </c>
      <c r="AA796">
        <v>0.625223797005378</v>
      </c>
      <c r="AB796">
        <v>2234.6992515788952</v>
      </c>
      <c r="AC796">
        <v>0</v>
      </c>
      <c r="AD796">
        <v>0.12112735591028891</v>
      </c>
      <c r="AE796">
        <v>-0.60610368582010199</v>
      </c>
      <c r="AF796">
        <v>0.128875624545049</v>
      </c>
      <c r="AG796">
        <v>-1.42891634019779</v>
      </c>
      <c r="AH796">
        <v>-0.54702972712779496</v>
      </c>
      <c r="AI796">
        <v>-0.612572864304326</v>
      </c>
      <c r="AJ796">
        <v>0.183453281637002</v>
      </c>
      <c r="AK796">
        <v>47.411035099999999</v>
      </c>
      <c r="AL796">
        <v>0.98369799999999996</v>
      </c>
      <c r="AM796">
        <v>48.856372813999997</v>
      </c>
      <c r="AN796">
        <v>2.3525296170000001</v>
      </c>
    </row>
    <row r="797" spans="1:40" x14ac:dyDescent="0.35">
      <c r="A797">
        <v>994</v>
      </c>
      <c r="B797">
        <v>57</v>
      </c>
      <c r="C797" t="s">
        <v>48</v>
      </c>
      <c r="D797" t="s">
        <v>41</v>
      </c>
      <c r="E797" t="s">
        <v>42</v>
      </c>
      <c r="F797" t="s">
        <v>61</v>
      </c>
      <c r="G797">
        <v>5</v>
      </c>
      <c r="H797">
        <v>25</v>
      </c>
      <c r="I797">
        <v>6</v>
      </c>
      <c r="J797" t="s">
        <v>56</v>
      </c>
      <c r="K797" t="s">
        <v>46</v>
      </c>
      <c r="L797" t="s">
        <v>65</v>
      </c>
      <c r="M797">
        <v>671.23208171923795</v>
      </c>
      <c r="N797">
        <v>869</v>
      </c>
      <c r="O797">
        <v>423</v>
      </c>
      <c r="P797">
        <v>323</v>
      </c>
      <c r="Q797">
        <v>0</v>
      </c>
      <c r="R797">
        <v>0</v>
      </c>
      <c r="S797">
        <v>4.4543472962535073</v>
      </c>
      <c r="T797">
        <v>89.333044733044744</v>
      </c>
      <c r="U797">
        <v>1.2554235437523662</v>
      </c>
      <c r="V797">
        <v>1.64975517953679</v>
      </c>
      <c r="W797">
        <v>2.4220969657957299</v>
      </c>
      <c r="X797">
        <v>1.68128863126442</v>
      </c>
      <c r="Y797">
        <v>2.0553398017137301</v>
      </c>
      <c r="Z797">
        <v>2.0921400018840099</v>
      </c>
      <c r="AA797">
        <v>2.0596698968962701</v>
      </c>
      <c r="AB797">
        <v>3262.71</v>
      </c>
      <c r="AC797">
        <v>0.33</v>
      </c>
      <c r="AD797">
        <v>0.66</v>
      </c>
      <c r="AE797">
        <v>1.9221838973381</v>
      </c>
      <c r="AF797">
        <v>1.3707651627508901</v>
      </c>
      <c r="AG797">
        <v>0.71988943583310305</v>
      </c>
      <c r="AH797">
        <v>-0.46258952295551098</v>
      </c>
      <c r="AI797">
        <v>-0.60549062456501601</v>
      </c>
      <c r="AJ797">
        <v>0.83513195938374896</v>
      </c>
      <c r="AK797">
        <v>43.537466000000002</v>
      </c>
      <c r="AL797">
        <v>6.4627330000000001</v>
      </c>
      <c r="AM797">
        <v>48.856372813999997</v>
      </c>
      <c r="AN797">
        <v>2.3525296170000001</v>
      </c>
    </row>
    <row r="798" spans="1:40" x14ac:dyDescent="0.35">
      <c r="A798">
        <v>995</v>
      </c>
      <c r="B798">
        <v>57</v>
      </c>
      <c r="C798" t="s">
        <v>40</v>
      </c>
      <c r="D798" t="s">
        <v>41</v>
      </c>
      <c r="E798" t="s">
        <v>42</v>
      </c>
      <c r="F798" t="s">
        <v>49</v>
      </c>
      <c r="G798">
        <v>4</v>
      </c>
      <c r="H798">
        <v>16</v>
      </c>
      <c r="I798">
        <v>5</v>
      </c>
      <c r="J798" t="s">
        <v>50</v>
      </c>
      <c r="K798" t="s">
        <v>46</v>
      </c>
      <c r="L798" t="s">
        <v>47</v>
      </c>
      <c r="M798">
        <v>712.25490434599226</v>
      </c>
      <c r="N798">
        <v>921</v>
      </c>
      <c r="O798">
        <v>548</v>
      </c>
      <c r="P798">
        <v>465</v>
      </c>
      <c r="Q798">
        <v>5.9107966440405271</v>
      </c>
      <c r="R798">
        <v>6.4997870406558542</v>
      </c>
      <c r="S798">
        <v>8.6415324656718457</v>
      </c>
      <c r="T798">
        <v>89.265350482850479</v>
      </c>
      <c r="U798">
        <v>1.4417786561042019</v>
      </c>
      <c r="V798">
        <v>-0.22886708829074301</v>
      </c>
      <c r="W798">
        <v>0.28745285629339301</v>
      </c>
      <c r="X798">
        <v>-0.15627425222847</v>
      </c>
      <c r="Y798">
        <v>1.45226138127617</v>
      </c>
      <c r="Z798">
        <v>0.98247225355557</v>
      </c>
      <c r="AA798">
        <v>0.627775520474398</v>
      </c>
      <c r="AB798">
        <v>3362.2959371744532</v>
      </c>
      <c r="AC798">
        <v>2.8998317172850387</v>
      </c>
      <c r="AD798">
        <v>2.9499158586425196</v>
      </c>
      <c r="AE798">
        <v>1.06273170356322</v>
      </c>
      <c r="AF798">
        <v>-1.1209541691262199</v>
      </c>
      <c r="AG798">
        <v>1.84079288711963</v>
      </c>
      <c r="AH798">
        <v>-0.75036710564455</v>
      </c>
      <c r="AI798">
        <v>-0.933468383396166</v>
      </c>
      <c r="AJ798">
        <v>0.38354989612040102</v>
      </c>
      <c r="AK798">
        <v>43.3535629403058</v>
      </c>
      <c r="AL798">
        <v>3.21615314793977</v>
      </c>
      <c r="AM798">
        <v>48.640000000000008</v>
      </c>
      <c r="AN798">
        <v>-1.9810000000000001</v>
      </c>
    </row>
    <row r="799" spans="1:40" x14ac:dyDescent="0.35">
      <c r="A799">
        <v>996</v>
      </c>
      <c r="B799">
        <v>29.5</v>
      </c>
      <c r="C799" t="s">
        <v>40</v>
      </c>
      <c r="D799" t="s">
        <v>41</v>
      </c>
      <c r="E799" t="s">
        <v>42</v>
      </c>
      <c r="F799" t="s">
        <v>61</v>
      </c>
      <c r="G799">
        <v>3</v>
      </c>
      <c r="H799">
        <v>9</v>
      </c>
      <c r="I799">
        <v>3</v>
      </c>
      <c r="J799" t="s">
        <v>56</v>
      </c>
      <c r="K799" t="s">
        <v>46</v>
      </c>
      <c r="L799" t="s">
        <v>65</v>
      </c>
      <c r="M799">
        <v>674.83282403265071</v>
      </c>
      <c r="N799">
        <v>873</v>
      </c>
      <c r="O799">
        <v>450</v>
      </c>
      <c r="P799">
        <v>396</v>
      </c>
      <c r="Q799">
        <v>0</v>
      </c>
      <c r="R799">
        <v>0</v>
      </c>
      <c r="S799">
        <v>4.4543472962535073</v>
      </c>
      <c r="T799">
        <v>89.333044733044744</v>
      </c>
      <c r="U799">
        <v>1.2554235437523662</v>
      </c>
      <c r="V799">
        <v>1.64975517953679</v>
      </c>
      <c r="W799">
        <v>2.4220969657957299</v>
      </c>
      <c r="X799">
        <v>1.68128863126442</v>
      </c>
      <c r="Y799">
        <v>2.0553398017137301</v>
      </c>
      <c r="Z799">
        <v>2.0921400018840099</v>
      </c>
      <c r="AA799">
        <v>2.0596698968962701</v>
      </c>
      <c r="AB799">
        <v>3262.71</v>
      </c>
      <c r="AC799">
        <v>0.33</v>
      </c>
      <c r="AD799">
        <v>0.66</v>
      </c>
      <c r="AE799">
        <v>1.9221838973381</v>
      </c>
      <c r="AF799">
        <v>-0.14697896428656801</v>
      </c>
      <c r="AG799">
        <v>-1.2636225217135699</v>
      </c>
      <c r="AH799">
        <v>-0.65709454784437304</v>
      </c>
      <c r="AI799">
        <v>-1.1894676322078599</v>
      </c>
      <c r="AJ799">
        <v>0.42330046379243502</v>
      </c>
      <c r="AK799">
        <v>43.537466000000002</v>
      </c>
      <c r="AL799">
        <v>6.4627330000000001</v>
      </c>
      <c r="AM799">
        <v>48.802999999999997</v>
      </c>
      <c r="AN799">
        <v>2.1179999999999999</v>
      </c>
    </row>
    <row r="800" spans="1:40" x14ac:dyDescent="0.35">
      <c r="A800">
        <v>997</v>
      </c>
      <c r="B800">
        <v>29.5</v>
      </c>
      <c r="C800" t="s">
        <v>40</v>
      </c>
      <c r="D800" t="s">
        <v>41</v>
      </c>
      <c r="E800" t="s">
        <v>42</v>
      </c>
      <c r="F800" t="s">
        <v>49</v>
      </c>
      <c r="G800">
        <v>6</v>
      </c>
      <c r="H800">
        <v>36</v>
      </c>
      <c r="I800">
        <v>5</v>
      </c>
      <c r="J800" t="s">
        <v>50</v>
      </c>
      <c r="K800" t="s">
        <v>46</v>
      </c>
      <c r="L800" t="s">
        <v>59</v>
      </c>
      <c r="M800">
        <v>210.30077780714291</v>
      </c>
      <c r="N800">
        <v>263</v>
      </c>
      <c r="O800">
        <v>214</v>
      </c>
      <c r="P800">
        <v>168</v>
      </c>
      <c r="Q800">
        <v>1.3862943611198906</v>
      </c>
      <c r="R800">
        <v>1.3862943611198906</v>
      </c>
      <c r="S800">
        <v>4.9972122737641147</v>
      </c>
      <c r="T800">
        <v>90.035146103896111</v>
      </c>
      <c r="U800">
        <v>1.418823059726001</v>
      </c>
      <c r="V800">
        <v>-0.52223564926899602</v>
      </c>
      <c r="W800">
        <v>-0.46072710968150399</v>
      </c>
      <c r="X800">
        <v>-0.361786268345754</v>
      </c>
      <c r="Y800">
        <v>-0.552694479448822</v>
      </c>
      <c r="Z800">
        <v>2.1676297177028899E-2</v>
      </c>
      <c r="AA800">
        <v>0.625223797005378</v>
      </c>
      <c r="AB800">
        <v>2234.6992515788952</v>
      </c>
      <c r="AC800">
        <v>0</v>
      </c>
      <c r="AD800">
        <v>0.12112735591028891</v>
      </c>
      <c r="AE800">
        <v>-0.60610368582010199</v>
      </c>
      <c r="AF800">
        <v>0.350668647141406</v>
      </c>
      <c r="AG800">
        <v>0.61366108439691502</v>
      </c>
      <c r="AH800">
        <v>-1.9030015825378199</v>
      </c>
      <c r="AI800">
        <v>-0.215421318512071</v>
      </c>
      <c r="AJ800">
        <v>1.02977627496822</v>
      </c>
      <c r="AK800">
        <v>47.411035099999999</v>
      </c>
      <c r="AL800">
        <v>0.98369799999999996</v>
      </c>
      <c r="AM800">
        <v>49.106999999999999</v>
      </c>
      <c r="AN800">
        <v>2.234</v>
      </c>
    </row>
    <row r="801" spans="1:40" x14ac:dyDescent="0.35">
      <c r="A801">
        <v>998</v>
      </c>
      <c r="B801">
        <v>57</v>
      </c>
      <c r="C801" t="s">
        <v>40</v>
      </c>
      <c r="D801" t="s">
        <v>41</v>
      </c>
      <c r="E801" t="s">
        <v>42</v>
      </c>
      <c r="F801" t="s">
        <v>43</v>
      </c>
      <c r="G801">
        <v>4</v>
      </c>
      <c r="H801">
        <v>16</v>
      </c>
      <c r="I801">
        <v>5</v>
      </c>
      <c r="J801" t="s">
        <v>56</v>
      </c>
      <c r="K801" t="s">
        <v>46</v>
      </c>
      <c r="L801" t="s">
        <v>81</v>
      </c>
      <c r="M801">
        <v>4.8081747472319112</v>
      </c>
      <c r="N801">
        <v>558</v>
      </c>
      <c r="O801">
        <v>358</v>
      </c>
      <c r="P801">
        <v>227</v>
      </c>
      <c r="Q801">
        <v>0</v>
      </c>
      <c r="R801">
        <v>0</v>
      </c>
      <c r="S801">
        <v>4.0430512678345503</v>
      </c>
      <c r="T801">
        <v>88.705120018058608</v>
      </c>
      <c r="U801">
        <v>1.1736806104474848</v>
      </c>
      <c r="V801">
        <v>-0.47558929701305802</v>
      </c>
      <c r="W801">
        <v>-0.86536000504125898</v>
      </c>
      <c r="X801">
        <v>-0.756079468432718</v>
      </c>
      <c r="Y801">
        <v>-0.29991099617686701</v>
      </c>
      <c r="Z801">
        <v>-0.41295088194839003</v>
      </c>
      <c r="AA801">
        <v>-1.4747044340851601</v>
      </c>
      <c r="AB801">
        <v>2397.9202643171807</v>
      </c>
      <c r="AC801">
        <v>4.5123348017621154</v>
      </c>
      <c r="AD801">
        <v>0.89074889867841411</v>
      </c>
      <c r="AE801">
        <v>2.0319785812814501</v>
      </c>
      <c r="AF801">
        <v>0.14204656008481401</v>
      </c>
      <c r="AG801">
        <v>0.48473027126545498</v>
      </c>
      <c r="AH801">
        <v>0.26112857624627001</v>
      </c>
      <c r="AI801">
        <v>-1.0536500850024799</v>
      </c>
      <c r="AJ801">
        <v>1.02796052163981</v>
      </c>
      <c r="AK801">
        <v>48.862724999999998</v>
      </c>
      <c r="AL801">
        <v>2.2875920000000001</v>
      </c>
      <c r="AM801">
        <v>48.856372813999997</v>
      </c>
      <c r="AN801">
        <v>2.3525296170000001</v>
      </c>
    </row>
    <row r="802" spans="1:40" x14ac:dyDescent="0.35">
      <c r="A802">
        <v>999</v>
      </c>
      <c r="B802">
        <v>42</v>
      </c>
      <c r="C802" t="s">
        <v>40</v>
      </c>
      <c r="D802" t="s">
        <v>66</v>
      </c>
      <c r="E802" t="s">
        <v>42</v>
      </c>
      <c r="F802" t="s">
        <v>43</v>
      </c>
      <c r="G802">
        <v>5</v>
      </c>
      <c r="H802">
        <v>25</v>
      </c>
      <c r="I802">
        <v>5</v>
      </c>
      <c r="J802" t="s">
        <v>56</v>
      </c>
      <c r="K802" t="s">
        <v>46</v>
      </c>
      <c r="L802" t="s">
        <v>47</v>
      </c>
      <c r="M802">
        <v>596.0518377963607</v>
      </c>
      <c r="N802">
        <v>747</v>
      </c>
      <c r="O802">
        <v>460</v>
      </c>
      <c r="P802">
        <v>575</v>
      </c>
      <c r="Q802">
        <v>5.9107966440405271</v>
      </c>
      <c r="R802">
        <v>6.4997870406558542</v>
      </c>
      <c r="S802">
        <v>8.6415324656718457</v>
      </c>
      <c r="T802">
        <v>89.265350482850479</v>
      </c>
      <c r="U802">
        <v>1.4417786561042019</v>
      </c>
      <c r="V802">
        <v>-0.22886708829074301</v>
      </c>
      <c r="W802">
        <v>0.28745285629339301</v>
      </c>
      <c r="X802">
        <v>-0.15627425222847</v>
      </c>
      <c r="Y802">
        <v>1.45226138127617</v>
      </c>
      <c r="Z802">
        <v>0.98247225355557</v>
      </c>
      <c r="AA802">
        <v>0.627775520474398</v>
      </c>
      <c r="AB802">
        <v>3362.2959371744532</v>
      </c>
      <c r="AC802">
        <v>2.8998317172850387</v>
      </c>
      <c r="AD802">
        <v>2.9499158586425196</v>
      </c>
      <c r="AE802">
        <v>1.06273170356322</v>
      </c>
      <c r="AF802">
        <v>-0.946589300083028</v>
      </c>
      <c r="AG802">
        <v>-0.213688236415189</v>
      </c>
      <c r="AH802">
        <v>0.51928169898909904</v>
      </c>
      <c r="AI802">
        <v>-1.2943477612010601</v>
      </c>
      <c r="AJ802">
        <v>-1.8551581282419101</v>
      </c>
      <c r="AK802">
        <v>43.3535629403058</v>
      </c>
      <c r="AL802">
        <v>3.21615314793977</v>
      </c>
      <c r="AM802">
        <v>48.19766666666667</v>
      </c>
      <c r="AN802">
        <v>6.4913333333333334</v>
      </c>
    </row>
    <row r="803" spans="1:40" x14ac:dyDescent="0.35">
      <c r="A803">
        <v>1000</v>
      </c>
      <c r="B803">
        <v>72</v>
      </c>
      <c r="C803" t="s">
        <v>40</v>
      </c>
      <c r="D803" t="s">
        <v>66</v>
      </c>
      <c r="E803" t="s">
        <v>42</v>
      </c>
      <c r="F803" t="s">
        <v>53</v>
      </c>
      <c r="G803">
        <v>7</v>
      </c>
      <c r="H803">
        <v>49</v>
      </c>
      <c r="I803">
        <v>7</v>
      </c>
      <c r="J803" t="s">
        <v>50</v>
      </c>
      <c r="K803" t="s">
        <v>46</v>
      </c>
      <c r="L803" t="s">
        <v>55</v>
      </c>
      <c r="M803">
        <v>379.40698391777141</v>
      </c>
      <c r="N803">
        <v>492</v>
      </c>
      <c r="O803">
        <v>357</v>
      </c>
      <c r="P803">
        <v>146</v>
      </c>
      <c r="Q803">
        <v>2.0794415416798357</v>
      </c>
      <c r="R803">
        <v>2.3025850929940459</v>
      </c>
      <c r="S803">
        <v>3.2580965380214821</v>
      </c>
      <c r="T803">
        <v>95.12</v>
      </c>
      <c r="U803">
        <v>0</v>
      </c>
      <c r="V803">
        <v>1.89305099905856</v>
      </c>
      <c r="W803">
        <v>0.59880690621441701</v>
      </c>
      <c r="X803">
        <v>1.1856460040685599</v>
      </c>
      <c r="Y803">
        <v>-0.15565097555555901</v>
      </c>
      <c r="Z803">
        <v>-0.22748295097212001</v>
      </c>
      <c r="AA803">
        <v>1.0415013010201299</v>
      </c>
      <c r="AB803">
        <v>2939.9504036908884</v>
      </c>
      <c r="AC803">
        <v>2</v>
      </c>
      <c r="AD803">
        <v>0.42868127643214149</v>
      </c>
      <c r="AE803">
        <v>-2.40641039566141E-2</v>
      </c>
      <c r="AF803">
        <v>-1.0860044557303501</v>
      </c>
      <c r="AG803">
        <v>1.77047030563911</v>
      </c>
      <c r="AH803">
        <v>2.3091234627626397E-2</v>
      </c>
      <c r="AI803">
        <v>-0.25297626659498801</v>
      </c>
      <c r="AJ803">
        <v>-1.4433188111250701</v>
      </c>
      <c r="AK803">
        <v>48.0777517</v>
      </c>
      <c r="AL803">
        <v>7.3579641000000002</v>
      </c>
      <c r="AM803">
        <v>48.856372813999997</v>
      </c>
      <c r="AN803">
        <v>2.3525296170000001</v>
      </c>
    </row>
    <row r="804" spans="1:40" x14ac:dyDescent="0.35">
      <c r="A804">
        <v>1001</v>
      </c>
      <c r="B804">
        <v>72</v>
      </c>
      <c r="C804" t="s">
        <v>48</v>
      </c>
      <c r="D804" t="s">
        <v>52</v>
      </c>
      <c r="E804" t="s">
        <v>42</v>
      </c>
      <c r="F804" t="s">
        <v>43</v>
      </c>
      <c r="G804">
        <v>5</v>
      </c>
      <c r="H804">
        <v>25</v>
      </c>
      <c r="I804">
        <v>4</v>
      </c>
      <c r="J804" t="s">
        <v>50</v>
      </c>
      <c r="K804" t="s">
        <v>46</v>
      </c>
      <c r="L804" t="s">
        <v>58</v>
      </c>
      <c r="M804">
        <v>470.20785645571289</v>
      </c>
      <c r="N804">
        <v>566</v>
      </c>
      <c r="O804">
        <v>409</v>
      </c>
      <c r="P804">
        <v>222</v>
      </c>
      <c r="Q804">
        <v>3.2580965380214821</v>
      </c>
      <c r="R804">
        <v>2.8903717578961645</v>
      </c>
      <c r="S804">
        <v>4.7535901911063645</v>
      </c>
      <c r="T804">
        <v>90.794285714285706</v>
      </c>
      <c r="U804">
        <v>0</v>
      </c>
      <c r="V804">
        <v>0.63905639120027702</v>
      </c>
      <c r="W804">
        <v>0.692565001186083</v>
      </c>
      <c r="X804">
        <v>0.56469097254324596</v>
      </c>
      <c r="Y804">
        <v>1.4483117406157899</v>
      </c>
      <c r="Z804">
        <v>1.7680602694732599</v>
      </c>
      <c r="AA804">
        <v>0.26366440732357699</v>
      </c>
      <c r="AB804">
        <v>4236</v>
      </c>
      <c r="AC804">
        <v>0</v>
      </c>
      <c r="AD804">
        <v>4</v>
      </c>
      <c r="AE804">
        <v>1.6751267091712101</v>
      </c>
      <c r="AF804">
        <v>0.62891803977288996</v>
      </c>
      <c r="AG804">
        <v>-0.114804817120142</v>
      </c>
      <c r="AH804">
        <v>0.54047660221876803</v>
      </c>
      <c r="AI804">
        <v>1.2738433821330899</v>
      </c>
      <c r="AJ804">
        <v>0.84701850293380998</v>
      </c>
      <c r="AK804">
        <v>45.198478000000001</v>
      </c>
      <c r="AL804">
        <v>-0.74874399999999997</v>
      </c>
      <c r="AM804">
        <v>48.856372813999997</v>
      </c>
      <c r="AN804">
        <v>2.3525296170000001</v>
      </c>
    </row>
    <row r="805" spans="1:40" x14ac:dyDescent="0.35">
      <c r="A805">
        <v>1002</v>
      </c>
      <c r="B805">
        <v>72</v>
      </c>
      <c r="C805" t="s">
        <v>48</v>
      </c>
      <c r="D805" t="s">
        <v>52</v>
      </c>
      <c r="E805" t="s">
        <v>42</v>
      </c>
      <c r="F805" t="s">
        <v>49</v>
      </c>
      <c r="G805">
        <v>5</v>
      </c>
      <c r="H805">
        <v>25</v>
      </c>
      <c r="I805">
        <v>5</v>
      </c>
      <c r="J805" t="s">
        <v>56</v>
      </c>
      <c r="K805" t="s">
        <v>46</v>
      </c>
      <c r="L805" t="s">
        <v>74</v>
      </c>
      <c r="M805">
        <v>337.83172374325642</v>
      </c>
      <c r="N805">
        <v>427</v>
      </c>
      <c r="O805">
        <v>278</v>
      </c>
      <c r="P805">
        <v>211</v>
      </c>
      <c r="Q805">
        <v>1.6094379124341003</v>
      </c>
      <c r="R805">
        <v>2.5649493574615367</v>
      </c>
      <c r="S805">
        <v>4.8202815656050371</v>
      </c>
      <c r="T805">
        <v>91.984920634920627</v>
      </c>
      <c r="U805">
        <v>1.0351430572167302</v>
      </c>
      <c r="V805">
        <v>-0.45376679124596098</v>
      </c>
      <c r="W805">
        <v>-0.56138574648679695</v>
      </c>
      <c r="X805">
        <v>-0.92192590083580195</v>
      </c>
      <c r="Y805">
        <v>-1.17232967929859</v>
      </c>
      <c r="Z805">
        <v>-0.98267194414701198</v>
      </c>
      <c r="AA805">
        <v>-0.89586780259421905</v>
      </c>
      <c r="AB805">
        <v>1270</v>
      </c>
      <c r="AC805">
        <v>3</v>
      </c>
      <c r="AD805">
        <v>1</v>
      </c>
      <c r="AE805">
        <v>-1.1438350904766701</v>
      </c>
      <c r="AF805">
        <v>1.0189762920671199</v>
      </c>
      <c r="AG805">
        <v>-9.7291339529355305E-4</v>
      </c>
      <c r="AH805">
        <v>1.00133777583582</v>
      </c>
      <c r="AI805">
        <v>1.35265660864838</v>
      </c>
      <c r="AJ805">
        <v>-0.68058722436851904</v>
      </c>
      <c r="AK805">
        <v>46.672161000000003</v>
      </c>
      <c r="AL805">
        <v>5.558465</v>
      </c>
      <c r="AM805">
        <v>48.908000000000001</v>
      </c>
      <c r="AN805">
        <v>2.5030000000000001</v>
      </c>
    </row>
    <row r="806" spans="1:40" x14ac:dyDescent="0.35">
      <c r="A806">
        <v>1003</v>
      </c>
      <c r="B806">
        <v>57</v>
      </c>
      <c r="C806" t="s">
        <v>48</v>
      </c>
      <c r="D806" t="s">
        <v>52</v>
      </c>
      <c r="E806" t="s">
        <v>42</v>
      </c>
      <c r="F806" t="s">
        <v>49</v>
      </c>
      <c r="G806">
        <v>5</v>
      </c>
      <c r="H806">
        <v>25</v>
      </c>
      <c r="I806">
        <v>7</v>
      </c>
      <c r="J806" t="s">
        <v>50</v>
      </c>
      <c r="K806" t="s">
        <v>46</v>
      </c>
      <c r="L806" t="s">
        <v>62</v>
      </c>
      <c r="M806">
        <v>16.062261543781801</v>
      </c>
      <c r="N806">
        <v>33</v>
      </c>
      <c r="O806">
        <v>35</v>
      </c>
      <c r="P806">
        <v>15</v>
      </c>
      <c r="Q806">
        <v>0.69314718055994529</v>
      </c>
      <c r="R806">
        <v>3.2580965380214821</v>
      </c>
      <c r="S806">
        <v>3.2580965380214821</v>
      </c>
      <c r="T806">
        <v>95.68</v>
      </c>
      <c r="U806">
        <v>0</v>
      </c>
      <c r="V806">
        <v>1.82802042479695</v>
      </c>
      <c r="W806">
        <v>0.99424279543483596</v>
      </c>
      <c r="X806">
        <v>0.99177342203587404</v>
      </c>
      <c r="Y806">
        <v>-0.96278755162326501</v>
      </c>
      <c r="Z806">
        <v>-0.75605764486205096</v>
      </c>
      <c r="AA806">
        <v>-0.80037586101695801</v>
      </c>
      <c r="AB806">
        <v>2092.91</v>
      </c>
      <c r="AC806">
        <v>0</v>
      </c>
      <c r="AD806">
        <v>2.1</v>
      </c>
      <c r="AE806">
        <v>-1.0768626388726401</v>
      </c>
      <c r="AF806">
        <v>-1.9784431729310501</v>
      </c>
      <c r="AG806">
        <v>0.530797940113379</v>
      </c>
      <c r="AH806">
        <v>2.5385690445123697E-2</v>
      </c>
      <c r="AI806">
        <v>-0.15893488336898701</v>
      </c>
      <c r="AJ806">
        <v>0.61838417359026099</v>
      </c>
      <c r="AK806">
        <v>49.042560999999999</v>
      </c>
      <c r="AL806">
        <v>3.9528660000000002</v>
      </c>
      <c r="AM806">
        <v>49.034200000000006</v>
      </c>
      <c r="AN806">
        <v>4.1726000000000001</v>
      </c>
    </row>
    <row r="807" spans="1:40" x14ac:dyDescent="0.35">
      <c r="A807">
        <v>1004</v>
      </c>
      <c r="B807">
        <v>42</v>
      </c>
      <c r="C807" t="s">
        <v>40</v>
      </c>
      <c r="D807" t="s">
        <v>66</v>
      </c>
      <c r="E807" t="s">
        <v>42</v>
      </c>
      <c r="F807" t="s">
        <v>49</v>
      </c>
      <c r="G807">
        <v>5</v>
      </c>
      <c r="H807">
        <v>25</v>
      </c>
      <c r="I807">
        <v>5</v>
      </c>
      <c r="J807" t="s">
        <v>56</v>
      </c>
      <c r="K807" t="s">
        <v>46</v>
      </c>
      <c r="L807" t="s">
        <v>79</v>
      </c>
      <c r="M807">
        <v>686.77685841622576</v>
      </c>
      <c r="N807">
        <v>846</v>
      </c>
      <c r="O807">
        <v>507</v>
      </c>
      <c r="P807">
        <v>301</v>
      </c>
      <c r="Q807">
        <v>0</v>
      </c>
      <c r="R807">
        <v>1.0986122886681098</v>
      </c>
      <c r="S807">
        <v>4.4659081186545837</v>
      </c>
      <c r="T807">
        <v>90.88000000000001</v>
      </c>
      <c r="U807">
        <v>0.63076672920079646</v>
      </c>
      <c r="V807">
        <v>-0.66459185691613598</v>
      </c>
      <c r="W807">
        <v>-0.11297510960708999</v>
      </c>
      <c r="X807">
        <v>-0.19037106594949799</v>
      </c>
      <c r="Y807">
        <v>-0.374020329094302</v>
      </c>
      <c r="Z807">
        <v>-0.78642831806525804</v>
      </c>
      <c r="AA807">
        <v>-1.3830773108541501</v>
      </c>
      <c r="AB807">
        <v>1910</v>
      </c>
      <c r="AC807">
        <v>4</v>
      </c>
      <c r="AD807">
        <v>0</v>
      </c>
      <c r="AE807">
        <v>3.4620335695619099E-2</v>
      </c>
      <c r="AF807">
        <v>0.93225935483134204</v>
      </c>
      <c r="AG807">
        <v>9.8591830076708395E-2</v>
      </c>
      <c r="AH807">
        <v>0.54395988438315901</v>
      </c>
      <c r="AI807">
        <v>0.35061396181976101</v>
      </c>
      <c r="AJ807">
        <v>0.29396082854934502</v>
      </c>
      <c r="AK807">
        <v>42.698529999999998</v>
      </c>
      <c r="AL807">
        <v>2.8953120000000001</v>
      </c>
      <c r="AM807">
        <v>48.856372813999997</v>
      </c>
      <c r="AN807">
        <v>2.3525296170000001</v>
      </c>
    </row>
    <row r="808" spans="1:40" x14ac:dyDescent="0.35">
      <c r="A808">
        <v>1005</v>
      </c>
      <c r="B808">
        <v>42</v>
      </c>
      <c r="C808" t="s">
        <v>40</v>
      </c>
      <c r="D808" t="s">
        <v>66</v>
      </c>
      <c r="E808" t="s">
        <v>42</v>
      </c>
      <c r="F808" t="s">
        <v>43</v>
      </c>
      <c r="G808">
        <v>6</v>
      </c>
      <c r="H808">
        <v>36</v>
      </c>
      <c r="I808">
        <v>4</v>
      </c>
      <c r="J808" t="s">
        <v>56</v>
      </c>
      <c r="K808" t="s">
        <v>46</v>
      </c>
      <c r="L808" t="s">
        <v>58</v>
      </c>
      <c r="M808">
        <v>470.20785645571289</v>
      </c>
      <c r="N808">
        <v>566</v>
      </c>
      <c r="O808">
        <v>409</v>
      </c>
      <c r="P808">
        <v>222</v>
      </c>
      <c r="Q808">
        <v>3.2580965380214821</v>
      </c>
      <c r="R808">
        <v>2.8903717578961645</v>
      </c>
      <c r="S808">
        <v>4.7535901911063645</v>
      </c>
      <c r="T808">
        <v>90.794285714285706</v>
      </c>
      <c r="U808">
        <v>0</v>
      </c>
      <c r="V808">
        <v>0.63905639120027702</v>
      </c>
      <c r="W808">
        <v>0.692565001186083</v>
      </c>
      <c r="X808">
        <v>0.56469097254324596</v>
      </c>
      <c r="Y808">
        <v>1.4483117406157899</v>
      </c>
      <c r="Z808">
        <v>1.7680602694732599</v>
      </c>
      <c r="AA808">
        <v>0.26366440732357699</v>
      </c>
      <c r="AB808">
        <v>4236</v>
      </c>
      <c r="AC808">
        <v>0</v>
      </c>
      <c r="AD808">
        <v>4</v>
      </c>
      <c r="AE808">
        <v>1.6751267091712101</v>
      </c>
      <c r="AF808">
        <v>-1.0766286136687999</v>
      </c>
      <c r="AG808">
        <v>-0.18526321798899301</v>
      </c>
      <c r="AH808">
        <v>-1.0400673112150201</v>
      </c>
      <c r="AI808">
        <v>-0.38868715589156999</v>
      </c>
      <c r="AJ808">
        <v>0.13609306277265301</v>
      </c>
      <c r="AK808">
        <v>45.198478000000001</v>
      </c>
      <c r="AL808">
        <v>-0.74874399999999997</v>
      </c>
      <c r="AM808">
        <v>48.856372813999997</v>
      </c>
      <c r="AN808">
        <v>2.3525296170000001</v>
      </c>
    </row>
    <row r="809" spans="1:40" x14ac:dyDescent="0.35">
      <c r="A809">
        <v>1006</v>
      </c>
      <c r="B809">
        <v>57</v>
      </c>
      <c r="C809" t="s">
        <v>40</v>
      </c>
      <c r="D809" t="s">
        <v>52</v>
      </c>
      <c r="E809" t="s">
        <v>42</v>
      </c>
      <c r="F809" t="s">
        <v>49</v>
      </c>
      <c r="G809">
        <v>2</v>
      </c>
      <c r="H809">
        <v>4</v>
      </c>
      <c r="I809">
        <v>3</v>
      </c>
      <c r="J809" t="s">
        <v>56</v>
      </c>
      <c r="K809" t="s">
        <v>46</v>
      </c>
      <c r="L809" t="s">
        <v>60</v>
      </c>
      <c r="M809">
        <v>562.05623276858591</v>
      </c>
      <c r="N809">
        <v>692</v>
      </c>
      <c r="O809">
        <v>443</v>
      </c>
      <c r="P809">
        <v>291</v>
      </c>
      <c r="Q809">
        <v>3.8501476017100584</v>
      </c>
      <c r="R809">
        <v>2.9957322735539909</v>
      </c>
      <c r="S809">
        <v>5.4424177105217932</v>
      </c>
      <c r="T809">
        <v>88.975873222691746</v>
      </c>
      <c r="U809">
        <v>2.5514539469641888</v>
      </c>
      <c r="V809">
        <v>2.9336799326863701</v>
      </c>
      <c r="W809">
        <v>3.3730943146768602</v>
      </c>
      <c r="X809">
        <v>3.6072071704345601</v>
      </c>
      <c r="Y809">
        <v>-0.19189497559235799</v>
      </c>
      <c r="Z809">
        <v>0.17569111512999699</v>
      </c>
      <c r="AA809">
        <v>-0.304970615080496</v>
      </c>
      <c r="AB809">
        <v>1906.836709612184</v>
      </c>
      <c r="AC809">
        <v>0.7978420820676605</v>
      </c>
      <c r="AD809">
        <v>2.1056638128240834</v>
      </c>
      <c r="AE809">
        <v>-0.25037207080954499</v>
      </c>
      <c r="AF809">
        <v>0.14852917484473699</v>
      </c>
      <c r="AG809">
        <v>-0.75807230575652096</v>
      </c>
      <c r="AH809">
        <v>0.622754280789517</v>
      </c>
      <c r="AI809">
        <v>-1.19897742375274</v>
      </c>
      <c r="AJ809">
        <v>-0.67950737647124604</v>
      </c>
      <c r="AK809">
        <v>44.055988999999997</v>
      </c>
      <c r="AL809">
        <v>4.8317350000000001</v>
      </c>
      <c r="AM809">
        <v>48.808999999999997</v>
      </c>
      <c r="AN809">
        <v>2.3570000000000002</v>
      </c>
    </row>
    <row r="810" spans="1:40" x14ac:dyDescent="0.35">
      <c r="A810">
        <v>1007</v>
      </c>
      <c r="B810">
        <v>29.5</v>
      </c>
      <c r="C810" t="s">
        <v>48</v>
      </c>
      <c r="D810" t="s">
        <v>41</v>
      </c>
      <c r="E810" t="s">
        <v>42</v>
      </c>
      <c r="F810" t="s">
        <v>49</v>
      </c>
      <c r="G810">
        <v>4</v>
      </c>
      <c r="H810">
        <v>16</v>
      </c>
      <c r="I810">
        <v>4</v>
      </c>
      <c r="J810" t="s">
        <v>56</v>
      </c>
      <c r="K810" t="s">
        <v>46</v>
      </c>
      <c r="L810" t="s">
        <v>72</v>
      </c>
      <c r="M810">
        <v>492.64404854898049</v>
      </c>
      <c r="N810">
        <v>576</v>
      </c>
      <c r="O810">
        <v>361</v>
      </c>
      <c r="P810">
        <v>326</v>
      </c>
      <c r="Q810">
        <v>0.69314718055994529</v>
      </c>
      <c r="R810">
        <v>1.3862943611198906</v>
      </c>
      <c r="S810">
        <v>4.5538768916005408</v>
      </c>
      <c r="T810">
        <v>89.340161030595823</v>
      </c>
      <c r="U810">
        <v>1.4712304197281412</v>
      </c>
      <c r="V810">
        <v>0.59716251398508702</v>
      </c>
      <c r="W810">
        <v>0.91068296986709796</v>
      </c>
      <c r="X810">
        <v>1.2273243988355</v>
      </c>
      <c r="Y810">
        <v>-0.4121809470949</v>
      </c>
      <c r="Z810">
        <v>-0.86472582726521097</v>
      </c>
      <c r="AA810">
        <v>-1.0172779374790899</v>
      </c>
      <c r="AB810">
        <v>1828.1689246701658</v>
      </c>
      <c r="AC810">
        <v>1.1127464888636687</v>
      </c>
      <c r="AD810">
        <v>1.8630656830756136</v>
      </c>
      <c r="AE810">
        <v>-0.53926882203722504</v>
      </c>
      <c r="AF810">
        <v>0.74366694601962102</v>
      </c>
      <c r="AG810">
        <v>-1.9074439392503599</v>
      </c>
      <c r="AH810">
        <v>0.38428185602081599</v>
      </c>
      <c r="AI810">
        <v>0.55243019645671898</v>
      </c>
      <c r="AJ810">
        <v>1.0771076230905501</v>
      </c>
      <c r="AK810">
        <v>44.503641999999999</v>
      </c>
      <c r="AL810">
        <v>1.1863669999999999</v>
      </c>
      <c r="AM810">
        <v>48.856372813999997</v>
      </c>
      <c r="AN810">
        <v>2.3525296170000001</v>
      </c>
    </row>
    <row r="811" spans="1:40" x14ac:dyDescent="0.35">
      <c r="A811">
        <v>1011</v>
      </c>
      <c r="B811">
        <v>57</v>
      </c>
      <c r="C811" t="s">
        <v>48</v>
      </c>
      <c r="D811" t="s">
        <v>41</v>
      </c>
      <c r="E811" t="s">
        <v>42</v>
      </c>
      <c r="F811" t="s">
        <v>49</v>
      </c>
      <c r="G811">
        <v>5</v>
      </c>
      <c r="H811">
        <v>25</v>
      </c>
      <c r="I811">
        <v>3</v>
      </c>
      <c r="J811" t="s">
        <v>56</v>
      </c>
      <c r="K811" t="s">
        <v>46</v>
      </c>
      <c r="L811" t="s">
        <v>51</v>
      </c>
      <c r="M811">
        <v>189.19064568666951</v>
      </c>
      <c r="N811">
        <v>195</v>
      </c>
      <c r="O811">
        <v>160</v>
      </c>
      <c r="P811">
        <v>397</v>
      </c>
      <c r="Q811">
        <v>0</v>
      </c>
      <c r="R811">
        <v>1.3862943611198906</v>
      </c>
      <c r="S811">
        <v>4.3438054218536841</v>
      </c>
      <c r="T811">
        <v>91.16</v>
      </c>
      <c r="U811">
        <v>2.3174698847378039</v>
      </c>
      <c r="V811">
        <v>-0.58471966768986094</v>
      </c>
      <c r="W811">
        <v>-0.55557078097057</v>
      </c>
      <c r="X811">
        <v>-0.47566183223429498</v>
      </c>
      <c r="Y811">
        <v>-0.95884680312505799</v>
      </c>
      <c r="Z811">
        <v>-0.76521334103430205</v>
      </c>
      <c r="AA811">
        <v>-0.77245900699560299</v>
      </c>
      <c r="AB811">
        <v>1376</v>
      </c>
      <c r="AC811">
        <v>0</v>
      </c>
      <c r="AD811">
        <v>2</v>
      </c>
      <c r="AE811">
        <v>-1.2769936012368599</v>
      </c>
      <c r="AF811">
        <v>0.19600234360320901</v>
      </c>
      <c r="AG811">
        <v>6.3103425916770498E-2</v>
      </c>
      <c r="AH811">
        <v>-2.0108519509501502E-2</v>
      </c>
      <c r="AI811">
        <v>1.4836044289928401</v>
      </c>
      <c r="AJ811">
        <v>0.76193534118230599</v>
      </c>
      <c r="AK811">
        <v>47.815207299999997</v>
      </c>
      <c r="AL811">
        <v>3.8001657</v>
      </c>
      <c r="AM811">
        <v>46.323999999999998</v>
      </c>
      <c r="AN811">
        <v>2.6029999999999998</v>
      </c>
    </row>
    <row r="812" spans="1:40" x14ac:dyDescent="0.35">
      <c r="A812">
        <v>1012</v>
      </c>
      <c r="B812">
        <v>57</v>
      </c>
      <c r="C812" t="s">
        <v>40</v>
      </c>
      <c r="D812" t="s">
        <v>52</v>
      </c>
      <c r="E812" t="s">
        <v>42</v>
      </c>
      <c r="F812" t="s">
        <v>49</v>
      </c>
      <c r="G812">
        <v>6</v>
      </c>
      <c r="H812">
        <v>36</v>
      </c>
      <c r="I812">
        <v>6</v>
      </c>
      <c r="J812" t="s">
        <v>50</v>
      </c>
      <c r="K812" t="s">
        <v>46</v>
      </c>
      <c r="L812" t="s">
        <v>47</v>
      </c>
      <c r="M812">
        <v>595.39598890968568</v>
      </c>
      <c r="N812">
        <v>725</v>
      </c>
      <c r="O812">
        <v>438</v>
      </c>
      <c r="P812">
        <v>332</v>
      </c>
      <c r="Q812">
        <v>5.9107966440405271</v>
      </c>
      <c r="R812">
        <v>6.4997870406558542</v>
      </c>
      <c r="S812">
        <v>8.6415324656718457</v>
      </c>
      <c r="T812">
        <v>89.265350482850479</v>
      </c>
      <c r="U812">
        <v>1.4417786561042019</v>
      </c>
      <c r="V812">
        <v>-0.22886708829074301</v>
      </c>
      <c r="W812">
        <v>0.28745285629339301</v>
      </c>
      <c r="X812">
        <v>-0.15627425222847</v>
      </c>
      <c r="Y812">
        <v>1.45226138127617</v>
      </c>
      <c r="Z812">
        <v>0.98247225355557</v>
      </c>
      <c r="AA812">
        <v>0.627775520474398</v>
      </c>
      <c r="AB812">
        <v>3362.2959371744532</v>
      </c>
      <c r="AC812">
        <v>2.8998317172850387</v>
      </c>
      <c r="AD812">
        <v>2.9499158586425196</v>
      </c>
      <c r="AE812">
        <v>1.06273170356322</v>
      </c>
      <c r="AF812">
        <v>0.74297686177690703</v>
      </c>
      <c r="AG812">
        <v>-1.13087511740311</v>
      </c>
      <c r="AH812">
        <v>0.71544172997248101</v>
      </c>
      <c r="AI812">
        <v>1.47546598940074</v>
      </c>
      <c r="AJ812">
        <v>-0.64178081317139102</v>
      </c>
      <c r="AK812">
        <v>43.3535629403058</v>
      </c>
      <c r="AL812">
        <v>3.21615314793977</v>
      </c>
      <c r="AM812">
        <v>48.641999999999996</v>
      </c>
      <c r="AN812">
        <v>2.0634999999999999</v>
      </c>
    </row>
    <row r="813" spans="1:40" x14ac:dyDescent="0.35">
      <c r="A813">
        <v>1013</v>
      </c>
      <c r="B813">
        <v>42</v>
      </c>
      <c r="C813" t="s">
        <v>40</v>
      </c>
      <c r="D813" t="s">
        <v>41</v>
      </c>
      <c r="E813" t="s">
        <v>42</v>
      </c>
      <c r="F813" t="s">
        <v>49</v>
      </c>
      <c r="G813">
        <v>5</v>
      </c>
      <c r="H813">
        <v>25</v>
      </c>
      <c r="I813">
        <v>6</v>
      </c>
      <c r="J813" t="s">
        <v>50</v>
      </c>
      <c r="K813" t="s">
        <v>46</v>
      </c>
      <c r="L813" t="s">
        <v>65</v>
      </c>
      <c r="M813">
        <v>57.981228830090849</v>
      </c>
      <c r="N813">
        <v>85</v>
      </c>
      <c r="O813">
        <v>55</v>
      </c>
      <c r="P813">
        <v>80</v>
      </c>
      <c r="Q813">
        <v>0</v>
      </c>
      <c r="R813">
        <v>0</v>
      </c>
      <c r="S813">
        <v>4.4543472962535073</v>
      </c>
      <c r="T813">
        <v>89.333044733044744</v>
      </c>
      <c r="U813">
        <v>1.2554235437523662</v>
      </c>
      <c r="V813">
        <v>1.64975517953679</v>
      </c>
      <c r="W813">
        <v>2.4220969657957299</v>
      </c>
      <c r="X813">
        <v>1.68128863126442</v>
      </c>
      <c r="Y813">
        <v>2.0553398017137301</v>
      </c>
      <c r="Z813">
        <v>2.0921400018840099</v>
      </c>
      <c r="AA813">
        <v>2.0596698968962701</v>
      </c>
      <c r="AB813">
        <v>3262.71</v>
      </c>
      <c r="AC813">
        <v>0.33</v>
      </c>
      <c r="AD813">
        <v>0.66</v>
      </c>
      <c r="AE813">
        <v>1.9221838973381</v>
      </c>
      <c r="AF813">
        <v>0.42546962854118903</v>
      </c>
      <c r="AG813">
        <v>-0.44707088597255901</v>
      </c>
      <c r="AH813">
        <v>0.34725716838813098</v>
      </c>
      <c r="AI813">
        <v>-0.19669327456800573</v>
      </c>
      <c r="AJ813">
        <v>1.9812201047878915</v>
      </c>
      <c r="AK813">
        <v>43.537466000000002</v>
      </c>
      <c r="AL813">
        <v>6.4627330000000001</v>
      </c>
      <c r="AM813">
        <v>43.494</v>
      </c>
      <c r="AN813">
        <v>5.7469999999999999</v>
      </c>
    </row>
    <row r="814" spans="1:40" x14ac:dyDescent="0.35">
      <c r="A814">
        <v>1014</v>
      </c>
      <c r="B814">
        <v>42</v>
      </c>
      <c r="C814" t="s">
        <v>40</v>
      </c>
      <c r="D814" t="s">
        <v>41</v>
      </c>
      <c r="E814" t="s">
        <v>42</v>
      </c>
      <c r="F814" t="s">
        <v>43</v>
      </c>
      <c r="G814">
        <v>5</v>
      </c>
      <c r="H814">
        <v>25</v>
      </c>
      <c r="I814">
        <v>3</v>
      </c>
      <c r="J814" t="s">
        <v>56</v>
      </c>
      <c r="K814" t="s">
        <v>46</v>
      </c>
      <c r="L814" t="s">
        <v>67</v>
      </c>
      <c r="M814">
        <v>339.69553627211502</v>
      </c>
      <c r="N814">
        <v>396</v>
      </c>
      <c r="O814">
        <v>210</v>
      </c>
      <c r="P814">
        <v>90</v>
      </c>
      <c r="Q814">
        <v>0</v>
      </c>
      <c r="R814">
        <v>1.0986122886681098</v>
      </c>
      <c r="S814">
        <v>4.499809670330265</v>
      </c>
      <c r="T814">
        <v>90.053710317460329</v>
      </c>
      <c r="U814">
        <v>1.5728028449904734</v>
      </c>
      <c r="V814">
        <v>-0.577850340007529</v>
      </c>
      <c r="W814">
        <v>-0.32460727773589898</v>
      </c>
      <c r="X814">
        <v>-0.54369568891204501</v>
      </c>
      <c r="Y814">
        <v>-0.77598924050104101</v>
      </c>
      <c r="Z814">
        <v>0.47668876811384397</v>
      </c>
      <c r="AA814">
        <v>0.85617757356637403</v>
      </c>
      <c r="AB814">
        <v>2565</v>
      </c>
      <c r="AC814">
        <v>1</v>
      </c>
      <c r="AD814">
        <v>0</v>
      </c>
      <c r="AE814">
        <v>-0.72514205471140702</v>
      </c>
      <c r="AF814">
        <v>-1.3074940320947701</v>
      </c>
      <c r="AG814">
        <v>1.1085796901674601</v>
      </c>
      <c r="AH814">
        <v>-6.7631311540677794E-2</v>
      </c>
      <c r="AI814">
        <v>0.86788108216041604</v>
      </c>
      <c r="AJ814">
        <v>0.32619254366557898</v>
      </c>
      <c r="AK814">
        <v>46.303668000000002</v>
      </c>
      <c r="AL814">
        <v>4.8322269999999996</v>
      </c>
      <c r="AM814">
        <v>48.856372813999997</v>
      </c>
      <c r="AN814">
        <v>2.3525296170000001</v>
      </c>
    </row>
    <row r="815" spans="1:40" x14ac:dyDescent="0.35">
      <c r="A815">
        <v>1015</v>
      </c>
      <c r="B815">
        <v>42</v>
      </c>
      <c r="C815" t="s">
        <v>40</v>
      </c>
      <c r="D815" t="s">
        <v>66</v>
      </c>
      <c r="E815" t="s">
        <v>42</v>
      </c>
      <c r="F815" t="s">
        <v>43</v>
      </c>
      <c r="G815">
        <v>5</v>
      </c>
      <c r="H815">
        <v>25</v>
      </c>
      <c r="I815">
        <v>5</v>
      </c>
      <c r="J815" t="s">
        <v>56</v>
      </c>
      <c r="K815" t="s">
        <v>46</v>
      </c>
      <c r="L815" t="s">
        <v>60</v>
      </c>
      <c r="M815">
        <v>560.94059448933501</v>
      </c>
      <c r="N815">
        <v>692</v>
      </c>
      <c r="O815">
        <v>443</v>
      </c>
      <c r="P815">
        <v>291</v>
      </c>
      <c r="Q815">
        <v>3.8501476017100584</v>
      </c>
      <c r="R815">
        <v>2.9957322735539909</v>
      </c>
      <c r="S815">
        <v>5.4424177105217932</v>
      </c>
      <c r="T815">
        <v>88.975873222691746</v>
      </c>
      <c r="U815">
        <v>2.5514539469641888</v>
      </c>
      <c r="V815">
        <v>2.9336799326863701</v>
      </c>
      <c r="W815">
        <v>3.3730943146768602</v>
      </c>
      <c r="X815">
        <v>3.6072071704345601</v>
      </c>
      <c r="Y815">
        <v>-0.19189497559235799</v>
      </c>
      <c r="Z815">
        <v>0.17569111512999699</v>
      </c>
      <c r="AA815">
        <v>-0.304970615080496</v>
      </c>
      <c r="AB815">
        <v>1906.836709612184</v>
      </c>
      <c r="AC815">
        <v>0.7978420820676605</v>
      </c>
      <c r="AD815">
        <v>2.1056638128240834</v>
      </c>
      <c r="AE815">
        <v>-0.25037207080954499</v>
      </c>
      <c r="AF815">
        <v>0.21055581957904099</v>
      </c>
      <c r="AG815">
        <v>0.99714980569888401</v>
      </c>
      <c r="AH815">
        <v>-9.1695132570514495E-2</v>
      </c>
      <c r="AI815">
        <v>0.68699141646883999</v>
      </c>
      <c r="AJ815">
        <v>0.69764233013138099</v>
      </c>
      <c r="AK815">
        <v>44.055988999999997</v>
      </c>
      <c r="AL815">
        <v>4.8317350000000001</v>
      </c>
      <c r="AM815">
        <v>48.838000000000001</v>
      </c>
      <c r="AN815">
        <v>2.5230000000000001</v>
      </c>
    </row>
    <row r="816" spans="1:40" x14ac:dyDescent="0.35">
      <c r="A816">
        <v>1016</v>
      </c>
      <c r="B816">
        <v>42</v>
      </c>
      <c r="C816" t="s">
        <v>48</v>
      </c>
      <c r="D816" t="s">
        <v>41</v>
      </c>
      <c r="E816" t="s">
        <v>42</v>
      </c>
      <c r="F816" t="s">
        <v>49</v>
      </c>
      <c r="G816">
        <v>5</v>
      </c>
      <c r="H816">
        <v>25</v>
      </c>
      <c r="I816">
        <v>6</v>
      </c>
      <c r="J816" t="s">
        <v>45</v>
      </c>
      <c r="K816" t="s">
        <v>44</v>
      </c>
      <c r="L816" t="s">
        <v>71</v>
      </c>
      <c r="M816">
        <v>461.63476637503351</v>
      </c>
      <c r="N816">
        <v>423</v>
      </c>
      <c r="O816">
        <v>220</v>
      </c>
      <c r="P816">
        <v>168</v>
      </c>
      <c r="Q816">
        <v>4.5747109785033828</v>
      </c>
      <c r="R816">
        <v>3.5263605246161616</v>
      </c>
      <c r="S816">
        <v>5.1416635565026603</v>
      </c>
      <c r="T816">
        <v>92.265120976563693</v>
      </c>
      <c r="U816">
        <v>2.9351954657362995</v>
      </c>
      <c r="V816">
        <v>-8.3509539921858403E-2</v>
      </c>
      <c r="W816">
        <v>-8.6188355584626702E-2</v>
      </c>
      <c r="X816">
        <v>-6.2117403422328299E-2</v>
      </c>
      <c r="Y816">
        <v>-0.51135009403950604</v>
      </c>
      <c r="Z816">
        <v>-0.669554030021006</v>
      </c>
      <c r="AA816">
        <v>-1.4915282051312999</v>
      </c>
      <c r="AB816">
        <v>1813.5248996931791</v>
      </c>
      <c r="AC816">
        <v>1.6535284399339156</v>
      </c>
      <c r="AD816">
        <v>0.49421760679726223</v>
      </c>
      <c r="AE816">
        <v>-0.18520258641298501</v>
      </c>
      <c r="AF816">
        <v>0.33998507825763702</v>
      </c>
      <c r="AG816">
        <v>0.66428403841543504</v>
      </c>
      <c r="AH816">
        <v>0.53383667298593696</v>
      </c>
      <c r="AI816">
        <v>0.80074598986956103</v>
      </c>
      <c r="AJ816">
        <v>9.2951164937519107E-2</v>
      </c>
      <c r="AK816">
        <v>45.071283999999999</v>
      </c>
      <c r="AL816">
        <v>4.8370730000000002</v>
      </c>
      <c r="AM816">
        <v>48.856372813999997</v>
      </c>
      <c r="AN816">
        <v>2.3525296170000001</v>
      </c>
    </row>
    <row r="817" spans="1:40" x14ac:dyDescent="0.35">
      <c r="A817">
        <v>1017</v>
      </c>
      <c r="B817">
        <v>29.5</v>
      </c>
      <c r="C817" t="s">
        <v>40</v>
      </c>
      <c r="D817" t="s">
        <v>41</v>
      </c>
      <c r="E817" t="s">
        <v>42</v>
      </c>
      <c r="F817" t="s">
        <v>61</v>
      </c>
      <c r="G817">
        <v>5</v>
      </c>
      <c r="H817">
        <v>25</v>
      </c>
      <c r="I817">
        <v>5</v>
      </c>
      <c r="J817" t="s">
        <v>56</v>
      </c>
      <c r="K817" t="s">
        <v>46</v>
      </c>
      <c r="L817" t="s">
        <v>60</v>
      </c>
      <c r="M817">
        <v>567.10864805143422</v>
      </c>
      <c r="N817">
        <v>688</v>
      </c>
      <c r="O817">
        <v>466</v>
      </c>
      <c r="P817">
        <v>270</v>
      </c>
      <c r="Q817">
        <v>3.8501476017100584</v>
      </c>
      <c r="R817">
        <v>2.9957322735539909</v>
      </c>
      <c r="S817">
        <v>5.4424177105217932</v>
      </c>
      <c r="T817">
        <v>88.975873222691746</v>
      </c>
      <c r="U817">
        <v>2.5514539469641888</v>
      </c>
      <c r="V817">
        <v>2.9336799326863701</v>
      </c>
      <c r="W817">
        <v>3.3730943146768602</v>
      </c>
      <c r="X817">
        <v>3.6072071704345601</v>
      </c>
      <c r="Y817">
        <v>-0.19189497559235799</v>
      </c>
      <c r="Z817">
        <v>0.17569111512999699</v>
      </c>
      <c r="AA817">
        <v>-0.304970615080496</v>
      </c>
      <c r="AB817">
        <v>1906.836709612184</v>
      </c>
      <c r="AC817">
        <v>0.7978420820676605</v>
      </c>
      <c r="AD817">
        <v>2.1056638128240834</v>
      </c>
      <c r="AE817">
        <v>-0.25037207080954499</v>
      </c>
      <c r="AF817">
        <v>-0.77615506678331703</v>
      </c>
      <c r="AG817">
        <v>-0.161393997310744</v>
      </c>
      <c r="AH817">
        <v>-0.82006803451912402</v>
      </c>
      <c r="AI817">
        <v>-0.43612205794999698</v>
      </c>
      <c r="AJ817">
        <v>1.316174007029</v>
      </c>
      <c r="AK817">
        <v>44.055988999999997</v>
      </c>
      <c r="AL817">
        <v>4.8317350000000001</v>
      </c>
      <c r="AM817">
        <v>48.856372813999997</v>
      </c>
      <c r="AN817">
        <v>2.3525296170000001</v>
      </c>
    </row>
    <row r="818" spans="1:40" x14ac:dyDescent="0.35">
      <c r="A818">
        <v>1018</v>
      </c>
      <c r="B818">
        <v>57</v>
      </c>
      <c r="C818" t="s">
        <v>40</v>
      </c>
      <c r="D818" t="s">
        <v>66</v>
      </c>
      <c r="E818" t="s">
        <v>42</v>
      </c>
      <c r="F818" t="s">
        <v>49</v>
      </c>
      <c r="G818">
        <v>3</v>
      </c>
      <c r="H818">
        <v>9</v>
      </c>
      <c r="I818">
        <v>4</v>
      </c>
      <c r="J818" t="s">
        <v>56</v>
      </c>
      <c r="K818" t="s">
        <v>46</v>
      </c>
      <c r="L818" t="s">
        <v>71</v>
      </c>
      <c r="M818">
        <v>552.59435908242745</v>
      </c>
      <c r="N818">
        <v>513</v>
      </c>
      <c r="O818">
        <v>270</v>
      </c>
      <c r="P818">
        <v>257</v>
      </c>
      <c r="Q818">
        <v>4.5747109785033828</v>
      </c>
      <c r="R818">
        <v>3.5263605246161616</v>
      </c>
      <c r="S818">
        <v>5.1416635565026603</v>
      </c>
      <c r="T818">
        <v>92.265120976563693</v>
      </c>
      <c r="U818">
        <v>2.9351954657362995</v>
      </c>
      <c r="V818">
        <v>-8.3509539921858403E-2</v>
      </c>
      <c r="W818">
        <v>-8.6188355584626702E-2</v>
      </c>
      <c r="X818">
        <v>-6.2117403422328299E-2</v>
      </c>
      <c r="Y818">
        <v>-0.51135009403950604</v>
      </c>
      <c r="Z818">
        <v>-0.669554030021006</v>
      </c>
      <c r="AA818">
        <v>-1.4915282051312999</v>
      </c>
      <c r="AB818">
        <v>1813.5248996931791</v>
      </c>
      <c r="AC818">
        <v>1.6535284399339156</v>
      </c>
      <c r="AD818">
        <v>0.49421760679726223</v>
      </c>
      <c r="AE818">
        <v>-0.18520258641298501</v>
      </c>
      <c r="AF818">
        <v>0.38526952457975899</v>
      </c>
      <c r="AG818">
        <v>-0.25699640745977198</v>
      </c>
      <c r="AH818">
        <v>2.4205214898744297E-2</v>
      </c>
      <c r="AI818">
        <v>-0.59054392137939804</v>
      </c>
      <c r="AJ818">
        <v>-2.6614450108180998</v>
      </c>
      <c r="AK818">
        <v>45.071283999999999</v>
      </c>
      <c r="AL818">
        <v>4.8370730000000002</v>
      </c>
      <c r="AM818">
        <v>49.104923076923079</v>
      </c>
      <c r="AN818">
        <v>0.58315384615384613</v>
      </c>
    </row>
    <row r="819" spans="1:40" x14ac:dyDescent="0.35">
      <c r="A819">
        <v>1019</v>
      </c>
      <c r="B819">
        <v>29.5</v>
      </c>
      <c r="C819" t="s">
        <v>40</v>
      </c>
      <c r="D819" t="s">
        <v>41</v>
      </c>
      <c r="E819" t="s">
        <v>42</v>
      </c>
      <c r="F819" t="s">
        <v>49</v>
      </c>
      <c r="G819">
        <v>4</v>
      </c>
      <c r="H819">
        <v>16</v>
      </c>
      <c r="I819">
        <v>3</v>
      </c>
      <c r="J819" t="s">
        <v>50</v>
      </c>
      <c r="K819" t="s">
        <v>46</v>
      </c>
      <c r="L819" t="s">
        <v>77</v>
      </c>
      <c r="M819">
        <v>254.83832792951941</v>
      </c>
      <c r="N819">
        <v>327</v>
      </c>
      <c r="O819">
        <v>202</v>
      </c>
      <c r="P819">
        <v>166</v>
      </c>
      <c r="Q819">
        <v>0</v>
      </c>
      <c r="R819">
        <v>2.3978952727983707</v>
      </c>
      <c r="S819">
        <v>5.1416635565026603</v>
      </c>
      <c r="T819">
        <v>90.472417453603512</v>
      </c>
      <c r="U819">
        <v>2.7735735584863375</v>
      </c>
      <c r="V819">
        <v>-0.15231437986527399</v>
      </c>
      <c r="W819">
        <v>3.49635939345109E-2</v>
      </c>
      <c r="X819">
        <v>-0.19627808847033801</v>
      </c>
      <c r="Y819">
        <v>-0.57382446736590997</v>
      </c>
      <c r="Z819">
        <v>-0.74335605457542497</v>
      </c>
      <c r="AA819">
        <v>-0.53588051656191904</v>
      </c>
      <c r="AB819">
        <v>3937</v>
      </c>
      <c r="AC819">
        <v>0</v>
      </c>
      <c r="AD819">
        <v>1</v>
      </c>
      <c r="AE819">
        <v>-0.72244456620022002</v>
      </c>
      <c r="AF819">
        <v>-0.66151253921555497</v>
      </c>
      <c r="AG819">
        <v>0.73713001087002705</v>
      </c>
      <c r="AH819">
        <v>-0.325937080117911</v>
      </c>
      <c r="AI819">
        <v>0.31723001627901198</v>
      </c>
      <c r="AJ819">
        <v>0.16918931381876501</v>
      </c>
      <c r="AK819">
        <v>47.259622</v>
      </c>
      <c r="AL819">
        <v>-7.8518000000000004E-2</v>
      </c>
      <c r="AM819">
        <v>48.904000000000003</v>
      </c>
      <c r="AN819">
        <v>2.3060000000000005</v>
      </c>
    </row>
    <row r="820" spans="1:40" x14ac:dyDescent="0.35">
      <c r="A820">
        <v>1020</v>
      </c>
      <c r="B820">
        <v>72</v>
      </c>
      <c r="C820" t="s">
        <v>40</v>
      </c>
      <c r="D820" t="s">
        <v>41</v>
      </c>
      <c r="E820" t="s">
        <v>42</v>
      </c>
      <c r="F820" t="s">
        <v>49</v>
      </c>
      <c r="G820">
        <v>5</v>
      </c>
      <c r="H820">
        <v>25</v>
      </c>
      <c r="I820">
        <v>7</v>
      </c>
      <c r="J820" t="s">
        <v>50</v>
      </c>
      <c r="K820" t="s">
        <v>46</v>
      </c>
      <c r="L820" t="s">
        <v>65</v>
      </c>
      <c r="M820">
        <v>678.90454788596571</v>
      </c>
      <c r="N820">
        <v>884</v>
      </c>
      <c r="O820">
        <v>460</v>
      </c>
      <c r="P820">
        <v>345</v>
      </c>
      <c r="Q820">
        <v>0</v>
      </c>
      <c r="R820">
        <v>0</v>
      </c>
      <c r="S820">
        <v>4.4543472962535073</v>
      </c>
      <c r="T820">
        <v>89.333044733044744</v>
      </c>
      <c r="U820">
        <v>1.2554235437523662</v>
      </c>
      <c r="V820">
        <v>1.64975517953679</v>
      </c>
      <c r="W820">
        <v>2.4220969657957299</v>
      </c>
      <c r="X820">
        <v>1.68128863126442</v>
      </c>
      <c r="Y820">
        <v>2.0553398017137301</v>
      </c>
      <c r="Z820">
        <v>2.0921400018840099</v>
      </c>
      <c r="AA820">
        <v>2.0596698968962701</v>
      </c>
      <c r="AB820">
        <v>3262.71</v>
      </c>
      <c r="AC820">
        <v>0.33</v>
      </c>
      <c r="AD820">
        <v>0.66</v>
      </c>
      <c r="AE820">
        <v>1.9221838973381</v>
      </c>
      <c r="AF820">
        <v>1.2566991383035466</v>
      </c>
      <c r="AG820">
        <v>0.49178241755919661</v>
      </c>
      <c r="AH820">
        <v>0.57060711471538406</v>
      </c>
      <c r="AI820">
        <v>0.52091787171732296</v>
      </c>
      <c r="AJ820">
        <v>1.3622251846325</v>
      </c>
      <c r="AK820">
        <v>43.537466000000002</v>
      </c>
      <c r="AL820">
        <v>6.4627330000000001</v>
      </c>
      <c r="AM820">
        <v>48.869000000000014</v>
      </c>
      <c r="AN820">
        <v>2.177</v>
      </c>
    </row>
    <row r="821" spans="1:40" x14ac:dyDescent="0.35">
      <c r="A821">
        <v>1023</v>
      </c>
      <c r="B821">
        <v>57</v>
      </c>
      <c r="C821" t="s">
        <v>48</v>
      </c>
      <c r="D821" t="s">
        <v>41</v>
      </c>
      <c r="E821" t="s">
        <v>42</v>
      </c>
      <c r="F821" t="s">
        <v>61</v>
      </c>
      <c r="G821">
        <v>6</v>
      </c>
      <c r="H821">
        <v>36</v>
      </c>
      <c r="I821">
        <v>7</v>
      </c>
      <c r="J821" t="s">
        <v>50</v>
      </c>
      <c r="K821" t="s">
        <v>46</v>
      </c>
      <c r="L821" t="s">
        <v>60</v>
      </c>
      <c r="M821">
        <v>567.10864805143422</v>
      </c>
      <c r="N821">
        <v>688</v>
      </c>
      <c r="O821">
        <v>466</v>
      </c>
      <c r="P821">
        <v>270</v>
      </c>
      <c r="Q821">
        <v>3.8501476017100584</v>
      </c>
      <c r="R821">
        <v>2.9957322735539909</v>
      </c>
      <c r="S821">
        <v>5.4424177105217932</v>
      </c>
      <c r="T821">
        <v>88.975873222691746</v>
      </c>
      <c r="U821">
        <v>2.5514539469641888</v>
      </c>
      <c r="V821">
        <v>2.9336799326863701</v>
      </c>
      <c r="W821">
        <v>3.3730943146768602</v>
      </c>
      <c r="X821">
        <v>3.6072071704345601</v>
      </c>
      <c r="Y821">
        <v>-0.19189497559235799</v>
      </c>
      <c r="Z821">
        <v>0.17569111512999699</v>
      </c>
      <c r="AA821">
        <v>-0.304970615080496</v>
      </c>
      <c r="AB821">
        <v>1906.836709612184</v>
      </c>
      <c r="AC821">
        <v>0.7978420820676605</v>
      </c>
      <c r="AD821">
        <v>2.1056638128240834</v>
      </c>
      <c r="AE821">
        <v>-0.25037207080954499</v>
      </c>
      <c r="AF821">
        <v>-0.52741925463571404</v>
      </c>
      <c r="AG821">
        <v>0.87640673975076</v>
      </c>
      <c r="AH821">
        <v>0.76786968996947902</v>
      </c>
      <c r="AI821">
        <v>0.54167165569599096</v>
      </c>
      <c r="AJ821">
        <v>0.16306918119882799</v>
      </c>
      <c r="AK821">
        <v>44.055988999999997</v>
      </c>
      <c r="AL821">
        <v>4.8317350000000001</v>
      </c>
      <c r="AM821">
        <v>48.856372813999997</v>
      </c>
      <c r="AN821">
        <v>2.3525296170000001</v>
      </c>
    </row>
    <row r="822" spans="1:40" x14ac:dyDescent="0.35">
      <c r="A822">
        <v>1024</v>
      </c>
      <c r="B822">
        <v>72</v>
      </c>
      <c r="C822" t="s">
        <v>40</v>
      </c>
      <c r="D822" t="s">
        <v>52</v>
      </c>
      <c r="E822" t="s">
        <v>42</v>
      </c>
      <c r="F822" t="s">
        <v>49</v>
      </c>
      <c r="G822">
        <v>5</v>
      </c>
      <c r="H822">
        <v>25</v>
      </c>
      <c r="I822">
        <v>5</v>
      </c>
      <c r="J822" t="s">
        <v>50</v>
      </c>
      <c r="K822" t="s">
        <v>46</v>
      </c>
      <c r="L822" t="s">
        <v>67</v>
      </c>
      <c r="M822">
        <v>144.58261377347071</v>
      </c>
      <c r="N822">
        <v>208</v>
      </c>
      <c r="O822">
        <v>120</v>
      </c>
      <c r="P822">
        <v>193</v>
      </c>
      <c r="Q822">
        <v>0</v>
      </c>
      <c r="R822">
        <v>1.0986122886681098</v>
      </c>
      <c r="S822">
        <v>4.499809670330265</v>
      </c>
      <c r="T822">
        <v>90.053710317460329</v>
      </c>
      <c r="U822">
        <v>1.5728028449904734</v>
      </c>
      <c r="V822">
        <v>-0.577850340007529</v>
      </c>
      <c r="W822">
        <v>-0.32460727773589898</v>
      </c>
      <c r="X822">
        <v>-0.54369568891204501</v>
      </c>
      <c r="Y822">
        <v>-0.77598924050104101</v>
      </c>
      <c r="Z822">
        <v>0.47668876811384397</v>
      </c>
      <c r="AA822">
        <v>0.85617757356637403</v>
      </c>
      <c r="AB822">
        <v>2565</v>
      </c>
      <c r="AC822">
        <v>1</v>
      </c>
      <c r="AD822">
        <v>0</v>
      </c>
      <c r="AE822">
        <v>-0.72514205471140702</v>
      </c>
      <c r="AF822">
        <v>-1.6975785379232</v>
      </c>
      <c r="AG822">
        <v>0.283238400692786</v>
      </c>
      <c r="AH822">
        <v>7.9738073474900903E-2</v>
      </c>
      <c r="AI822">
        <v>-0.84658284434670195</v>
      </c>
      <c r="AJ822">
        <v>8.9979670476195595E-2</v>
      </c>
      <c r="AK822">
        <v>46.303668000000002</v>
      </c>
      <c r="AL822">
        <v>4.8322269999999996</v>
      </c>
      <c r="AM822">
        <v>45.786000000000001</v>
      </c>
      <c r="AN822">
        <v>3.1160000000000001</v>
      </c>
    </row>
    <row r="823" spans="1:40" x14ac:dyDescent="0.35">
      <c r="A823">
        <v>1025</v>
      </c>
      <c r="B823">
        <v>72</v>
      </c>
      <c r="C823" t="s">
        <v>40</v>
      </c>
      <c r="D823" t="s">
        <v>52</v>
      </c>
      <c r="E823" t="s">
        <v>42</v>
      </c>
      <c r="F823" t="s">
        <v>49</v>
      </c>
      <c r="G823">
        <v>4</v>
      </c>
      <c r="H823">
        <v>16</v>
      </c>
      <c r="I823">
        <v>5</v>
      </c>
      <c r="J823" t="s">
        <v>56</v>
      </c>
      <c r="K823" t="s">
        <v>46</v>
      </c>
      <c r="L823" t="s">
        <v>76</v>
      </c>
      <c r="M823">
        <v>143.14993016233731</v>
      </c>
      <c r="N823">
        <v>166</v>
      </c>
      <c r="O823">
        <v>101</v>
      </c>
      <c r="P823">
        <v>183</v>
      </c>
      <c r="Q823">
        <v>0</v>
      </c>
      <c r="R823">
        <v>1.0986122886681098</v>
      </c>
      <c r="S823">
        <v>4.1588830833596715</v>
      </c>
      <c r="T823">
        <v>91.226666666666674</v>
      </c>
      <c r="U823">
        <v>1.418823059726001</v>
      </c>
      <c r="V823">
        <v>-0.39095273818515502</v>
      </c>
      <c r="W823">
        <v>-0.53446083104759001</v>
      </c>
      <c r="X823">
        <v>-0.40804429067029002</v>
      </c>
      <c r="Y823">
        <v>-0.56789545922357498</v>
      </c>
      <c r="Z823">
        <v>-0.94760790482486201</v>
      </c>
      <c r="AA823">
        <v>-1.0848673571571601</v>
      </c>
      <c r="AB823">
        <v>1770.5103102717287</v>
      </c>
      <c r="AC823">
        <v>0.28213528618230871</v>
      </c>
      <c r="AD823">
        <v>1.7130468298323378</v>
      </c>
      <c r="AE823">
        <v>-1.13486126839574</v>
      </c>
      <c r="AF823">
        <v>-1.8434191509069799</v>
      </c>
      <c r="AG823">
        <v>2.0311270521437699</v>
      </c>
      <c r="AH823">
        <v>-0.98383882556720303</v>
      </c>
      <c r="AI823">
        <v>-1.1299201896514599</v>
      </c>
      <c r="AJ823">
        <v>0.84850440109348801</v>
      </c>
      <c r="AK823">
        <v>47.330690599999997</v>
      </c>
      <c r="AL823">
        <v>2.8390453999999998</v>
      </c>
      <c r="AM823">
        <v>48.561599999999999</v>
      </c>
      <c r="AN823">
        <v>2.2833999999999999</v>
      </c>
    </row>
    <row r="824" spans="1:40" x14ac:dyDescent="0.35">
      <c r="A824">
        <v>1026</v>
      </c>
      <c r="B824">
        <v>72</v>
      </c>
      <c r="C824" t="s">
        <v>40</v>
      </c>
      <c r="D824" t="s">
        <v>52</v>
      </c>
      <c r="E824" t="s">
        <v>42</v>
      </c>
      <c r="F824" t="s">
        <v>49</v>
      </c>
      <c r="G824">
        <v>5</v>
      </c>
      <c r="H824">
        <v>25</v>
      </c>
      <c r="I824">
        <v>7</v>
      </c>
      <c r="J824" t="s">
        <v>56</v>
      </c>
      <c r="K824" t="s">
        <v>46</v>
      </c>
      <c r="L824" t="s">
        <v>65</v>
      </c>
      <c r="M824">
        <v>69.93879916916724</v>
      </c>
      <c r="N824">
        <v>85</v>
      </c>
      <c r="O824">
        <v>55</v>
      </c>
      <c r="P824">
        <v>80</v>
      </c>
      <c r="Q824">
        <v>0</v>
      </c>
      <c r="R824">
        <v>0</v>
      </c>
      <c r="S824">
        <v>4.4543472962535073</v>
      </c>
      <c r="T824">
        <v>89.333044733044744</v>
      </c>
      <c r="U824">
        <v>1.2554235437523662</v>
      </c>
      <c r="V824">
        <v>1.64975517953679</v>
      </c>
      <c r="W824">
        <v>2.4220969657957299</v>
      </c>
      <c r="X824">
        <v>1.68128863126442</v>
      </c>
      <c r="Y824">
        <v>2.0553398017137301</v>
      </c>
      <c r="Z824">
        <v>2.0921400018840099</v>
      </c>
      <c r="AA824">
        <v>2.0596698968962701</v>
      </c>
      <c r="AB824">
        <v>3262.71</v>
      </c>
      <c r="AC824">
        <v>0.33</v>
      </c>
      <c r="AD824">
        <v>0.66</v>
      </c>
      <c r="AE824">
        <v>1.9221838973381</v>
      </c>
      <c r="AF824">
        <v>1.2610778680483901</v>
      </c>
      <c r="AG824">
        <v>-1.73703294018054</v>
      </c>
      <c r="AH824">
        <v>0.108818918474837</v>
      </c>
      <c r="AI824">
        <v>0.959937422222228</v>
      </c>
      <c r="AJ824">
        <v>-0.99122249311073996</v>
      </c>
      <c r="AK824">
        <v>43.537466000000002</v>
      </c>
      <c r="AL824">
        <v>6.4627330000000001</v>
      </c>
      <c r="AM824">
        <v>43.137999999999998</v>
      </c>
      <c r="AN824">
        <v>5.7960000000000003</v>
      </c>
    </row>
    <row r="825" spans="1:40" x14ac:dyDescent="0.35">
      <c r="A825">
        <v>1027</v>
      </c>
      <c r="B825">
        <v>72</v>
      </c>
      <c r="C825" t="s">
        <v>40</v>
      </c>
      <c r="D825" t="s">
        <v>52</v>
      </c>
      <c r="E825" t="s">
        <v>42</v>
      </c>
      <c r="F825" t="s">
        <v>49</v>
      </c>
      <c r="G825">
        <v>6</v>
      </c>
      <c r="H825">
        <v>36</v>
      </c>
      <c r="I825">
        <v>6</v>
      </c>
      <c r="J825" t="s">
        <v>50</v>
      </c>
      <c r="K825" t="s">
        <v>46</v>
      </c>
      <c r="L825" t="s">
        <v>60</v>
      </c>
      <c r="M825">
        <v>562.21238676210771</v>
      </c>
      <c r="N825">
        <v>692</v>
      </c>
      <c r="O825">
        <v>443</v>
      </c>
      <c r="P825">
        <v>291</v>
      </c>
      <c r="Q825">
        <v>3.8501476017100584</v>
      </c>
      <c r="R825">
        <v>2.9957322735539909</v>
      </c>
      <c r="S825">
        <v>5.4424177105217932</v>
      </c>
      <c r="T825">
        <v>88.975873222691746</v>
      </c>
      <c r="U825">
        <v>2.5514539469641888</v>
      </c>
      <c r="V825">
        <v>2.9336799326863701</v>
      </c>
      <c r="W825">
        <v>3.3730943146768602</v>
      </c>
      <c r="X825">
        <v>3.6072071704345601</v>
      </c>
      <c r="Y825">
        <v>-0.19189497559235799</v>
      </c>
      <c r="Z825">
        <v>0.17569111512999699</v>
      </c>
      <c r="AA825">
        <v>-0.304970615080496</v>
      </c>
      <c r="AB825">
        <v>1906.836709612184</v>
      </c>
      <c r="AC825">
        <v>0.7978420820676605</v>
      </c>
      <c r="AD825">
        <v>2.1056638128240834</v>
      </c>
      <c r="AE825">
        <v>-0.25037207080954499</v>
      </c>
      <c r="AF825">
        <v>-0.53898205024782098</v>
      </c>
      <c r="AG825">
        <v>-0.70910942934806498</v>
      </c>
      <c r="AH825">
        <v>-1.09650723379183</v>
      </c>
      <c r="AI825">
        <v>-1.8241954061752299</v>
      </c>
      <c r="AJ825">
        <v>0.127731484105368</v>
      </c>
      <c r="AK825">
        <v>44.055988999999997</v>
      </c>
      <c r="AL825">
        <v>4.8317350000000001</v>
      </c>
      <c r="AM825">
        <v>48.823</v>
      </c>
      <c r="AN825">
        <v>2.4079999999999999</v>
      </c>
    </row>
    <row r="826" spans="1:40" x14ac:dyDescent="0.35">
      <c r="A826">
        <v>1028</v>
      </c>
      <c r="B826">
        <v>42</v>
      </c>
      <c r="C826" t="s">
        <v>48</v>
      </c>
      <c r="D826" t="s">
        <v>41</v>
      </c>
      <c r="E826" t="s">
        <v>42</v>
      </c>
      <c r="F826" t="s">
        <v>61</v>
      </c>
      <c r="G826">
        <v>4</v>
      </c>
      <c r="H826">
        <v>16</v>
      </c>
      <c r="I826">
        <v>6</v>
      </c>
      <c r="J826" t="s">
        <v>56</v>
      </c>
      <c r="K826" t="s">
        <v>46</v>
      </c>
      <c r="L826" t="s">
        <v>72</v>
      </c>
      <c r="M826">
        <v>494.11623352546331</v>
      </c>
      <c r="N826">
        <v>568</v>
      </c>
      <c r="O826">
        <v>346</v>
      </c>
      <c r="P826">
        <v>347</v>
      </c>
      <c r="Q826">
        <v>0.69314718055994529</v>
      </c>
      <c r="R826">
        <v>1.3862943611198906</v>
      </c>
      <c r="S826">
        <v>4.5538768916005408</v>
      </c>
      <c r="T826">
        <v>89.340161030595823</v>
      </c>
      <c r="U826">
        <v>1.4712304197281412</v>
      </c>
      <c r="V826">
        <v>0.59716251398508702</v>
      </c>
      <c r="W826">
        <v>0.91068296986709796</v>
      </c>
      <c r="X826">
        <v>1.2273243988355</v>
      </c>
      <c r="Y826">
        <v>-0.4121809470949</v>
      </c>
      <c r="Z826">
        <v>-0.86472582726521097</v>
      </c>
      <c r="AA826">
        <v>-1.0172779374790899</v>
      </c>
      <c r="AB826">
        <v>1828.1689246701658</v>
      </c>
      <c r="AC826">
        <v>1.1127464888636687</v>
      </c>
      <c r="AD826">
        <v>1.8630656830756136</v>
      </c>
      <c r="AE826">
        <v>-0.53926882203722504</v>
      </c>
      <c r="AF826">
        <v>-0.480478043092536</v>
      </c>
      <c r="AG826">
        <v>-2.3915193864979499E-2</v>
      </c>
      <c r="AH826">
        <v>1.1550541135148</v>
      </c>
      <c r="AI826">
        <v>0.77043712969068601</v>
      </c>
      <c r="AJ826">
        <v>-6.2187798382335298E-2</v>
      </c>
      <c r="AK826">
        <v>44.503641999999999</v>
      </c>
      <c r="AL826">
        <v>1.1863669999999999</v>
      </c>
      <c r="AM826">
        <v>48.898623800000003</v>
      </c>
      <c r="AN826">
        <v>2.0937264</v>
      </c>
    </row>
    <row r="827" spans="1:40" x14ac:dyDescent="0.35">
      <c r="A827">
        <v>1029</v>
      </c>
      <c r="B827">
        <v>72</v>
      </c>
      <c r="C827" t="s">
        <v>48</v>
      </c>
      <c r="D827" t="s">
        <v>52</v>
      </c>
      <c r="E827" t="s">
        <v>42</v>
      </c>
      <c r="F827" t="s">
        <v>49</v>
      </c>
      <c r="G827">
        <v>4</v>
      </c>
      <c r="H827">
        <v>16</v>
      </c>
      <c r="I827">
        <v>6</v>
      </c>
      <c r="J827" t="s">
        <v>50</v>
      </c>
      <c r="K827" t="s">
        <v>46</v>
      </c>
      <c r="L827" t="s">
        <v>51</v>
      </c>
      <c r="M827">
        <v>157.82131685425651</v>
      </c>
      <c r="N827">
        <v>184</v>
      </c>
      <c r="O827">
        <v>154</v>
      </c>
      <c r="P827">
        <v>161</v>
      </c>
      <c r="Q827">
        <v>0</v>
      </c>
      <c r="R827">
        <v>1.3862943611198906</v>
      </c>
      <c r="S827">
        <v>4.3438054218536841</v>
      </c>
      <c r="T827">
        <v>91.16</v>
      </c>
      <c r="U827">
        <v>2.3174698847378039</v>
      </c>
      <c r="V827">
        <v>-0.58471966768986094</v>
      </c>
      <c r="W827">
        <v>-0.55557078097057</v>
      </c>
      <c r="X827">
        <v>-0.47566183223429498</v>
      </c>
      <c r="Y827">
        <v>-0.95884680312505799</v>
      </c>
      <c r="Z827">
        <v>-0.76521334103430205</v>
      </c>
      <c r="AA827">
        <v>-0.77245900699560299</v>
      </c>
      <c r="AB827">
        <v>1376</v>
      </c>
      <c r="AC827">
        <v>0</v>
      </c>
      <c r="AD827">
        <v>2</v>
      </c>
      <c r="AE827">
        <v>-1.2769936012368599</v>
      </c>
      <c r="AF827">
        <v>0.68989449552140703</v>
      </c>
      <c r="AG827">
        <v>-3.9642821851757397E-3</v>
      </c>
      <c r="AH827">
        <v>-0.73251703495851395</v>
      </c>
      <c r="AI827">
        <v>0.77926021565297399</v>
      </c>
      <c r="AJ827">
        <v>-0.97769423582651305</v>
      </c>
      <c r="AK827">
        <v>47.815207299999997</v>
      </c>
      <c r="AL827">
        <v>3.8001657</v>
      </c>
      <c r="AM827">
        <v>48.856372813999997</v>
      </c>
      <c r="AN827">
        <v>2.3525296170000001</v>
      </c>
    </row>
    <row r="828" spans="1:40" x14ac:dyDescent="0.35">
      <c r="A828">
        <v>1030</v>
      </c>
      <c r="B828">
        <v>72</v>
      </c>
      <c r="C828" t="s">
        <v>40</v>
      </c>
      <c r="D828" t="s">
        <v>52</v>
      </c>
      <c r="E828" t="s">
        <v>42</v>
      </c>
      <c r="F828" t="s">
        <v>43</v>
      </c>
      <c r="G828">
        <v>6</v>
      </c>
      <c r="H828">
        <v>36</v>
      </c>
      <c r="I828">
        <v>4</v>
      </c>
      <c r="J828" t="s">
        <v>56</v>
      </c>
      <c r="K828" t="s">
        <v>46</v>
      </c>
      <c r="L828" t="s">
        <v>63</v>
      </c>
      <c r="M828">
        <v>457.21650487186241</v>
      </c>
      <c r="N828">
        <v>540</v>
      </c>
      <c r="O828">
        <v>280</v>
      </c>
      <c r="P828">
        <v>240</v>
      </c>
      <c r="Q828">
        <v>0</v>
      </c>
      <c r="R828">
        <v>0</v>
      </c>
      <c r="S828">
        <v>2.1972245773362196</v>
      </c>
      <c r="T828">
        <v>88.571764705882345</v>
      </c>
      <c r="U828">
        <v>1.0581645007873905</v>
      </c>
      <c r="V828">
        <v>-0.86345913794285001</v>
      </c>
      <c r="W828">
        <v>-0.82100750411685597</v>
      </c>
      <c r="X828">
        <v>-0.74332398245148801</v>
      </c>
      <c r="Y828">
        <v>1.4483117406157899</v>
      </c>
      <c r="Z828">
        <v>1.7680602694732599</v>
      </c>
      <c r="AA828">
        <v>0.26366440732357699</v>
      </c>
      <c r="AB828">
        <v>4236</v>
      </c>
      <c r="AC828">
        <v>0</v>
      </c>
      <c r="AD828">
        <v>4</v>
      </c>
      <c r="AE828">
        <v>1.6751267091712101</v>
      </c>
      <c r="AF828">
        <v>1.10707311681428</v>
      </c>
      <c r="AG828">
        <v>-0.30004015511944998</v>
      </c>
      <c r="AH828">
        <v>1.0406571105244899</v>
      </c>
      <c r="AI828">
        <v>1.3231566694469199</v>
      </c>
      <c r="AJ828">
        <v>0.86198364842400599</v>
      </c>
      <c r="AK828">
        <v>45.086143999999997</v>
      </c>
      <c r="AL828">
        <v>-0.60531999999999997</v>
      </c>
      <c r="AM828">
        <v>48.688499999999991</v>
      </c>
      <c r="AN828">
        <v>2.2837499999999995</v>
      </c>
    </row>
    <row r="829" spans="1:40" x14ac:dyDescent="0.35">
      <c r="A829">
        <v>1031</v>
      </c>
      <c r="B829">
        <v>29.5</v>
      </c>
      <c r="C829" t="s">
        <v>40</v>
      </c>
      <c r="D829" t="s">
        <v>41</v>
      </c>
      <c r="E829" t="s">
        <v>42</v>
      </c>
      <c r="F829" t="s">
        <v>49</v>
      </c>
      <c r="G829">
        <v>5</v>
      </c>
      <c r="H829">
        <v>25</v>
      </c>
      <c r="I829">
        <v>5</v>
      </c>
      <c r="J829" t="s">
        <v>56</v>
      </c>
      <c r="K829" t="s">
        <v>46</v>
      </c>
      <c r="L829" t="s">
        <v>47</v>
      </c>
      <c r="M829">
        <v>616.17410665584759</v>
      </c>
      <c r="N829">
        <v>757</v>
      </c>
      <c r="O829">
        <v>474</v>
      </c>
      <c r="P829">
        <v>309</v>
      </c>
      <c r="Q829">
        <v>5.9107966440405271</v>
      </c>
      <c r="R829">
        <v>6.4997870406558542</v>
      </c>
      <c r="S829">
        <v>8.6415324656718457</v>
      </c>
      <c r="T829">
        <v>89.265350482850479</v>
      </c>
      <c r="U829">
        <v>1.4417786561042019</v>
      </c>
      <c r="V829">
        <v>-0.22886708829074301</v>
      </c>
      <c r="W829">
        <v>0.28745285629339301</v>
      </c>
      <c r="X829">
        <v>-0.15627425222847</v>
      </c>
      <c r="Y829">
        <v>1.45226138127617</v>
      </c>
      <c r="Z829">
        <v>0.98247225355557</v>
      </c>
      <c r="AA829">
        <v>0.627775520474398</v>
      </c>
      <c r="AB829">
        <v>3362.2959371744532</v>
      </c>
      <c r="AC829">
        <v>2.8998317172850387</v>
      </c>
      <c r="AD829">
        <v>2.9499158586425196</v>
      </c>
      <c r="AE829">
        <v>1.06273170356322</v>
      </c>
      <c r="AF829">
        <v>1.3820342885744501</v>
      </c>
      <c r="AG829">
        <v>0.42160076439524002</v>
      </c>
      <c r="AH829">
        <v>0.101227562743695</v>
      </c>
      <c r="AI829">
        <v>1.162708909901</v>
      </c>
      <c r="AJ829">
        <v>0.96203195566570499</v>
      </c>
      <c r="AK829">
        <v>43.3535629403058</v>
      </c>
      <c r="AL829">
        <v>3.21615314793977</v>
      </c>
      <c r="AM829">
        <v>48.856372813999997</v>
      </c>
      <c r="AN829">
        <v>2.3525296170000001</v>
      </c>
    </row>
    <row r="830" spans="1:40" x14ac:dyDescent="0.35">
      <c r="A830">
        <v>1033</v>
      </c>
      <c r="B830">
        <v>72</v>
      </c>
      <c r="C830" t="s">
        <v>40</v>
      </c>
      <c r="D830" t="s">
        <v>52</v>
      </c>
      <c r="E830" t="s">
        <v>42</v>
      </c>
      <c r="F830" t="s">
        <v>49</v>
      </c>
      <c r="G830">
        <v>7</v>
      </c>
      <c r="H830">
        <v>49</v>
      </c>
      <c r="I830">
        <v>5</v>
      </c>
      <c r="J830" t="s">
        <v>50</v>
      </c>
      <c r="K830" t="s">
        <v>46</v>
      </c>
      <c r="L830" t="s">
        <v>51</v>
      </c>
      <c r="M830">
        <v>157.53603586009859</v>
      </c>
      <c r="N830">
        <v>200</v>
      </c>
      <c r="O830">
        <v>156</v>
      </c>
      <c r="P830">
        <v>190</v>
      </c>
      <c r="Q830">
        <v>0</v>
      </c>
      <c r="R830">
        <v>1.3862943611198906</v>
      </c>
      <c r="S830">
        <v>4.3438054218536841</v>
      </c>
      <c r="T830">
        <v>91.16</v>
      </c>
      <c r="U830">
        <v>2.3174698847378039</v>
      </c>
      <c r="V830">
        <v>-0.58471966768986094</v>
      </c>
      <c r="W830">
        <v>-0.55557078097057</v>
      </c>
      <c r="X830">
        <v>-0.47566183223429498</v>
      </c>
      <c r="Y830">
        <v>-0.95884680312505799</v>
      </c>
      <c r="Z830">
        <v>-0.76521334103430205</v>
      </c>
      <c r="AA830">
        <v>-0.77245900699560299</v>
      </c>
      <c r="AB830">
        <v>1376</v>
      </c>
      <c r="AC830">
        <v>0</v>
      </c>
      <c r="AD830">
        <v>2</v>
      </c>
      <c r="AE830">
        <v>-1.2769936012368599</v>
      </c>
      <c r="AF830">
        <v>0.78969203133714305</v>
      </c>
      <c r="AG830">
        <v>-0.18405317088227099</v>
      </c>
      <c r="AH830">
        <v>0.61311356425515295</v>
      </c>
      <c r="AI830">
        <v>0.84743917601476004</v>
      </c>
      <c r="AJ830">
        <v>0.597594022889681</v>
      </c>
      <c r="AK830">
        <v>47.815207299999997</v>
      </c>
      <c r="AL830">
        <v>3.8001657</v>
      </c>
      <c r="AM830">
        <v>48.817</v>
      </c>
      <c r="AN830">
        <v>2.2970000000000002</v>
      </c>
    </row>
    <row r="831" spans="1:40" x14ac:dyDescent="0.35">
      <c r="A831">
        <v>1034</v>
      </c>
      <c r="B831">
        <v>72</v>
      </c>
      <c r="C831" t="s">
        <v>40</v>
      </c>
      <c r="D831" t="s">
        <v>52</v>
      </c>
      <c r="E831" t="s">
        <v>42</v>
      </c>
      <c r="F831" t="s">
        <v>49</v>
      </c>
      <c r="G831">
        <v>5</v>
      </c>
      <c r="H831">
        <v>25</v>
      </c>
      <c r="I831">
        <v>4</v>
      </c>
      <c r="J831" t="s">
        <v>56</v>
      </c>
      <c r="K831" t="s">
        <v>46</v>
      </c>
      <c r="L831" t="s">
        <v>65</v>
      </c>
      <c r="M831">
        <v>682.90261093842491</v>
      </c>
      <c r="N831">
        <v>873</v>
      </c>
      <c r="O831">
        <v>450</v>
      </c>
      <c r="P831">
        <v>396</v>
      </c>
      <c r="Q831">
        <v>0</v>
      </c>
      <c r="R831">
        <v>0</v>
      </c>
      <c r="S831">
        <v>4.4543472962535073</v>
      </c>
      <c r="T831">
        <v>89.333044733044744</v>
      </c>
      <c r="U831">
        <v>1.2554235437523662</v>
      </c>
      <c r="V831">
        <v>1.64975517953679</v>
      </c>
      <c r="W831">
        <v>2.4220969657957299</v>
      </c>
      <c r="X831">
        <v>1.68128863126442</v>
      </c>
      <c r="Y831">
        <v>2.0553398017137301</v>
      </c>
      <c r="Z831">
        <v>2.0921400018840099</v>
      </c>
      <c r="AA831">
        <v>2.0596698968962701</v>
      </c>
      <c r="AB831">
        <v>3262.71</v>
      </c>
      <c r="AC831">
        <v>0.33</v>
      </c>
      <c r="AD831">
        <v>0.66</v>
      </c>
      <c r="AE831">
        <v>1.9221838973381</v>
      </c>
      <c r="AF831">
        <v>-1.1464990564017583</v>
      </c>
      <c r="AG831">
        <v>-0.70927231119657452</v>
      </c>
      <c r="AH831">
        <v>5.6864528119730268E-3</v>
      </c>
      <c r="AI831">
        <v>0.25146627594094101</v>
      </c>
      <c r="AJ831">
        <v>-0.36496037899931</v>
      </c>
      <c r="AK831">
        <v>43.537466000000002</v>
      </c>
      <c r="AL831">
        <v>6.4627330000000001</v>
      </c>
      <c r="AM831">
        <v>48.839500000000001</v>
      </c>
      <c r="AN831">
        <v>1.998</v>
      </c>
    </row>
    <row r="832" spans="1:40" x14ac:dyDescent="0.35">
      <c r="A832">
        <v>1035</v>
      </c>
      <c r="B832">
        <v>29.5</v>
      </c>
      <c r="C832" t="s">
        <v>40</v>
      </c>
      <c r="D832" t="s">
        <v>66</v>
      </c>
      <c r="E832" t="s">
        <v>42</v>
      </c>
      <c r="F832" t="s">
        <v>43</v>
      </c>
      <c r="G832">
        <v>5</v>
      </c>
      <c r="H832">
        <v>25</v>
      </c>
      <c r="I832">
        <v>4</v>
      </c>
      <c r="J832" t="s">
        <v>50</v>
      </c>
      <c r="K832" t="s">
        <v>46</v>
      </c>
      <c r="L832" t="s">
        <v>57</v>
      </c>
      <c r="M832">
        <v>203.684434204984</v>
      </c>
      <c r="N832">
        <v>263</v>
      </c>
      <c r="O832">
        <v>179</v>
      </c>
      <c r="P832">
        <v>127</v>
      </c>
      <c r="Q832">
        <v>0.69314718055994529</v>
      </c>
      <c r="R832">
        <v>3.6109179126442243</v>
      </c>
      <c r="S832">
        <v>5.8833223884882786</v>
      </c>
      <c r="T832">
        <v>90.922105263157903</v>
      </c>
      <c r="U832">
        <v>2.3923758041545438</v>
      </c>
      <c r="V832">
        <v>-0.399596989308249</v>
      </c>
      <c r="W832">
        <v>-0.58810405700346202</v>
      </c>
      <c r="X832">
        <v>-0.29041857108635599</v>
      </c>
      <c r="Y832">
        <v>-0.846122564821426</v>
      </c>
      <c r="Z832">
        <v>-0.92679578564836795</v>
      </c>
      <c r="AA832">
        <v>0.86332342905974202</v>
      </c>
      <c r="AB832">
        <v>2050</v>
      </c>
      <c r="AC832">
        <v>1</v>
      </c>
      <c r="AD832">
        <v>2</v>
      </c>
      <c r="AE832">
        <v>-0.51011828243844404</v>
      </c>
      <c r="AF832">
        <v>-2.2564518731718999</v>
      </c>
      <c r="AG832">
        <v>1.34618193831443</v>
      </c>
      <c r="AH832">
        <v>0.565858439713813</v>
      </c>
      <c r="AI832">
        <v>-7.9858628159485301E-2</v>
      </c>
      <c r="AJ832">
        <v>1.4072139431425199</v>
      </c>
      <c r="AK832">
        <v>47.023905999999997</v>
      </c>
      <c r="AL832">
        <v>4.8380429999999999</v>
      </c>
      <c r="AM832">
        <v>47.897833333333331</v>
      </c>
      <c r="AN832">
        <v>7.2159166666666676</v>
      </c>
    </row>
    <row r="833" spans="1:40" x14ac:dyDescent="0.35">
      <c r="A833">
        <v>1036</v>
      </c>
      <c r="B833">
        <v>57</v>
      </c>
      <c r="C833" t="s">
        <v>40</v>
      </c>
      <c r="D833" t="s">
        <v>41</v>
      </c>
      <c r="E833" t="s">
        <v>42</v>
      </c>
      <c r="F833" t="s">
        <v>49</v>
      </c>
      <c r="G833">
        <v>4</v>
      </c>
      <c r="H833">
        <v>16</v>
      </c>
      <c r="I833">
        <v>5</v>
      </c>
      <c r="J833" t="s">
        <v>50</v>
      </c>
      <c r="K833" t="s">
        <v>46</v>
      </c>
      <c r="L833" t="s">
        <v>72</v>
      </c>
      <c r="M833">
        <v>467.63355784305821</v>
      </c>
      <c r="N833">
        <v>602</v>
      </c>
      <c r="O833">
        <v>373</v>
      </c>
      <c r="P833">
        <v>226</v>
      </c>
      <c r="Q833">
        <v>0.69314718055994529</v>
      </c>
      <c r="R833">
        <v>1.3862943611198906</v>
      </c>
      <c r="S833">
        <v>4.5538768916005408</v>
      </c>
      <c r="T833">
        <v>89.340161030595823</v>
      </c>
      <c r="U833">
        <v>1.4712304197281412</v>
      </c>
      <c r="V833">
        <v>0.59716251398508702</v>
      </c>
      <c r="W833">
        <v>0.91068296986709796</v>
      </c>
      <c r="X833">
        <v>1.2273243988355</v>
      </c>
      <c r="Y833">
        <v>-0.4121809470949</v>
      </c>
      <c r="Z833">
        <v>-0.86472582726521097</v>
      </c>
      <c r="AA833">
        <v>-1.0172779374790899</v>
      </c>
      <c r="AB833">
        <v>1828.1689246701658</v>
      </c>
      <c r="AC833">
        <v>1.1127464888636687</v>
      </c>
      <c r="AD833">
        <v>1.8630656830756136</v>
      </c>
      <c r="AE833">
        <v>-0.53926882203722504</v>
      </c>
      <c r="AF833">
        <v>-1.1217763174581501</v>
      </c>
      <c r="AG833">
        <v>0.163354194412136</v>
      </c>
      <c r="AH833">
        <v>-0.42533417302990201</v>
      </c>
      <c r="AI833">
        <v>-0.88170534304959403</v>
      </c>
      <c r="AJ833">
        <v>0.28241812056873</v>
      </c>
      <c r="AK833">
        <v>44.853456999999999</v>
      </c>
      <c r="AL833">
        <v>0.48753099999999999</v>
      </c>
      <c r="AM833">
        <v>48.856372813999997</v>
      </c>
      <c r="AN833">
        <v>2.3525296170000001</v>
      </c>
    </row>
    <row r="834" spans="1:40" x14ac:dyDescent="0.35">
      <c r="A834">
        <v>1037</v>
      </c>
      <c r="B834">
        <v>72</v>
      </c>
      <c r="C834" t="s">
        <v>40</v>
      </c>
      <c r="D834" t="s">
        <v>52</v>
      </c>
      <c r="E834" t="s">
        <v>42</v>
      </c>
      <c r="F834" t="s">
        <v>49</v>
      </c>
      <c r="G834">
        <v>5</v>
      </c>
      <c r="H834">
        <v>25</v>
      </c>
      <c r="I834">
        <v>7</v>
      </c>
      <c r="J834" t="s">
        <v>50</v>
      </c>
      <c r="K834" t="s">
        <v>46</v>
      </c>
      <c r="L834" t="s">
        <v>62</v>
      </c>
      <c r="M834">
        <v>136.0449582485719</v>
      </c>
      <c r="N834">
        <v>166</v>
      </c>
      <c r="O834">
        <v>140</v>
      </c>
      <c r="P834">
        <v>165</v>
      </c>
      <c r="Q834">
        <v>0.69314718055994529</v>
      </c>
      <c r="R834">
        <v>3.2580965380214821</v>
      </c>
      <c r="S834">
        <v>3.2580965380214821</v>
      </c>
      <c r="T834">
        <v>95.68</v>
      </c>
      <c r="U834">
        <v>0</v>
      </c>
      <c r="V834">
        <v>1.82802042479695</v>
      </c>
      <c r="W834">
        <v>0.99424279543483596</v>
      </c>
      <c r="X834">
        <v>0.99177342203587404</v>
      </c>
      <c r="Y834">
        <v>-0.96278755162326501</v>
      </c>
      <c r="Z834">
        <v>-0.75605764486205096</v>
      </c>
      <c r="AA834">
        <v>-0.80037586101695801</v>
      </c>
      <c r="AB834">
        <v>2092.91</v>
      </c>
      <c r="AC834">
        <v>0</v>
      </c>
      <c r="AD834">
        <v>2.1</v>
      </c>
      <c r="AE834">
        <v>-1.0768626388726401</v>
      </c>
      <c r="AF834">
        <v>1.7215803474271301</v>
      </c>
      <c r="AG834">
        <v>-0.68073648957388799</v>
      </c>
      <c r="AH834">
        <v>0.94361938032299697</v>
      </c>
      <c r="AI834">
        <v>1.2738433821330899</v>
      </c>
      <c r="AJ834">
        <v>0.84701850293380998</v>
      </c>
      <c r="AK834">
        <v>49.042560999999999</v>
      </c>
      <c r="AL834">
        <v>3.9528660000000002</v>
      </c>
      <c r="AM834">
        <v>48.893999999999998</v>
      </c>
      <c r="AN834">
        <v>2.105</v>
      </c>
    </row>
    <row r="835" spans="1:40" x14ac:dyDescent="0.35">
      <c r="A835">
        <v>1038</v>
      </c>
      <c r="B835">
        <v>72</v>
      </c>
      <c r="C835" t="s">
        <v>40</v>
      </c>
      <c r="D835" t="s">
        <v>52</v>
      </c>
      <c r="E835" t="s">
        <v>42</v>
      </c>
      <c r="F835" t="s">
        <v>49</v>
      </c>
      <c r="G835">
        <v>5</v>
      </c>
      <c r="H835">
        <v>25</v>
      </c>
      <c r="I835">
        <v>7</v>
      </c>
      <c r="J835" t="s">
        <v>45</v>
      </c>
      <c r="K835" t="s">
        <v>46</v>
      </c>
      <c r="L835" t="s">
        <v>76</v>
      </c>
      <c r="M835">
        <v>173.64663678342501</v>
      </c>
      <c r="N835">
        <v>199</v>
      </c>
      <c r="O835">
        <v>141</v>
      </c>
      <c r="P835">
        <v>113</v>
      </c>
      <c r="Q835">
        <v>0</v>
      </c>
      <c r="R835">
        <v>1.0986122886681098</v>
      </c>
      <c r="S835">
        <v>4.1588830833596715</v>
      </c>
      <c r="T835">
        <v>91.226666666666674</v>
      </c>
      <c r="U835">
        <v>1.418823059726001</v>
      </c>
      <c r="V835">
        <v>-0.39095273818515502</v>
      </c>
      <c r="W835">
        <v>-0.53446083104759001</v>
      </c>
      <c r="X835">
        <v>-0.40804429067029002</v>
      </c>
      <c r="Y835">
        <v>-0.56789545922357498</v>
      </c>
      <c r="Z835">
        <v>-0.94760790482486201</v>
      </c>
      <c r="AA835">
        <v>-1.0848673571571601</v>
      </c>
      <c r="AB835">
        <v>1770.5103102717287</v>
      </c>
      <c r="AC835">
        <v>0.28213528618230871</v>
      </c>
      <c r="AD835">
        <v>1.7130468298323378</v>
      </c>
      <c r="AE835">
        <v>-1.13486126839574</v>
      </c>
      <c r="AF835">
        <v>-1.08864535567881</v>
      </c>
      <c r="AG835">
        <v>-0.32686417478792801</v>
      </c>
      <c r="AH835">
        <v>0.62284812250553201</v>
      </c>
      <c r="AI835">
        <v>-1.0409629024601801</v>
      </c>
      <c r="AJ835">
        <v>1.19691112592141</v>
      </c>
      <c r="AK835">
        <v>47.330690599999997</v>
      </c>
      <c r="AL835">
        <v>2.8390453999999998</v>
      </c>
      <c r="AM835">
        <v>48.856372813999997</v>
      </c>
      <c r="AN835">
        <v>2.3525296170000001</v>
      </c>
    </row>
    <row r="836" spans="1:40" x14ac:dyDescent="0.35">
      <c r="A836">
        <v>1039</v>
      </c>
      <c r="B836">
        <v>72</v>
      </c>
      <c r="C836" t="s">
        <v>40</v>
      </c>
      <c r="D836" t="s">
        <v>66</v>
      </c>
      <c r="E836" t="s">
        <v>42</v>
      </c>
      <c r="F836" t="s">
        <v>49</v>
      </c>
      <c r="G836">
        <v>7</v>
      </c>
      <c r="H836">
        <v>49</v>
      </c>
      <c r="I836">
        <v>5</v>
      </c>
      <c r="J836" t="s">
        <v>50</v>
      </c>
      <c r="K836" t="s">
        <v>46</v>
      </c>
      <c r="L836" t="s">
        <v>73</v>
      </c>
      <c r="M836">
        <v>493.94464238518208</v>
      </c>
      <c r="N836">
        <v>577</v>
      </c>
      <c r="O836">
        <v>365</v>
      </c>
      <c r="P836">
        <v>184</v>
      </c>
      <c r="Q836">
        <v>1.9459101490553132</v>
      </c>
      <c r="R836">
        <v>2.9444389791664403</v>
      </c>
      <c r="S836">
        <v>4.2626798770413155</v>
      </c>
      <c r="T836">
        <v>91.872500000000002</v>
      </c>
      <c r="U836">
        <v>2.0033201607997366</v>
      </c>
      <c r="V836">
        <v>7.5580716531248995E-2</v>
      </c>
      <c r="W836">
        <v>0.203376316306385</v>
      </c>
      <c r="X836">
        <v>0.143329752535333</v>
      </c>
      <c r="Y836">
        <v>1.4483117406157899</v>
      </c>
      <c r="Z836">
        <v>1.7680602694732599</v>
      </c>
      <c r="AA836">
        <v>0.26366440732357699</v>
      </c>
      <c r="AB836">
        <v>4236</v>
      </c>
      <c r="AC836">
        <v>0</v>
      </c>
      <c r="AD836">
        <v>4</v>
      </c>
      <c r="AE836">
        <v>1.6751267091712101</v>
      </c>
      <c r="AF836">
        <v>0.96211956083941597</v>
      </c>
      <c r="AG836">
        <v>-3.2421167188788398</v>
      </c>
      <c r="AH836">
        <v>1.3734245403726599</v>
      </c>
      <c r="AI836">
        <v>0.73504837658941202</v>
      </c>
      <c r="AJ836">
        <v>-0.27151787518498299</v>
      </c>
      <c r="AK836">
        <v>44.686388999999998</v>
      </c>
      <c r="AL836">
        <v>-0.52383800000000003</v>
      </c>
      <c r="AM836">
        <v>48.759</v>
      </c>
      <c r="AN836">
        <v>2.048</v>
      </c>
    </row>
    <row r="837" spans="1:40" x14ac:dyDescent="0.35">
      <c r="A837">
        <v>1040</v>
      </c>
      <c r="B837">
        <v>42</v>
      </c>
      <c r="C837" t="s">
        <v>40</v>
      </c>
      <c r="D837" t="s">
        <v>41</v>
      </c>
      <c r="E837" t="s">
        <v>42</v>
      </c>
      <c r="F837" t="s">
        <v>61</v>
      </c>
      <c r="G837">
        <v>6</v>
      </c>
      <c r="H837">
        <v>36</v>
      </c>
      <c r="I837">
        <v>6</v>
      </c>
      <c r="J837" t="s">
        <v>50</v>
      </c>
      <c r="K837" t="s">
        <v>46</v>
      </c>
      <c r="L837" t="s">
        <v>60</v>
      </c>
      <c r="M837">
        <v>557.86465511995755</v>
      </c>
      <c r="N837">
        <v>692</v>
      </c>
      <c r="O837">
        <v>443</v>
      </c>
      <c r="P837">
        <v>291</v>
      </c>
      <c r="Q837">
        <v>3.8501476017100584</v>
      </c>
      <c r="R837">
        <v>2.9957322735539909</v>
      </c>
      <c r="S837">
        <v>5.4424177105217932</v>
      </c>
      <c r="T837">
        <v>88.975873222691746</v>
      </c>
      <c r="U837">
        <v>2.5514539469641888</v>
      </c>
      <c r="V837">
        <v>2.9336799326863701</v>
      </c>
      <c r="W837">
        <v>3.3730943146768602</v>
      </c>
      <c r="X837">
        <v>3.6072071704345601</v>
      </c>
      <c r="Y837">
        <v>-0.19189497559235799</v>
      </c>
      <c r="Z837">
        <v>0.17569111512999699</v>
      </c>
      <c r="AA837">
        <v>-0.304970615080496</v>
      </c>
      <c r="AB837">
        <v>1906.836709612184</v>
      </c>
      <c r="AC837">
        <v>0.7978420820676605</v>
      </c>
      <c r="AD837">
        <v>2.1056638128240834</v>
      </c>
      <c r="AE837">
        <v>-0.25037207080954499</v>
      </c>
      <c r="AF837">
        <v>0.55010592172404504</v>
      </c>
      <c r="AG837">
        <v>-0.17623615540540799</v>
      </c>
      <c r="AH837">
        <v>-1.50855144992208</v>
      </c>
      <c r="AI837">
        <v>-0.23441924567587499</v>
      </c>
      <c r="AJ837">
        <v>-0.869908143648919</v>
      </c>
      <c r="AK837">
        <v>44.055988999999997</v>
      </c>
      <c r="AL837">
        <v>4.8317350000000001</v>
      </c>
      <c r="AM837">
        <v>48.799782299999997</v>
      </c>
      <c r="AN837">
        <v>2.4847125999999999</v>
      </c>
    </row>
    <row r="838" spans="1:40" x14ac:dyDescent="0.35">
      <c r="A838">
        <v>1041</v>
      </c>
      <c r="B838">
        <v>57</v>
      </c>
      <c r="C838" t="s">
        <v>48</v>
      </c>
      <c r="D838" t="s">
        <v>41</v>
      </c>
      <c r="E838" t="s">
        <v>42</v>
      </c>
      <c r="F838" t="s">
        <v>53</v>
      </c>
      <c r="G838">
        <v>4</v>
      </c>
      <c r="H838">
        <v>16</v>
      </c>
      <c r="I838">
        <v>6</v>
      </c>
      <c r="J838" t="s">
        <v>56</v>
      </c>
      <c r="K838" t="s">
        <v>46</v>
      </c>
      <c r="L838" t="s">
        <v>62</v>
      </c>
      <c r="M838">
        <v>118.81389814254101</v>
      </c>
      <c r="N838">
        <v>143</v>
      </c>
      <c r="O838">
        <v>100</v>
      </c>
      <c r="P838">
        <v>80</v>
      </c>
      <c r="Q838">
        <v>0.69314718055994529</v>
      </c>
      <c r="R838">
        <v>3.2580965380214821</v>
      </c>
      <c r="S838">
        <v>3.2580965380214821</v>
      </c>
      <c r="T838">
        <v>95.68</v>
      </c>
      <c r="U838">
        <v>0</v>
      </c>
      <c r="V838">
        <v>1.82802042479695</v>
      </c>
      <c r="W838">
        <v>0.99424279543483596</v>
      </c>
      <c r="X838">
        <v>0.99177342203587404</v>
      </c>
      <c r="Y838">
        <v>-0.96278755162326501</v>
      </c>
      <c r="Z838">
        <v>-0.75605764486205096</v>
      </c>
      <c r="AA838">
        <v>-0.80037586101695801</v>
      </c>
      <c r="AB838">
        <v>2092.91</v>
      </c>
      <c r="AC838">
        <v>0</v>
      </c>
      <c r="AD838">
        <v>2.1</v>
      </c>
      <c r="AE838">
        <v>-1.0768626388726401</v>
      </c>
      <c r="AF838">
        <v>0.18947234044678599</v>
      </c>
      <c r="AG838">
        <v>7.21711377361266E-2</v>
      </c>
      <c r="AH838">
        <v>-1.0687447356359301</v>
      </c>
      <c r="AI838">
        <v>0.30954656088015903</v>
      </c>
      <c r="AJ838">
        <v>-0.77521657666223898</v>
      </c>
      <c r="AK838">
        <v>49.042560999999999</v>
      </c>
      <c r="AL838">
        <v>3.9528660000000002</v>
      </c>
      <c r="AM838">
        <v>48.856372813999997</v>
      </c>
      <c r="AN838">
        <v>2.3525296170000001</v>
      </c>
    </row>
    <row r="839" spans="1:40" x14ac:dyDescent="0.35">
      <c r="A839">
        <v>1042</v>
      </c>
      <c r="B839">
        <v>57</v>
      </c>
      <c r="C839" t="s">
        <v>48</v>
      </c>
      <c r="D839" t="s">
        <v>41</v>
      </c>
      <c r="E839" t="s">
        <v>42</v>
      </c>
      <c r="F839" t="s">
        <v>49</v>
      </c>
      <c r="G839">
        <v>4</v>
      </c>
      <c r="H839">
        <v>16</v>
      </c>
      <c r="I839">
        <v>5</v>
      </c>
      <c r="J839" t="s">
        <v>56</v>
      </c>
      <c r="K839" t="s">
        <v>46</v>
      </c>
      <c r="L839" t="s">
        <v>62</v>
      </c>
      <c r="M839">
        <v>138.76751667128531</v>
      </c>
      <c r="N839">
        <v>166</v>
      </c>
      <c r="O839">
        <v>140</v>
      </c>
      <c r="P839">
        <v>165</v>
      </c>
      <c r="Q839">
        <v>0.69314718055994529</v>
      </c>
      <c r="R839">
        <v>3.2580965380214821</v>
      </c>
      <c r="S839">
        <v>3.2580965380214821</v>
      </c>
      <c r="T839">
        <v>95.68</v>
      </c>
      <c r="U839">
        <v>0</v>
      </c>
      <c r="V839">
        <v>1.82802042479695</v>
      </c>
      <c r="W839">
        <v>0.99424279543483596</v>
      </c>
      <c r="X839">
        <v>0.99177342203587404</v>
      </c>
      <c r="Y839">
        <v>-0.96278755162326501</v>
      </c>
      <c r="Z839">
        <v>-0.75605764486205096</v>
      </c>
      <c r="AA839">
        <v>-0.80037586101695801</v>
      </c>
      <c r="AB839">
        <v>2092.91</v>
      </c>
      <c r="AC839">
        <v>0</v>
      </c>
      <c r="AD839">
        <v>2.1</v>
      </c>
      <c r="AE839">
        <v>-1.0768626388726401</v>
      </c>
      <c r="AF839">
        <v>1.44121221169383</v>
      </c>
      <c r="AG839">
        <v>1.29070614196042</v>
      </c>
      <c r="AH839">
        <v>-1.4945721079612</v>
      </c>
      <c r="AI839">
        <v>1.3231566694469199</v>
      </c>
      <c r="AJ839">
        <v>0.86198364842400599</v>
      </c>
      <c r="AK839">
        <v>49.042560999999999</v>
      </c>
      <c r="AL839">
        <v>3.9528660000000002</v>
      </c>
      <c r="AM839">
        <v>48.837000000000003</v>
      </c>
      <c r="AN839">
        <v>2.081</v>
      </c>
    </row>
    <row r="840" spans="1:40" x14ac:dyDescent="0.35">
      <c r="A840">
        <v>1043</v>
      </c>
      <c r="B840">
        <v>42</v>
      </c>
      <c r="C840" t="s">
        <v>40</v>
      </c>
      <c r="D840" t="s">
        <v>66</v>
      </c>
      <c r="E840" t="s">
        <v>42</v>
      </c>
      <c r="F840" t="s">
        <v>53</v>
      </c>
      <c r="G840">
        <v>5</v>
      </c>
      <c r="H840">
        <v>25</v>
      </c>
      <c r="I840">
        <v>5</v>
      </c>
      <c r="J840" t="s">
        <v>50</v>
      </c>
      <c r="K840" t="s">
        <v>44</v>
      </c>
      <c r="L840" t="s">
        <v>72</v>
      </c>
      <c r="M840">
        <v>492.64404854898049</v>
      </c>
      <c r="N840">
        <v>576</v>
      </c>
      <c r="O840">
        <v>361</v>
      </c>
      <c r="P840">
        <v>326</v>
      </c>
      <c r="Q840">
        <v>0.69314718055994529</v>
      </c>
      <c r="R840">
        <v>1.3862943611198906</v>
      </c>
      <c r="S840">
        <v>4.5538768916005408</v>
      </c>
      <c r="T840">
        <v>89.340161030595823</v>
      </c>
      <c r="U840">
        <v>1.4712304197281412</v>
      </c>
      <c r="V840">
        <v>0.59716251398508702</v>
      </c>
      <c r="W840">
        <v>0.91068296986709796</v>
      </c>
      <c r="X840">
        <v>1.2273243988355</v>
      </c>
      <c r="Y840">
        <v>-0.4121809470949</v>
      </c>
      <c r="Z840">
        <v>-0.86472582726521097</v>
      </c>
      <c r="AA840">
        <v>-1.0172779374790899</v>
      </c>
      <c r="AB840">
        <v>1828.1689246701658</v>
      </c>
      <c r="AC840">
        <v>1.1127464888636687</v>
      </c>
      <c r="AD840">
        <v>1.8630656830756136</v>
      </c>
      <c r="AE840">
        <v>-0.53926882203722504</v>
      </c>
      <c r="AF840">
        <v>-0.168184535543903</v>
      </c>
      <c r="AG840">
        <v>0.31812382061832201</v>
      </c>
      <c r="AH840">
        <v>0.75519251375490104</v>
      </c>
      <c r="AI840">
        <v>-0.28373253298969903</v>
      </c>
      <c r="AJ840">
        <v>-0.88487328913911401</v>
      </c>
      <c r="AK840">
        <v>44.503641999999999</v>
      </c>
      <c r="AL840">
        <v>1.1863669999999999</v>
      </c>
      <c r="AM840">
        <v>48.856372813999997</v>
      </c>
      <c r="AN840">
        <v>2.3525296170000001</v>
      </c>
    </row>
    <row r="841" spans="1:40" x14ac:dyDescent="0.35">
      <c r="A841">
        <v>1044</v>
      </c>
      <c r="B841">
        <v>57</v>
      </c>
      <c r="C841" t="s">
        <v>40</v>
      </c>
      <c r="D841" t="s">
        <v>52</v>
      </c>
      <c r="E841" t="s">
        <v>42</v>
      </c>
      <c r="F841" t="s">
        <v>49</v>
      </c>
      <c r="G841">
        <v>5</v>
      </c>
      <c r="H841">
        <v>25</v>
      </c>
      <c r="I841">
        <v>6</v>
      </c>
      <c r="J841" t="s">
        <v>56</v>
      </c>
      <c r="K841" t="s">
        <v>46</v>
      </c>
      <c r="L841" t="s">
        <v>60</v>
      </c>
      <c r="M841">
        <v>548.16248798432832</v>
      </c>
      <c r="N841">
        <v>643</v>
      </c>
      <c r="O841">
        <v>320</v>
      </c>
      <c r="P841">
        <v>317</v>
      </c>
      <c r="Q841">
        <v>3.8501476017100584</v>
      </c>
      <c r="R841">
        <v>2.9957322735539909</v>
      </c>
      <c r="S841">
        <v>5.4424177105217932</v>
      </c>
      <c r="T841">
        <v>88.975873222691746</v>
      </c>
      <c r="U841">
        <v>2.5514539469641888</v>
      </c>
      <c r="V841">
        <v>2.9336799326863701</v>
      </c>
      <c r="W841">
        <v>3.3730943146768602</v>
      </c>
      <c r="X841">
        <v>3.6072071704345601</v>
      </c>
      <c r="Y841">
        <v>-0.19189497559235799</v>
      </c>
      <c r="Z841">
        <v>0.17569111512999699</v>
      </c>
      <c r="AA841">
        <v>-0.304970615080496</v>
      </c>
      <c r="AB841">
        <v>1906.836709612184</v>
      </c>
      <c r="AC841">
        <v>0.7978420820676605</v>
      </c>
      <c r="AD841">
        <v>2.1056638128240834</v>
      </c>
      <c r="AE841">
        <v>-0.25037207080954499</v>
      </c>
      <c r="AF841">
        <v>-0.60448060173163398</v>
      </c>
      <c r="AG841">
        <v>6.3525045568800398E-2</v>
      </c>
      <c r="AH841">
        <v>-1.0338731045259499</v>
      </c>
      <c r="AI841">
        <v>-0.58481147826500901</v>
      </c>
      <c r="AJ841">
        <v>-1.0419076263324001</v>
      </c>
      <c r="AK841">
        <v>44.055988999999997</v>
      </c>
      <c r="AL841">
        <v>4.8317350000000001</v>
      </c>
      <c r="AM841">
        <v>48.667000000000002</v>
      </c>
      <c r="AN841">
        <v>2.3245</v>
      </c>
    </row>
    <row r="842" spans="1:40" x14ac:dyDescent="0.35">
      <c r="A842">
        <v>1045</v>
      </c>
      <c r="B842">
        <v>42</v>
      </c>
      <c r="C842" t="s">
        <v>40</v>
      </c>
      <c r="D842" t="s">
        <v>41</v>
      </c>
      <c r="E842" t="s">
        <v>42</v>
      </c>
      <c r="F842" t="s">
        <v>49</v>
      </c>
      <c r="G842">
        <v>4</v>
      </c>
      <c r="H842">
        <v>16</v>
      </c>
      <c r="I842">
        <v>3</v>
      </c>
      <c r="J842" t="s">
        <v>45</v>
      </c>
      <c r="K842" t="s">
        <v>46</v>
      </c>
      <c r="L842" t="s">
        <v>54</v>
      </c>
      <c r="M842">
        <v>472.92355692133577</v>
      </c>
      <c r="N842">
        <v>577</v>
      </c>
      <c r="O842">
        <v>366</v>
      </c>
      <c r="P842">
        <v>209</v>
      </c>
      <c r="Q842">
        <v>3.9889840465642745</v>
      </c>
      <c r="R842">
        <v>3.0910424533583161</v>
      </c>
      <c r="S842">
        <v>4.1271343850450917</v>
      </c>
      <c r="T842">
        <v>92.826666666666668</v>
      </c>
      <c r="U842">
        <v>2.9827057067926286</v>
      </c>
      <c r="V842">
        <v>-0.16604708794949699</v>
      </c>
      <c r="W842">
        <v>-0.150727876652859</v>
      </c>
      <c r="X842">
        <v>-0.19602043866096</v>
      </c>
      <c r="Y842">
        <v>1.4483117406157899</v>
      </c>
      <c r="Z842">
        <v>1.7680602694732599</v>
      </c>
      <c r="AA842">
        <v>0.26366440732357699</v>
      </c>
      <c r="AB842">
        <v>4236</v>
      </c>
      <c r="AC842">
        <v>0</v>
      </c>
      <c r="AD842">
        <v>4</v>
      </c>
      <c r="AE842">
        <v>1.6751267091712101</v>
      </c>
      <c r="AF842">
        <v>-0.482888975981906</v>
      </c>
      <c r="AG842">
        <v>-0.55096625521570597</v>
      </c>
      <c r="AH842">
        <v>6.1261951588253802E-2</v>
      </c>
      <c r="AI842">
        <v>0.84237582178453196</v>
      </c>
      <c r="AJ842">
        <v>-0.83648958005329099</v>
      </c>
      <c r="AK842">
        <v>44.917983300000003</v>
      </c>
      <c r="AL842">
        <v>-0.22352169999999999</v>
      </c>
      <c r="AM842">
        <v>48.764000000000003</v>
      </c>
      <c r="AN842">
        <v>2.4169999999999998</v>
      </c>
    </row>
    <row r="843" spans="1:40" x14ac:dyDescent="0.35">
      <c r="A843">
        <v>1046</v>
      </c>
      <c r="B843">
        <v>72</v>
      </c>
      <c r="C843" t="s">
        <v>48</v>
      </c>
      <c r="D843" t="s">
        <v>52</v>
      </c>
      <c r="E843" t="s">
        <v>42</v>
      </c>
      <c r="F843" t="s">
        <v>49</v>
      </c>
      <c r="G843">
        <v>5</v>
      </c>
      <c r="H843">
        <v>25</v>
      </c>
      <c r="I843">
        <v>5</v>
      </c>
      <c r="J843" t="s">
        <v>50</v>
      </c>
      <c r="K843" t="s">
        <v>46</v>
      </c>
      <c r="L843" t="s">
        <v>79</v>
      </c>
      <c r="M843">
        <v>222.05104707501039</v>
      </c>
      <c r="N843">
        <v>346</v>
      </c>
      <c r="O843">
        <v>217</v>
      </c>
      <c r="P843">
        <v>263</v>
      </c>
      <c r="Q843">
        <v>0</v>
      </c>
      <c r="R843">
        <v>1.0986122886681098</v>
      </c>
      <c r="S843">
        <v>4.4659081186545837</v>
      </c>
      <c r="T843">
        <v>90.88000000000001</v>
      </c>
      <c r="U843">
        <v>0.63076672920079646</v>
      </c>
      <c r="V843">
        <v>-0.66459185691613598</v>
      </c>
      <c r="W843">
        <v>-0.11297510960708999</v>
      </c>
      <c r="X843">
        <v>-0.19037106594949799</v>
      </c>
      <c r="Y843">
        <v>-0.374020329094302</v>
      </c>
      <c r="Z843">
        <v>-0.78642831806525804</v>
      </c>
      <c r="AA843">
        <v>-1.3830773108541501</v>
      </c>
      <c r="AB843">
        <v>1910</v>
      </c>
      <c r="AC843">
        <v>4</v>
      </c>
      <c r="AD843">
        <v>0</v>
      </c>
      <c r="AE843">
        <v>3.4620335695619099E-2</v>
      </c>
      <c r="AF843">
        <v>0.537891735377795</v>
      </c>
      <c r="AG843">
        <v>-0.71438896083972903</v>
      </c>
      <c r="AH843">
        <v>-2.7888060715834904E-2</v>
      </c>
      <c r="AI843">
        <v>-1.8947538095143099</v>
      </c>
      <c r="AJ843">
        <v>1.2886000911002899</v>
      </c>
      <c r="AK843">
        <v>42.698529999999998</v>
      </c>
      <c r="AL843">
        <v>2.8953120000000001</v>
      </c>
      <c r="AM843">
        <v>44.463857142857137</v>
      </c>
      <c r="AN843">
        <v>4.1775714285714285</v>
      </c>
    </row>
    <row r="844" spans="1:40" x14ac:dyDescent="0.35">
      <c r="A844">
        <v>1048</v>
      </c>
      <c r="B844">
        <v>57</v>
      </c>
      <c r="C844" t="s">
        <v>48</v>
      </c>
      <c r="D844" t="s">
        <v>66</v>
      </c>
      <c r="E844" t="s">
        <v>42</v>
      </c>
      <c r="F844" t="s">
        <v>43</v>
      </c>
      <c r="G844">
        <v>5</v>
      </c>
      <c r="H844">
        <v>25</v>
      </c>
      <c r="I844">
        <v>6</v>
      </c>
      <c r="J844" t="s">
        <v>50</v>
      </c>
      <c r="K844" t="s">
        <v>46</v>
      </c>
      <c r="L844" t="s">
        <v>64</v>
      </c>
      <c r="M844">
        <v>450.92589428011217</v>
      </c>
      <c r="N844">
        <v>634</v>
      </c>
      <c r="O844">
        <v>320</v>
      </c>
      <c r="P844">
        <v>305</v>
      </c>
      <c r="Q844">
        <v>0</v>
      </c>
      <c r="R844">
        <v>0</v>
      </c>
      <c r="S844">
        <v>0.69314718055994529</v>
      </c>
      <c r="T844">
        <v>87.72</v>
      </c>
      <c r="U844">
        <v>0</v>
      </c>
      <c r="V844">
        <v>-0.94178676980908105</v>
      </c>
      <c r="W844">
        <v>-0.82471669977796602</v>
      </c>
      <c r="X844">
        <v>-0.81853882670599298</v>
      </c>
      <c r="Y844">
        <v>1.4483117406157899</v>
      </c>
      <c r="Z844">
        <v>1.7680602694732599</v>
      </c>
      <c r="AA844">
        <v>0.26366440732357699</v>
      </c>
      <c r="AB844">
        <v>4236</v>
      </c>
      <c r="AC844">
        <v>0</v>
      </c>
      <c r="AD844">
        <v>4</v>
      </c>
      <c r="AE844">
        <v>1.6751267091712101</v>
      </c>
      <c r="AF844">
        <v>-0.303456366060887</v>
      </c>
      <c r="AG844">
        <v>0.663586211302856</v>
      </c>
      <c r="AH844">
        <v>-0.78844902220856505</v>
      </c>
      <c r="AI844">
        <v>0.95169153584800603</v>
      </c>
      <c r="AJ844">
        <v>6.2989766610649506E-2</v>
      </c>
      <c r="AK844">
        <v>44.776569000000002</v>
      </c>
      <c r="AL844">
        <v>-0.34912399999999999</v>
      </c>
      <c r="AM844">
        <v>47.807333333333339</v>
      </c>
      <c r="AN844">
        <v>3.5426666666666664</v>
      </c>
    </row>
    <row r="845" spans="1:40" x14ac:dyDescent="0.35">
      <c r="A845">
        <v>1049</v>
      </c>
      <c r="B845">
        <v>57</v>
      </c>
      <c r="C845" t="s">
        <v>40</v>
      </c>
      <c r="D845" t="s">
        <v>41</v>
      </c>
      <c r="E845" t="s">
        <v>42</v>
      </c>
      <c r="F845" t="s">
        <v>61</v>
      </c>
      <c r="G845">
        <v>4</v>
      </c>
      <c r="H845">
        <v>16</v>
      </c>
      <c r="I845">
        <v>4</v>
      </c>
      <c r="J845" t="s">
        <v>56</v>
      </c>
      <c r="K845" t="s">
        <v>46</v>
      </c>
      <c r="L845" t="s">
        <v>83</v>
      </c>
      <c r="M845">
        <v>278.13391013657917</v>
      </c>
      <c r="N845">
        <v>344</v>
      </c>
      <c r="O845">
        <v>216</v>
      </c>
      <c r="P845">
        <v>261</v>
      </c>
      <c r="Q845">
        <v>0</v>
      </c>
      <c r="R845">
        <v>0</v>
      </c>
      <c r="S845">
        <v>4.4886363697321396</v>
      </c>
      <c r="T845">
        <v>90.115111111111119</v>
      </c>
      <c r="U845">
        <v>1.2513404171152498</v>
      </c>
      <c r="V845">
        <v>-0.46152060700845399</v>
      </c>
      <c r="W845">
        <v>-0.57121975163865102</v>
      </c>
      <c r="X845">
        <v>-0.33135740862223101</v>
      </c>
      <c r="Y845">
        <v>-0.77598924050104101</v>
      </c>
      <c r="Z845">
        <v>0.47668876811384397</v>
      </c>
      <c r="AA845">
        <v>0.85617757356637403</v>
      </c>
      <c r="AB845">
        <v>2565</v>
      </c>
      <c r="AC845">
        <v>1</v>
      </c>
      <c r="AD845">
        <v>0</v>
      </c>
      <c r="AE845">
        <v>-0.72514205471140702</v>
      </c>
      <c r="AF845">
        <v>-2.1365627296980398</v>
      </c>
      <c r="AG845">
        <v>-1.16758885908069</v>
      </c>
      <c r="AH845">
        <v>-1.9646558637867999</v>
      </c>
      <c r="AI845">
        <v>-1.73887484644787</v>
      </c>
      <c r="AJ845">
        <v>-2.1368765380952301</v>
      </c>
      <c r="AK845">
        <v>46.839658</v>
      </c>
      <c r="AL845">
        <v>4.7189269999999999</v>
      </c>
      <c r="AM845">
        <v>48.837000000000003</v>
      </c>
      <c r="AN845">
        <v>2.4820000000000002</v>
      </c>
    </row>
    <row r="846" spans="1:40" x14ac:dyDescent="0.35">
      <c r="A846">
        <v>1051</v>
      </c>
      <c r="B846">
        <v>57</v>
      </c>
      <c r="C846" t="s">
        <v>48</v>
      </c>
      <c r="D846" t="s">
        <v>52</v>
      </c>
      <c r="E846" t="s">
        <v>42</v>
      </c>
      <c r="F846" t="s">
        <v>49</v>
      </c>
      <c r="G846">
        <v>4</v>
      </c>
      <c r="H846">
        <v>16</v>
      </c>
      <c r="I846">
        <v>4</v>
      </c>
      <c r="J846" t="s">
        <v>50</v>
      </c>
      <c r="K846" t="s">
        <v>46</v>
      </c>
      <c r="L846" t="s">
        <v>84</v>
      </c>
      <c r="M846">
        <v>274.77200014824052</v>
      </c>
      <c r="N846">
        <v>392</v>
      </c>
      <c r="O846">
        <v>259</v>
      </c>
      <c r="P846">
        <v>173</v>
      </c>
      <c r="Q846">
        <v>0</v>
      </c>
      <c r="R846">
        <v>0</v>
      </c>
      <c r="S846">
        <v>1.0986122886681098</v>
      </c>
      <c r="T846">
        <v>87.86666666666666</v>
      </c>
      <c r="U846">
        <v>0</v>
      </c>
      <c r="V846">
        <v>-1.08802880625812</v>
      </c>
      <c r="W846">
        <v>-0.92588439495074504</v>
      </c>
      <c r="X846">
        <v>-0.937742229627752</v>
      </c>
      <c r="Y846">
        <v>-5.88196171665821E-2</v>
      </c>
      <c r="Z846">
        <v>-0.53491435214143601</v>
      </c>
      <c r="AA846">
        <v>-0.88205577408398805</v>
      </c>
      <c r="AB846">
        <v>2688</v>
      </c>
      <c r="AC846">
        <v>1</v>
      </c>
      <c r="AD846">
        <v>0</v>
      </c>
      <c r="AE846">
        <v>-0.90912497987410801</v>
      </c>
      <c r="AF846">
        <v>-0.50023430329913099</v>
      </c>
      <c r="AG846">
        <v>-0.77017572283976798</v>
      </c>
      <c r="AH846">
        <v>6.6159586596497497E-2</v>
      </c>
      <c r="AI846">
        <v>-0.116857645238179</v>
      </c>
      <c r="AJ846">
        <v>-1.02464105670636</v>
      </c>
      <c r="AK846">
        <v>45.760758000000003</v>
      </c>
      <c r="AL846">
        <v>5.6861470000000001</v>
      </c>
      <c r="AM846">
        <v>43.293999999999997</v>
      </c>
      <c r="AN846">
        <v>5.5629999999999997</v>
      </c>
    </row>
    <row r="847" spans="1:40" x14ac:dyDescent="0.35">
      <c r="A847">
        <v>1052</v>
      </c>
      <c r="B847">
        <v>57</v>
      </c>
      <c r="C847" t="s">
        <v>40</v>
      </c>
      <c r="D847" t="s">
        <v>41</v>
      </c>
      <c r="E847" t="s">
        <v>42</v>
      </c>
      <c r="F847" t="s">
        <v>49</v>
      </c>
      <c r="G847">
        <v>6</v>
      </c>
      <c r="H847">
        <v>36</v>
      </c>
      <c r="I847">
        <v>5</v>
      </c>
      <c r="J847" t="s">
        <v>56</v>
      </c>
      <c r="K847" t="s">
        <v>46</v>
      </c>
      <c r="L847" t="s">
        <v>59</v>
      </c>
      <c r="M847">
        <v>190.33174110274479</v>
      </c>
      <c r="N847">
        <v>224</v>
      </c>
      <c r="O847">
        <v>178</v>
      </c>
      <c r="P847">
        <v>97</v>
      </c>
      <c r="Q847">
        <v>1.3862943611198906</v>
      </c>
      <c r="R847">
        <v>1.3862943611198906</v>
      </c>
      <c r="S847">
        <v>4.9972122737641147</v>
      </c>
      <c r="T847">
        <v>90.035146103896111</v>
      </c>
      <c r="U847">
        <v>1.418823059726001</v>
      </c>
      <c r="V847">
        <v>-0.52223564926899602</v>
      </c>
      <c r="W847">
        <v>-0.46072710968150399</v>
      </c>
      <c r="X847">
        <v>-0.361786268345754</v>
      </c>
      <c r="Y847">
        <v>-0.552694479448822</v>
      </c>
      <c r="Z847">
        <v>2.1676297177028899E-2</v>
      </c>
      <c r="AA847">
        <v>0.625223797005378</v>
      </c>
      <c r="AB847">
        <v>2234.6992515788952</v>
      </c>
      <c r="AC847">
        <v>0</v>
      </c>
      <c r="AD847">
        <v>0.12112735591028891</v>
      </c>
      <c r="AE847">
        <v>-0.60610368582010199</v>
      </c>
      <c r="AF847">
        <v>0.81336557469113602</v>
      </c>
      <c r="AG847">
        <v>0.77065508685932604</v>
      </c>
      <c r="AH847">
        <v>0.165044430308812</v>
      </c>
      <c r="AI847">
        <v>0.71649135567029898</v>
      </c>
      <c r="AJ847">
        <v>-0.84492854266114303</v>
      </c>
      <c r="AK847">
        <v>47.411035099999999</v>
      </c>
      <c r="AL847">
        <v>0.98369799999999996</v>
      </c>
      <c r="AM847">
        <v>48.856372813999997</v>
      </c>
      <c r="AN847">
        <v>2.3525296170000001</v>
      </c>
    </row>
    <row r="848" spans="1:40" x14ac:dyDescent="0.35">
      <c r="A848">
        <v>1053</v>
      </c>
      <c r="B848">
        <v>57</v>
      </c>
      <c r="C848" t="s">
        <v>48</v>
      </c>
      <c r="D848" t="s">
        <v>41</v>
      </c>
      <c r="E848" t="s">
        <v>42</v>
      </c>
      <c r="F848" t="s">
        <v>49</v>
      </c>
      <c r="G848">
        <v>5</v>
      </c>
      <c r="H848">
        <v>25</v>
      </c>
      <c r="I848">
        <v>5</v>
      </c>
      <c r="J848" t="s">
        <v>50</v>
      </c>
      <c r="K848" t="s">
        <v>46</v>
      </c>
      <c r="L848" t="s">
        <v>51</v>
      </c>
      <c r="M848">
        <v>162.13476658363149</v>
      </c>
      <c r="N848">
        <v>200</v>
      </c>
      <c r="O848">
        <v>156</v>
      </c>
      <c r="P848">
        <v>190</v>
      </c>
      <c r="Q848">
        <v>0</v>
      </c>
      <c r="R848">
        <v>1.3862943611198906</v>
      </c>
      <c r="S848">
        <v>4.3438054218536841</v>
      </c>
      <c r="T848">
        <v>91.16</v>
      </c>
      <c r="U848">
        <v>2.3174698847378039</v>
      </c>
      <c r="V848">
        <v>-0.58471966768986094</v>
      </c>
      <c r="W848">
        <v>-0.55557078097057</v>
      </c>
      <c r="X848">
        <v>-0.47566183223429498</v>
      </c>
      <c r="Y848">
        <v>-0.95884680312505799</v>
      </c>
      <c r="Z848">
        <v>-0.76521334103430205</v>
      </c>
      <c r="AA848">
        <v>-0.77245900699560299</v>
      </c>
      <c r="AB848">
        <v>1376</v>
      </c>
      <c r="AC848">
        <v>0</v>
      </c>
      <c r="AD848">
        <v>2</v>
      </c>
      <c r="AE848">
        <v>-1.2769936012368599</v>
      </c>
      <c r="AF848">
        <v>-0.99153557092991496</v>
      </c>
      <c r="AG848">
        <v>0.99234936950035901</v>
      </c>
      <c r="AH848">
        <v>2.3338487407631496E-2</v>
      </c>
      <c r="AI848">
        <v>-0.27604907759084601</v>
      </c>
      <c r="AJ848">
        <v>5.9532601341890701E-2</v>
      </c>
      <c r="AK848">
        <v>47.815207299999997</v>
      </c>
      <c r="AL848">
        <v>3.8001657</v>
      </c>
      <c r="AM848">
        <v>48.836999999999996</v>
      </c>
      <c r="AN848">
        <v>2.2390000000000003</v>
      </c>
    </row>
    <row r="849" spans="1:40" x14ac:dyDescent="0.35">
      <c r="A849">
        <v>1054</v>
      </c>
      <c r="B849">
        <v>72</v>
      </c>
      <c r="C849" t="s">
        <v>40</v>
      </c>
      <c r="D849" t="s">
        <v>52</v>
      </c>
      <c r="E849" t="s">
        <v>42</v>
      </c>
      <c r="F849" t="s">
        <v>43</v>
      </c>
      <c r="G849">
        <v>4</v>
      </c>
      <c r="H849">
        <v>16</v>
      </c>
      <c r="I849">
        <v>4</v>
      </c>
      <c r="J849" t="s">
        <v>56</v>
      </c>
      <c r="K849" t="s">
        <v>46</v>
      </c>
      <c r="L849" t="s">
        <v>62</v>
      </c>
      <c r="M849">
        <v>154.71962090231119</v>
      </c>
      <c r="N849">
        <v>227</v>
      </c>
      <c r="O849">
        <v>130</v>
      </c>
      <c r="P849">
        <v>189</v>
      </c>
      <c r="Q849">
        <v>0.69314718055994529</v>
      </c>
      <c r="R849">
        <v>3.2580965380214821</v>
      </c>
      <c r="S849">
        <v>3.2580965380214821</v>
      </c>
      <c r="T849">
        <v>95.68</v>
      </c>
      <c r="U849">
        <v>0</v>
      </c>
      <c r="V849">
        <v>1.82802042479695</v>
      </c>
      <c r="W849">
        <v>0.99424279543483596</v>
      </c>
      <c r="X849">
        <v>0.99177342203587404</v>
      </c>
      <c r="Y849">
        <v>-0.96278755162326501</v>
      </c>
      <c r="Z849">
        <v>-0.75605764486205096</v>
      </c>
      <c r="AA849">
        <v>-0.80037586101695801</v>
      </c>
      <c r="AB849">
        <v>2092.91</v>
      </c>
      <c r="AC849">
        <v>0</v>
      </c>
      <c r="AD849">
        <v>2.1</v>
      </c>
      <c r="AE849">
        <v>-1.0768626388726401</v>
      </c>
      <c r="AF849">
        <v>1.245451431072609</v>
      </c>
      <c r="AG849">
        <v>0.69415925003613688</v>
      </c>
      <c r="AH849">
        <v>0.85273218257208572</v>
      </c>
      <c r="AI849">
        <v>0.36020286096939264</v>
      </c>
      <c r="AJ849">
        <v>2.1630332963869532</v>
      </c>
      <c r="AK849">
        <v>49.042560999999999</v>
      </c>
      <c r="AL849">
        <v>3.9528660000000002</v>
      </c>
      <c r="AM849">
        <v>50.358000000000004</v>
      </c>
      <c r="AN849">
        <v>3.2589999999999999</v>
      </c>
    </row>
    <row r="850" spans="1:40" x14ac:dyDescent="0.35">
      <c r="A850">
        <v>1055</v>
      </c>
      <c r="B850">
        <v>72</v>
      </c>
      <c r="C850" t="s">
        <v>40</v>
      </c>
      <c r="D850" t="s">
        <v>52</v>
      </c>
      <c r="E850" t="s">
        <v>42</v>
      </c>
      <c r="F850" t="s">
        <v>49</v>
      </c>
      <c r="G850">
        <v>4</v>
      </c>
      <c r="H850">
        <v>16</v>
      </c>
      <c r="I850">
        <v>5</v>
      </c>
      <c r="J850" t="s">
        <v>56</v>
      </c>
      <c r="K850" t="s">
        <v>46</v>
      </c>
      <c r="L850" t="s">
        <v>62</v>
      </c>
      <c r="M850">
        <v>131.23721863257029</v>
      </c>
      <c r="N850">
        <v>167</v>
      </c>
      <c r="O850">
        <v>120</v>
      </c>
      <c r="P850">
        <v>109</v>
      </c>
      <c r="Q850">
        <v>0.69314718055994529</v>
      </c>
      <c r="R850">
        <v>3.2580965380214821</v>
      </c>
      <c r="S850">
        <v>3.2580965380214821</v>
      </c>
      <c r="T850">
        <v>95.68</v>
      </c>
      <c r="U850">
        <v>0</v>
      </c>
      <c r="V850">
        <v>1.82802042479695</v>
      </c>
      <c r="W850">
        <v>0.99424279543483596</v>
      </c>
      <c r="X850">
        <v>0.99177342203587404</v>
      </c>
      <c r="Y850">
        <v>-0.96278755162326501</v>
      </c>
      <c r="Z850">
        <v>-0.75605764486205096</v>
      </c>
      <c r="AA850">
        <v>-0.80037586101695801</v>
      </c>
      <c r="AB850">
        <v>2092.91</v>
      </c>
      <c r="AC850">
        <v>0</v>
      </c>
      <c r="AD850">
        <v>2.1</v>
      </c>
      <c r="AE850">
        <v>-1.0768626388726401</v>
      </c>
      <c r="AF850">
        <v>-2.2332277618492902</v>
      </c>
      <c r="AG850">
        <v>-2.3743218821843199</v>
      </c>
      <c r="AH850">
        <v>-2.3409429253434699E-2</v>
      </c>
      <c r="AI850">
        <v>-1.3413836081763635</v>
      </c>
      <c r="AJ850">
        <v>-0.23939608078292962</v>
      </c>
      <c r="AK850">
        <v>49.042560999999999</v>
      </c>
      <c r="AL850">
        <v>3.9528660000000002</v>
      </c>
      <c r="AM850">
        <v>48.869000000000014</v>
      </c>
      <c r="AN850">
        <v>2.177</v>
      </c>
    </row>
    <row r="851" spans="1:40" x14ac:dyDescent="0.35">
      <c r="A851">
        <v>1057</v>
      </c>
      <c r="B851">
        <v>57</v>
      </c>
      <c r="C851" t="s">
        <v>40</v>
      </c>
      <c r="D851" t="s">
        <v>66</v>
      </c>
      <c r="E851" t="s">
        <v>42</v>
      </c>
      <c r="F851" t="s">
        <v>49</v>
      </c>
      <c r="G851">
        <v>4</v>
      </c>
      <c r="H851">
        <v>16</v>
      </c>
      <c r="I851">
        <v>7</v>
      </c>
      <c r="J851" t="s">
        <v>50</v>
      </c>
      <c r="K851" t="s">
        <v>46</v>
      </c>
      <c r="L851" t="s">
        <v>67</v>
      </c>
      <c r="M851">
        <v>350.08679968083692</v>
      </c>
      <c r="N851">
        <v>411</v>
      </c>
      <c r="O851">
        <v>220</v>
      </c>
      <c r="P851">
        <v>117</v>
      </c>
      <c r="Q851">
        <v>0</v>
      </c>
      <c r="R851">
        <v>1.0986122886681098</v>
      </c>
      <c r="S851">
        <v>4.499809670330265</v>
      </c>
      <c r="T851">
        <v>90.053710317460329</v>
      </c>
      <c r="U851">
        <v>1.5728028449904734</v>
      </c>
      <c r="V851">
        <v>-0.577850340007529</v>
      </c>
      <c r="W851">
        <v>-0.32460727773589898</v>
      </c>
      <c r="X851">
        <v>-0.54369568891204501</v>
      </c>
      <c r="Y851">
        <v>-0.77598924050104101</v>
      </c>
      <c r="Z851">
        <v>0.47668876811384397</v>
      </c>
      <c r="AA851">
        <v>0.85617757356637403</v>
      </c>
      <c r="AB851">
        <v>2565</v>
      </c>
      <c r="AC851">
        <v>1</v>
      </c>
      <c r="AD851">
        <v>0</v>
      </c>
      <c r="AE851">
        <v>-0.72514205471140702</v>
      </c>
      <c r="AF851">
        <v>-0.32341801113405799</v>
      </c>
      <c r="AG851">
        <v>-0.29686223184987898</v>
      </c>
      <c r="AH851">
        <v>1.24979790844407</v>
      </c>
      <c r="AI851">
        <v>-1.2072894371848899</v>
      </c>
      <c r="AJ851">
        <v>0.205024230554569</v>
      </c>
      <c r="AK851">
        <v>46.303668000000002</v>
      </c>
      <c r="AL851">
        <v>4.8322269999999996</v>
      </c>
      <c r="AM851">
        <v>48.922000000000004</v>
      </c>
      <c r="AN851">
        <v>2.2469999999999999</v>
      </c>
    </row>
    <row r="852" spans="1:40" x14ac:dyDescent="0.35">
      <c r="A852">
        <v>1059</v>
      </c>
      <c r="B852">
        <v>57</v>
      </c>
      <c r="C852" t="s">
        <v>40</v>
      </c>
      <c r="D852" t="s">
        <v>66</v>
      </c>
      <c r="E852" t="s">
        <v>42</v>
      </c>
      <c r="F852" t="s">
        <v>49</v>
      </c>
      <c r="G852">
        <v>7</v>
      </c>
      <c r="H852">
        <v>49</v>
      </c>
      <c r="I852">
        <v>7</v>
      </c>
      <c r="J852" t="s">
        <v>56</v>
      </c>
      <c r="K852" t="s">
        <v>46</v>
      </c>
      <c r="L852" t="s">
        <v>65</v>
      </c>
      <c r="M852">
        <v>671.23208171923795</v>
      </c>
      <c r="N852">
        <v>869</v>
      </c>
      <c r="O852">
        <v>423</v>
      </c>
      <c r="P852">
        <v>323</v>
      </c>
      <c r="Q852">
        <v>0</v>
      </c>
      <c r="R852">
        <v>0</v>
      </c>
      <c r="S852">
        <v>4.4543472962535073</v>
      </c>
      <c r="T852">
        <v>89.333044733044744</v>
      </c>
      <c r="U852">
        <v>1.2554235437523662</v>
      </c>
      <c r="V852">
        <v>1.64975517953679</v>
      </c>
      <c r="W852">
        <v>2.4220969657957299</v>
      </c>
      <c r="X852">
        <v>1.68128863126442</v>
      </c>
      <c r="Y852">
        <v>2.0553398017137301</v>
      </c>
      <c r="Z852">
        <v>2.0921400018840099</v>
      </c>
      <c r="AA852">
        <v>2.0596698968962701</v>
      </c>
      <c r="AB852">
        <v>3262.71</v>
      </c>
      <c r="AC852">
        <v>0.33</v>
      </c>
      <c r="AD852">
        <v>0.66</v>
      </c>
      <c r="AE852">
        <v>1.9221838973381</v>
      </c>
      <c r="AF852">
        <v>0.67160692336403904</v>
      </c>
      <c r="AG852">
        <v>0.29512790079529699</v>
      </c>
      <c r="AH852">
        <v>0.68710002000853898</v>
      </c>
      <c r="AI852">
        <v>1.21764798242042</v>
      </c>
      <c r="AJ852">
        <v>0.41246255389647701</v>
      </c>
      <c r="AK852">
        <v>43.537466000000002</v>
      </c>
      <c r="AL852">
        <v>6.4627330000000001</v>
      </c>
      <c r="AM852">
        <v>48.856372813999997</v>
      </c>
      <c r="AN852">
        <v>2.3525296170000001</v>
      </c>
    </row>
    <row r="853" spans="1:40" x14ac:dyDescent="0.35">
      <c r="A853">
        <v>1062</v>
      </c>
      <c r="B853">
        <v>29.5</v>
      </c>
      <c r="C853" t="s">
        <v>48</v>
      </c>
      <c r="D853" t="s">
        <v>41</v>
      </c>
      <c r="E853" t="s">
        <v>42</v>
      </c>
      <c r="F853" t="s">
        <v>49</v>
      </c>
      <c r="G853">
        <v>3</v>
      </c>
      <c r="H853">
        <v>9</v>
      </c>
      <c r="I853">
        <v>5</v>
      </c>
      <c r="J853" t="s">
        <v>50</v>
      </c>
      <c r="K853" t="s">
        <v>46</v>
      </c>
      <c r="L853" t="s">
        <v>76</v>
      </c>
      <c r="M853">
        <v>168.3852763351473</v>
      </c>
      <c r="N853">
        <v>198</v>
      </c>
      <c r="O853">
        <v>138</v>
      </c>
      <c r="P853">
        <v>147</v>
      </c>
      <c r="Q853">
        <v>0</v>
      </c>
      <c r="R853">
        <v>1.0986122886681098</v>
      </c>
      <c r="S853">
        <v>4.1588830833596715</v>
      </c>
      <c r="T853">
        <v>91.226666666666674</v>
      </c>
      <c r="U853">
        <v>1.418823059726001</v>
      </c>
      <c r="V853">
        <v>-0.39095273818515502</v>
      </c>
      <c r="W853">
        <v>-0.53446083104759001</v>
      </c>
      <c r="X853">
        <v>-0.40804429067029002</v>
      </c>
      <c r="Y853">
        <v>-0.56789545922357498</v>
      </c>
      <c r="Z853">
        <v>-0.94760790482486201</v>
      </c>
      <c r="AA853">
        <v>-1.0848673571571601</v>
      </c>
      <c r="AB853">
        <v>1770.5103102717287</v>
      </c>
      <c r="AC853">
        <v>0.28213528618230871</v>
      </c>
      <c r="AD853">
        <v>1.7130468298323378</v>
      </c>
      <c r="AE853">
        <v>-1.13486126839574</v>
      </c>
      <c r="AF853">
        <v>-1.08478655461444</v>
      </c>
      <c r="AG853">
        <v>1.17203053192688</v>
      </c>
      <c r="AH853">
        <v>0.77657251475940603</v>
      </c>
      <c r="AI853">
        <v>-0.84070406916791296</v>
      </c>
      <c r="AJ853">
        <v>1.18191487308474</v>
      </c>
      <c r="AK853">
        <v>47.330690599999997</v>
      </c>
      <c r="AL853">
        <v>2.8390453999999998</v>
      </c>
      <c r="AM853">
        <v>48.813000000000002</v>
      </c>
      <c r="AN853">
        <v>2.3879999999999999</v>
      </c>
    </row>
    <row r="854" spans="1:40" x14ac:dyDescent="0.35">
      <c r="A854">
        <v>1063</v>
      </c>
      <c r="B854">
        <v>72</v>
      </c>
      <c r="C854" t="s">
        <v>40</v>
      </c>
      <c r="D854" t="s">
        <v>52</v>
      </c>
      <c r="E854" t="s">
        <v>42</v>
      </c>
      <c r="F854" t="s">
        <v>43</v>
      </c>
      <c r="G854">
        <v>6</v>
      </c>
      <c r="H854">
        <v>36</v>
      </c>
      <c r="I854">
        <v>7</v>
      </c>
      <c r="J854" t="s">
        <v>50</v>
      </c>
      <c r="K854" t="s">
        <v>46</v>
      </c>
      <c r="L854" t="s">
        <v>47</v>
      </c>
      <c r="M854">
        <v>488.10020247298979</v>
      </c>
      <c r="N854">
        <v>624</v>
      </c>
      <c r="O854">
        <v>384</v>
      </c>
      <c r="P854">
        <v>435</v>
      </c>
      <c r="Q854">
        <v>5.9107966440405271</v>
      </c>
      <c r="R854">
        <v>6.4997870406558542</v>
      </c>
      <c r="S854">
        <v>8.6415324656718457</v>
      </c>
      <c r="T854">
        <v>89.265350482850479</v>
      </c>
      <c r="U854">
        <v>1.4417786561042019</v>
      </c>
      <c r="V854">
        <v>-0.22886708829074301</v>
      </c>
      <c r="W854">
        <v>0.28745285629339301</v>
      </c>
      <c r="X854">
        <v>-0.15627425222847</v>
      </c>
      <c r="Y854">
        <v>1.45226138127617</v>
      </c>
      <c r="Z854">
        <v>0.98247225355557</v>
      </c>
      <c r="AA854">
        <v>0.627775520474398</v>
      </c>
      <c r="AB854">
        <v>3362.2959371744532</v>
      </c>
      <c r="AC854">
        <v>2.8998317172850387</v>
      </c>
      <c r="AD854">
        <v>2.9499158586425196</v>
      </c>
      <c r="AE854">
        <v>1.06273170356322</v>
      </c>
      <c r="AF854">
        <v>0.53829436631642491</v>
      </c>
      <c r="AG854">
        <v>-0.37578009285490238</v>
      </c>
      <c r="AH854">
        <v>1.3720124735564181</v>
      </c>
      <c r="AI854">
        <v>1.11339562258717</v>
      </c>
      <c r="AJ854">
        <v>0.94706681017550998</v>
      </c>
      <c r="AK854">
        <v>43.3535629403058</v>
      </c>
      <c r="AL854">
        <v>3.21615314793977</v>
      </c>
      <c r="AM854">
        <v>47.494166666666672</v>
      </c>
      <c r="AN854">
        <v>1.159</v>
      </c>
    </row>
    <row r="855" spans="1:40" x14ac:dyDescent="0.35">
      <c r="A855">
        <v>1064</v>
      </c>
      <c r="B855">
        <v>42</v>
      </c>
      <c r="C855" t="s">
        <v>40</v>
      </c>
      <c r="D855" t="s">
        <v>41</v>
      </c>
      <c r="E855" t="s">
        <v>42</v>
      </c>
      <c r="F855" t="s">
        <v>49</v>
      </c>
      <c r="G855">
        <v>4</v>
      </c>
      <c r="H855">
        <v>16</v>
      </c>
      <c r="I855">
        <v>4</v>
      </c>
      <c r="J855" t="s">
        <v>45</v>
      </c>
      <c r="K855" t="s">
        <v>46</v>
      </c>
      <c r="L855" t="s">
        <v>69</v>
      </c>
      <c r="M855">
        <v>269.71472991387122</v>
      </c>
      <c r="N855">
        <v>331</v>
      </c>
      <c r="O855">
        <v>180</v>
      </c>
      <c r="P855">
        <v>133</v>
      </c>
      <c r="Q855">
        <v>2.3978952727983707</v>
      </c>
      <c r="R855">
        <v>4.5538768916005408</v>
      </c>
      <c r="S855">
        <v>5.4847969334906548</v>
      </c>
      <c r="T855">
        <v>93.296000000000006</v>
      </c>
      <c r="U855">
        <v>2.2325431437911538</v>
      </c>
      <c r="V855">
        <v>-0.44922684044461197</v>
      </c>
      <c r="W855">
        <v>-0.76855194782346203</v>
      </c>
      <c r="X855">
        <v>-0.44700324392789598</v>
      </c>
      <c r="Y855">
        <v>-0.846122564821426</v>
      </c>
      <c r="Z855">
        <v>-0.92679578564836795</v>
      </c>
      <c r="AA855">
        <v>0.86332342905974202</v>
      </c>
      <c r="AB855">
        <v>2050</v>
      </c>
      <c r="AC855">
        <v>1</v>
      </c>
      <c r="AD855">
        <v>2</v>
      </c>
      <c r="AE855">
        <v>-0.51011828243844404</v>
      </c>
      <c r="AF855">
        <v>-1.31926610544908</v>
      </c>
      <c r="AG855">
        <v>-0.49519129530488198</v>
      </c>
      <c r="AH855">
        <v>-1.30291915298631</v>
      </c>
      <c r="AI855">
        <v>-1.48910909847246</v>
      </c>
      <c r="AJ855">
        <v>0.135038465204699</v>
      </c>
      <c r="AK855">
        <v>47.177235000000003</v>
      </c>
      <c r="AL855">
        <v>4.964315</v>
      </c>
      <c r="AM855">
        <v>48.856372813999997</v>
      </c>
      <c r="AN855">
        <v>2.3525296170000001</v>
      </c>
    </row>
    <row r="856" spans="1:40" x14ac:dyDescent="0.35">
      <c r="A856">
        <v>1067</v>
      </c>
      <c r="B856">
        <v>72</v>
      </c>
      <c r="C856" t="s">
        <v>40</v>
      </c>
      <c r="D856" t="s">
        <v>52</v>
      </c>
      <c r="E856" t="s">
        <v>42</v>
      </c>
      <c r="F856" t="s">
        <v>49</v>
      </c>
      <c r="G856">
        <v>6</v>
      </c>
      <c r="H856">
        <v>36</v>
      </c>
      <c r="I856">
        <v>6</v>
      </c>
      <c r="J856" t="s">
        <v>56</v>
      </c>
      <c r="K856" t="s">
        <v>46</v>
      </c>
      <c r="L856" t="s">
        <v>63</v>
      </c>
      <c r="M856">
        <v>469.61171945108748</v>
      </c>
      <c r="N856">
        <v>556</v>
      </c>
      <c r="O856">
        <v>290</v>
      </c>
      <c r="P856">
        <v>200</v>
      </c>
      <c r="Q856">
        <v>0</v>
      </c>
      <c r="R856">
        <v>0</v>
      </c>
      <c r="S856">
        <v>2.1972245773362196</v>
      </c>
      <c r="T856">
        <v>88.571764705882345</v>
      </c>
      <c r="U856">
        <v>1.0581645007873905</v>
      </c>
      <c r="V856">
        <v>-0.86345913794285001</v>
      </c>
      <c r="W856">
        <v>-0.82100750411685597</v>
      </c>
      <c r="X856">
        <v>-0.74332398245148801</v>
      </c>
      <c r="Y856">
        <v>1.4483117406157899</v>
      </c>
      <c r="Z856">
        <v>1.7680602694732599</v>
      </c>
      <c r="AA856">
        <v>0.26366440732357699</v>
      </c>
      <c r="AB856">
        <v>4236</v>
      </c>
      <c r="AC856">
        <v>0</v>
      </c>
      <c r="AD856">
        <v>4</v>
      </c>
      <c r="AE856">
        <v>1.6751267091712101</v>
      </c>
      <c r="AF856">
        <v>2.3045444102233199E-2</v>
      </c>
      <c r="AG856">
        <v>9.9148038578799502E-2</v>
      </c>
      <c r="AH856">
        <v>0.10057582082489901</v>
      </c>
      <c r="AI856">
        <v>-1.1847790571643999</v>
      </c>
      <c r="AJ856">
        <v>0.70079096828999399</v>
      </c>
      <c r="AK856">
        <v>45.086143999999997</v>
      </c>
      <c r="AL856">
        <v>-0.60531999999999997</v>
      </c>
      <c r="AM856">
        <v>48.842999999999996</v>
      </c>
      <c r="AN856">
        <v>2.2090000000000001</v>
      </c>
    </row>
    <row r="857" spans="1:40" x14ac:dyDescent="0.35">
      <c r="A857">
        <v>1068</v>
      </c>
      <c r="B857">
        <v>57</v>
      </c>
      <c r="C857" t="s">
        <v>40</v>
      </c>
      <c r="D857" t="s">
        <v>41</v>
      </c>
      <c r="E857" t="s">
        <v>42</v>
      </c>
      <c r="F857" t="s">
        <v>49</v>
      </c>
      <c r="G857">
        <v>6</v>
      </c>
      <c r="H857">
        <v>36</v>
      </c>
      <c r="I857">
        <v>6</v>
      </c>
      <c r="J857" t="s">
        <v>50</v>
      </c>
      <c r="K857" t="s">
        <v>46</v>
      </c>
      <c r="L857" t="s">
        <v>70</v>
      </c>
      <c r="M857">
        <v>417.15566830913463</v>
      </c>
      <c r="N857">
        <v>574</v>
      </c>
      <c r="O857">
        <v>300</v>
      </c>
      <c r="P857">
        <v>361</v>
      </c>
      <c r="Q857">
        <v>0</v>
      </c>
      <c r="R857">
        <v>0</v>
      </c>
      <c r="S857">
        <v>5.3230099791384085</v>
      </c>
      <c r="T857">
        <v>90.615999999999985</v>
      </c>
      <c r="U857">
        <v>1.11573792223403</v>
      </c>
      <c r="V857">
        <v>0.80288722813325297</v>
      </c>
      <c r="W857">
        <v>0.52082154240315903</v>
      </c>
      <c r="X857">
        <v>0.61908815691345198</v>
      </c>
      <c r="Y857">
        <v>1.5007680231051199</v>
      </c>
      <c r="Z857">
        <v>0.24292628533916899</v>
      </c>
      <c r="AA857">
        <v>8.5217386942517098E-2</v>
      </c>
      <c r="AB857">
        <v>3943</v>
      </c>
      <c r="AC857">
        <v>0</v>
      </c>
      <c r="AD857">
        <v>1</v>
      </c>
      <c r="AE857">
        <v>1.1088815174583</v>
      </c>
      <c r="AF857">
        <v>1.37846951015664</v>
      </c>
      <c r="AG857">
        <v>-1.75309167883991</v>
      </c>
      <c r="AH857">
        <v>-8.4993453156207197E-2</v>
      </c>
      <c r="AI857">
        <v>0.372978009775849</v>
      </c>
      <c r="AJ857">
        <v>1.31732974816191</v>
      </c>
      <c r="AK857">
        <v>46.098678999999997</v>
      </c>
      <c r="AL857">
        <v>4.7359530000000003</v>
      </c>
      <c r="AM857">
        <v>44.890999999999998</v>
      </c>
      <c r="AN857">
        <v>-0.32600000000000001</v>
      </c>
    </row>
    <row r="858" spans="1:40" x14ac:dyDescent="0.35">
      <c r="A858">
        <v>1069</v>
      </c>
      <c r="B858">
        <v>57</v>
      </c>
      <c r="C858" t="s">
        <v>40</v>
      </c>
      <c r="D858" t="s">
        <v>41</v>
      </c>
      <c r="E858" t="s">
        <v>42</v>
      </c>
      <c r="F858" t="s">
        <v>49</v>
      </c>
      <c r="G858">
        <v>3</v>
      </c>
      <c r="H858">
        <v>9</v>
      </c>
      <c r="I858">
        <v>5</v>
      </c>
      <c r="J858" t="s">
        <v>45</v>
      </c>
      <c r="K858" t="s">
        <v>46</v>
      </c>
      <c r="L858" t="s">
        <v>47</v>
      </c>
      <c r="M858">
        <v>624.26499006676806</v>
      </c>
      <c r="N858">
        <v>768</v>
      </c>
      <c r="O858">
        <v>487</v>
      </c>
      <c r="P858">
        <v>322</v>
      </c>
      <c r="Q858">
        <v>5.9107966440405271</v>
      </c>
      <c r="R858">
        <v>6.4997870406558542</v>
      </c>
      <c r="S858">
        <v>8.6415324656718457</v>
      </c>
      <c r="T858">
        <v>89.265350482850479</v>
      </c>
      <c r="U858">
        <v>1.4417786561042019</v>
      </c>
      <c r="V858">
        <v>-0.22886708829074301</v>
      </c>
      <c r="W858">
        <v>0.28745285629339301</v>
      </c>
      <c r="X858">
        <v>-0.15627425222847</v>
      </c>
      <c r="Y858">
        <v>1.45226138127617</v>
      </c>
      <c r="Z858">
        <v>0.98247225355557</v>
      </c>
      <c r="AA858">
        <v>0.627775520474398</v>
      </c>
      <c r="AB858">
        <v>3362.2959371744532</v>
      </c>
      <c r="AC858">
        <v>2.8998317172850387</v>
      </c>
      <c r="AD858">
        <v>2.9499158586425196</v>
      </c>
      <c r="AE858">
        <v>1.06273170356322</v>
      </c>
      <c r="AF858">
        <v>0.82302837798305495</v>
      </c>
      <c r="AG858">
        <v>-0.46008362590439</v>
      </c>
      <c r="AH858">
        <v>-1.46584559778035</v>
      </c>
      <c r="AI858">
        <v>-0.54018676599464299</v>
      </c>
      <c r="AJ858">
        <v>-1.30443298533977</v>
      </c>
      <c r="AK858">
        <v>43.3535629403058</v>
      </c>
      <c r="AL858">
        <v>3.21615314793977</v>
      </c>
      <c r="AM858">
        <v>48.93</v>
      </c>
      <c r="AN858">
        <v>2.359</v>
      </c>
    </row>
    <row r="859" spans="1:40" x14ac:dyDescent="0.35">
      <c r="A859">
        <v>1070</v>
      </c>
      <c r="B859">
        <v>29.5</v>
      </c>
      <c r="C859" t="s">
        <v>40</v>
      </c>
      <c r="D859" t="s">
        <v>41</v>
      </c>
      <c r="E859" t="s">
        <v>42</v>
      </c>
      <c r="F859" t="s">
        <v>53</v>
      </c>
      <c r="G859">
        <v>5</v>
      </c>
      <c r="H859">
        <v>25</v>
      </c>
      <c r="I859">
        <v>5</v>
      </c>
      <c r="J859" t="s">
        <v>56</v>
      </c>
      <c r="K859" t="s">
        <v>46</v>
      </c>
      <c r="L859" t="s">
        <v>73</v>
      </c>
      <c r="M859">
        <v>375.01848878457088</v>
      </c>
      <c r="N859">
        <v>471</v>
      </c>
      <c r="O859">
        <v>311</v>
      </c>
      <c r="P859">
        <v>363</v>
      </c>
      <c r="Q859">
        <v>1.9459101490553132</v>
      </c>
      <c r="R859">
        <v>2.9444389791664403</v>
      </c>
      <c r="S859">
        <v>4.2626798770413155</v>
      </c>
      <c r="T859">
        <v>91.872500000000002</v>
      </c>
      <c r="U859">
        <v>2.0033201607997366</v>
      </c>
      <c r="V859">
        <v>7.5580716531248995E-2</v>
      </c>
      <c r="W859">
        <v>0.203376316306385</v>
      </c>
      <c r="X859">
        <v>0.143329752535333</v>
      </c>
      <c r="Y859">
        <v>1.4483117406157899</v>
      </c>
      <c r="Z859">
        <v>1.7680602694732599</v>
      </c>
      <c r="AA859">
        <v>0.26366440732357699</v>
      </c>
      <c r="AB859">
        <v>4236</v>
      </c>
      <c r="AC859">
        <v>0</v>
      </c>
      <c r="AD859">
        <v>4</v>
      </c>
      <c r="AE859">
        <v>1.6751267091712101</v>
      </c>
      <c r="AF859">
        <v>-1.32901555526649</v>
      </c>
      <c r="AG859">
        <v>1.22993053069235</v>
      </c>
      <c r="AH859">
        <v>-0.51812639373295</v>
      </c>
      <c r="AI859">
        <v>0.69831238820493602</v>
      </c>
      <c r="AJ859">
        <v>-0.38693737817928298</v>
      </c>
      <c r="AK859">
        <v>44.686388999999998</v>
      </c>
      <c r="AL859">
        <v>-0.52383800000000003</v>
      </c>
      <c r="AM859">
        <v>43.564</v>
      </c>
      <c r="AN859">
        <v>3.9020000000000001</v>
      </c>
    </row>
    <row r="860" spans="1:40" x14ac:dyDescent="0.35">
      <c r="A860">
        <v>1071</v>
      </c>
      <c r="B860">
        <v>57</v>
      </c>
      <c r="C860" t="s">
        <v>48</v>
      </c>
      <c r="D860" t="s">
        <v>66</v>
      </c>
      <c r="E860" t="s">
        <v>42</v>
      </c>
      <c r="F860" t="s">
        <v>61</v>
      </c>
      <c r="G860">
        <v>4</v>
      </c>
      <c r="H860">
        <v>16</v>
      </c>
      <c r="I860">
        <v>7</v>
      </c>
      <c r="J860" t="s">
        <v>56</v>
      </c>
      <c r="K860" t="s">
        <v>46</v>
      </c>
      <c r="L860" t="s">
        <v>65</v>
      </c>
      <c r="M860">
        <v>61.998393594265629</v>
      </c>
      <c r="N860">
        <v>85</v>
      </c>
      <c r="O860">
        <v>55</v>
      </c>
      <c r="P860">
        <v>80</v>
      </c>
      <c r="Q860">
        <v>0</v>
      </c>
      <c r="R860">
        <v>0</v>
      </c>
      <c r="S860">
        <v>4.4543472962535073</v>
      </c>
      <c r="T860">
        <v>89.333044733044744</v>
      </c>
      <c r="U860">
        <v>1.2554235437523662</v>
      </c>
      <c r="V860">
        <v>1.64975517953679</v>
      </c>
      <c r="W860">
        <v>2.4220969657957299</v>
      </c>
      <c r="X860">
        <v>1.68128863126442</v>
      </c>
      <c r="Y860">
        <v>2.0553398017137301</v>
      </c>
      <c r="Z860">
        <v>2.0921400018840099</v>
      </c>
      <c r="AA860">
        <v>2.0596698968962701</v>
      </c>
      <c r="AB860">
        <v>3262.71</v>
      </c>
      <c r="AC860">
        <v>0.33</v>
      </c>
      <c r="AD860">
        <v>0.66</v>
      </c>
      <c r="AE860">
        <v>1.9221838973381</v>
      </c>
      <c r="AF860">
        <v>0.24969339123190348</v>
      </c>
      <c r="AG860">
        <v>-0.90819029375475391</v>
      </c>
      <c r="AH860">
        <v>1.7687453862107356</v>
      </c>
      <c r="AI860">
        <v>0.65025542808436498</v>
      </c>
      <c r="AJ860">
        <v>0.58222282713708096</v>
      </c>
      <c r="AK860">
        <v>43.537466000000002</v>
      </c>
      <c r="AL860">
        <v>6.4627330000000001</v>
      </c>
      <c r="AM860">
        <v>43.136000000000003</v>
      </c>
      <c r="AN860">
        <v>5.9320000000000004</v>
      </c>
    </row>
    <row r="861" spans="1:40" x14ac:dyDescent="0.35">
      <c r="A861">
        <v>1072</v>
      </c>
      <c r="B861">
        <v>57</v>
      </c>
      <c r="C861" t="s">
        <v>40</v>
      </c>
      <c r="D861" t="s">
        <v>66</v>
      </c>
      <c r="E861" t="s">
        <v>42</v>
      </c>
      <c r="F861" t="s">
        <v>43</v>
      </c>
      <c r="G861">
        <v>6</v>
      </c>
      <c r="H861">
        <v>36</v>
      </c>
      <c r="I861">
        <v>5</v>
      </c>
      <c r="J861" t="s">
        <v>50</v>
      </c>
      <c r="K861" t="s">
        <v>46</v>
      </c>
      <c r="L861" t="s">
        <v>78</v>
      </c>
      <c r="M861">
        <v>822.00782406130122</v>
      </c>
      <c r="N861">
        <v>1190</v>
      </c>
      <c r="O861">
        <v>930</v>
      </c>
      <c r="P861">
        <v>1620</v>
      </c>
      <c r="Q861">
        <v>0</v>
      </c>
      <c r="R861">
        <v>0</v>
      </c>
      <c r="S861">
        <v>3.784189633918261</v>
      </c>
      <c r="T861">
        <v>88.642856449106446</v>
      </c>
      <c r="U861">
        <v>1.0940428522509147</v>
      </c>
      <c r="V861">
        <v>8.5508000285955607E-3</v>
      </c>
      <c r="W861">
        <v>-0.51120442009665101</v>
      </c>
      <c r="X861">
        <v>-0.50395056569549701</v>
      </c>
      <c r="Y861">
        <v>-1.08176131679965</v>
      </c>
      <c r="Z861">
        <v>-1.2254354371323599</v>
      </c>
      <c r="AA861">
        <v>-2.1159072764009799</v>
      </c>
      <c r="AB861">
        <v>465.17385257301805</v>
      </c>
      <c r="AC861">
        <v>0.43254520166898469</v>
      </c>
      <c r="AD861">
        <v>0.43254520166898469</v>
      </c>
      <c r="AE861">
        <v>7.7424783941295205E-2</v>
      </c>
      <c r="AF861">
        <v>0.45118423101451</v>
      </c>
      <c r="AG861">
        <v>1.3265453675799801</v>
      </c>
      <c r="AH861">
        <v>0.99604734031999398</v>
      </c>
      <c r="AI861">
        <v>1.13258120153958</v>
      </c>
      <c r="AJ861">
        <v>-0.30846001985515098</v>
      </c>
      <c r="AK861">
        <v>42.680641999999999</v>
      </c>
      <c r="AL861">
        <v>9.3018979999999996</v>
      </c>
      <c r="AM861">
        <v>44.663714285714285</v>
      </c>
      <c r="AN861">
        <v>-0.5397142857142857</v>
      </c>
    </row>
    <row r="862" spans="1:40" x14ac:dyDescent="0.35">
      <c r="A862">
        <v>1074</v>
      </c>
      <c r="B862">
        <v>72</v>
      </c>
      <c r="C862" t="s">
        <v>40</v>
      </c>
      <c r="D862" t="s">
        <v>52</v>
      </c>
      <c r="E862" t="s">
        <v>42</v>
      </c>
      <c r="F862" t="s">
        <v>61</v>
      </c>
      <c r="G862">
        <v>5</v>
      </c>
      <c r="H862">
        <v>25</v>
      </c>
      <c r="I862">
        <v>6</v>
      </c>
      <c r="J862" t="s">
        <v>56</v>
      </c>
      <c r="K862" t="s">
        <v>46</v>
      </c>
      <c r="L862" t="s">
        <v>83</v>
      </c>
      <c r="M862">
        <v>285.71946628213112</v>
      </c>
      <c r="N862">
        <v>343</v>
      </c>
      <c r="O862">
        <v>231</v>
      </c>
      <c r="P862">
        <v>202</v>
      </c>
      <c r="Q862">
        <v>0</v>
      </c>
      <c r="R862">
        <v>0</v>
      </c>
      <c r="S862">
        <v>4.4886363697321396</v>
      </c>
      <c r="T862">
        <v>90.115111111111119</v>
      </c>
      <c r="U862">
        <v>1.2513404171152498</v>
      </c>
      <c r="V862">
        <v>-0.46152060700845399</v>
      </c>
      <c r="W862">
        <v>-0.57121975163865102</v>
      </c>
      <c r="X862">
        <v>-0.33135740862223101</v>
      </c>
      <c r="Y862">
        <v>-0.77598924050104101</v>
      </c>
      <c r="Z862">
        <v>0.47668876811384397</v>
      </c>
      <c r="AA862">
        <v>0.85617757356637403</v>
      </c>
      <c r="AB862">
        <v>2565</v>
      </c>
      <c r="AC862">
        <v>1</v>
      </c>
      <c r="AD862">
        <v>0</v>
      </c>
      <c r="AE862">
        <v>-0.72514205471140702</v>
      </c>
      <c r="AF862">
        <v>-0.56762555590181896</v>
      </c>
      <c r="AG862">
        <v>-0.60170839804222198</v>
      </c>
      <c r="AH862">
        <v>0.62359300159741904</v>
      </c>
      <c r="AI862">
        <v>-0.56255731392187702</v>
      </c>
      <c r="AJ862">
        <v>-0.28794366850553899</v>
      </c>
      <c r="AK862">
        <v>46.839658</v>
      </c>
      <c r="AL862">
        <v>4.7189269999999999</v>
      </c>
      <c r="AM862">
        <v>48.856372813999997</v>
      </c>
      <c r="AN862">
        <v>2.3525296170000001</v>
      </c>
    </row>
    <row r="863" spans="1:40" x14ac:dyDescent="0.35">
      <c r="A863">
        <v>1075</v>
      </c>
      <c r="B863">
        <v>72</v>
      </c>
      <c r="C863" t="s">
        <v>48</v>
      </c>
      <c r="D863" t="s">
        <v>41</v>
      </c>
      <c r="E863" t="s">
        <v>42</v>
      </c>
      <c r="F863" t="s">
        <v>49</v>
      </c>
      <c r="G863">
        <v>5</v>
      </c>
      <c r="H863">
        <v>25</v>
      </c>
      <c r="I863">
        <v>5</v>
      </c>
      <c r="J863" t="s">
        <v>56</v>
      </c>
      <c r="K863" t="s">
        <v>46</v>
      </c>
      <c r="L863" t="s">
        <v>72</v>
      </c>
      <c r="M863">
        <v>489.67991760605997</v>
      </c>
      <c r="N863">
        <v>574</v>
      </c>
      <c r="O863">
        <v>350</v>
      </c>
      <c r="P863">
        <v>374</v>
      </c>
      <c r="Q863">
        <v>0.69314718055994529</v>
      </c>
      <c r="R863">
        <v>1.3862943611198906</v>
      </c>
      <c r="S863">
        <v>4.5538768916005408</v>
      </c>
      <c r="T863">
        <v>89.340161030595823</v>
      </c>
      <c r="U863">
        <v>1.4712304197281412</v>
      </c>
      <c r="V863">
        <v>0.59716251398508702</v>
      </c>
      <c r="W863">
        <v>0.91068296986709796</v>
      </c>
      <c r="X863">
        <v>1.2273243988355</v>
      </c>
      <c r="Y863">
        <v>-0.4121809470949</v>
      </c>
      <c r="Z863">
        <v>-0.86472582726521097</v>
      </c>
      <c r="AA863">
        <v>-1.0172779374790899</v>
      </c>
      <c r="AB863">
        <v>1828.1689246701658</v>
      </c>
      <c r="AC863">
        <v>1.1127464888636687</v>
      </c>
      <c r="AD863">
        <v>1.8630656830756136</v>
      </c>
      <c r="AE863">
        <v>-0.53926882203722504</v>
      </c>
      <c r="AF863">
        <v>1.1743037733891399</v>
      </c>
      <c r="AG863">
        <v>-0.158395729083253</v>
      </c>
      <c r="AH863">
        <v>-0.14279824284044301</v>
      </c>
      <c r="AI863">
        <v>0.61650428133425805</v>
      </c>
      <c r="AJ863">
        <v>0.47375296313960003</v>
      </c>
      <c r="AK863">
        <v>44.503641999999999</v>
      </c>
      <c r="AL863">
        <v>1.1863669999999999</v>
      </c>
      <c r="AM863">
        <v>48.818000000000005</v>
      </c>
      <c r="AN863">
        <v>2.4380000000000002</v>
      </c>
    </row>
    <row r="864" spans="1:40" x14ac:dyDescent="0.35">
      <c r="A864">
        <v>1076</v>
      </c>
      <c r="B864">
        <v>29.5</v>
      </c>
      <c r="C864" t="s">
        <v>40</v>
      </c>
      <c r="D864" t="s">
        <v>66</v>
      </c>
      <c r="E864" t="s">
        <v>42</v>
      </c>
      <c r="F864" t="s">
        <v>49</v>
      </c>
      <c r="G864">
        <v>5</v>
      </c>
      <c r="H864">
        <v>25</v>
      </c>
      <c r="I864">
        <v>5</v>
      </c>
      <c r="J864" t="s">
        <v>50</v>
      </c>
      <c r="K864" t="s">
        <v>46</v>
      </c>
      <c r="L864" t="s">
        <v>76</v>
      </c>
      <c r="M864">
        <v>173.64663678342501</v>
      </c>
      <c r="N864">
        <v>199</v>
      </c>
      <c r="O864">
        <v>141</v>
      </c>
      <c r="P864">
        <v>113</v>
      </c>
      <c r="Q864">
        <v>0</v>
      </c>
      <c r="R864">
        <v>1.0986122886681098</v>
      </c>
      <c r="S864">
        <v>4.1588830833596715</v>
      </c>
      <c r="T864">
        <v>91.226666666666674</v>
      </c>
      <c r="U864">
        <v>1.418823059726001</v>
      </c>
      <c r="V864">
        <v>-0.39095273818515502</v>
      </c>
      <c r="W864">
        <v>-0.53446083104759001</v>
      </c>
      <c r="X864">
        <v>-0.40804429067029002</v>
      </c>
      <c r="Y864">
        <v>-0.56789545922357498</v>
      </c>
      <c r="Z864">
        <v>-0.94760790482486201</v>
      </c>
      <c r="AA864">
        <v>-1.0848673571571601</v>
      </c>
      <c r="AB864">
        <v>1770.5103102717287</v>
      </c>
      <c r="AC864">
        <v>0.28213528618230871</v>
      </c>
      <c r="AD864">
        <v>1.7130468298323378</v>
      </c>
      <c r="AE864">
        <v>-1.13486126839574</v>
      </c>
      <c r="AF864">
        <v>-0.44202365712020603</v>
      </c>
      <c r="AG864">
        <v>0.206321053199441</v>
      </c>
      <c r="AH864">
        <v>-0.36001636721103603</v>
      </c>
      <c r="AI864">
        <v>0.632052343949419</v>
      </c>
      <c r="AJ864">
        <v>1.2472117319006</v>
      </c>
      <c r="AK864">
        <v>47.330690599999997</v>
      </c>
      <c r="AL864">
        <v>2.8390453999999998</v>
      </c>
      <c r="AM864">
        <v>48.856372813999997</v>
      </c>
      <c r="AN864">
        <v>2.3525296170000001</v>
      </c>
    </row>
    <row r="865" spans="1:40" x14ac:dyDescent="0.35">
      <c r="A865">
        <v>1077</v>
      </c>
      <c r="B865">
        <v>57</v>
      </c>
      <c r="C865" t="s">
        <v>48</v>
      </c>
      <c r="D865" t="s">
        <v>41</v>
      </c>
      <c r="E865" t="s">
        <v>42</v>
      </c>
      <c r="F865" t="s">
        <v>49</v>
      </c>
      <c r="G865">
        <v>5</v>
      </c>
      <c r="H865">
        <v>25</v>
      </c>
      <c r="I865">
        <v>6</v>
      </c>
      <c r="J865" t="s">
        <v>50</v>
      </c>
      <c r="K865" t="s">
        <v>46</v>
      </c>
      <c r="L865" t="s">
        <v>55</v>
      </c>
      <c r="M865">
        <v>62.737498289962559</v>
      </c>
      <c r="N865">
        <v>73</v>
      </c>
      <c r="O865">
        <v>61</v>
      </c>
      <c r="P865">
        <v>30</v>
      </c>
      <c r="Q865">
        <v>2.0794415416798357</v>
      </c>
      <c r="R865">
        <v>2.3025850929940459</v>
      </c>
      <c r="S865">
        <v>3.2580965380214821</v>
      </c>
      <c r="T865">
        <v>95.12</v>
      </c>
      <c r="U865">
        <v>0</v>
      </c>
      <c r="V865">
        <v>1.89305099905856</v>
      </c>
      <c r="W865">
        <v>0.59880690621441701</v>
      </c>
      <c r="X865">
        <v>1.1856460040685599</v>
      </c>
      <c r="Y865">
        <v>-0.15565097555555901</v>
      </c>
      <c r="Z865">
        <v>-0.22748295097212001</v>
      </c>
      <c r="AA865">
        <v>1.0415013010201299</v>
      </c>
      <c r="AB865">
        <v>2939.9504036908884</v>
      </c>
      <c r="AC865">
        <v>2</v>
      </c>
      <c r="AD865">
        <v>0.42868127643214149</v>
      </c>
      <c r="AE865">
        <v>-2.40641039566141E-2</v>
      </c>
      <c r="AF865">
        <v>-2.0467526439765402</v>
      </c>
      <c r="AG865">
        <v>-2.54027486020646</v>
      </c>
      <c r="AH865">
        <v>1.4759525471571899</v>
      </c>
      <c r="AI865">
        <v>-2.04045484944508</v>
      </c>
      <c r="AJ865">
        <v>1.63729208016913</v>
      </c>
      <c r="AK865">
        <v>48.0777517</v>
      </c>
      <c r="AL865">
        <v>7.3579641000000002</v>
      </c>
      <c r="AM865">
        <v>48.570999999999998</v>
      </c>
      <c r="AN865">
        <v>7.7679999999999998</v>
      </c>
    </row>
    <row r="866" spans="1:40" x14ac:dyDescent="0.35">
      <c r="A866">
        <v>1079</v>
      </c>
      <c r="B866">
        <v>57</v>
      </c>
      <c r="C866" t="s">
        <v>40</v>
      </c>
      <c r="D866" t="s">
        <v>41</v>
      </c>
      <c r="E866" t="s">
        <v>42</v>
      </c>
      <c r="F866" t="s">
        <v>49</v>
      </c>
      <c r="G866">
        <v>5</v>
      </c>
      <c r="H866">
        <v>25</v>
      </c>
      <c r="I866">
        <v>6</v>
      </c>
      <c r="J866" t="s">
        <v>50</v>
      </c>
      <c r="K866" t="s">
        <v>46</v>
      </c>
      <c r="L866" t="s">
        <v>51</v>
      </c>
      <c r="M866">
        <v>102.8848904355925</v>
      </c>
      <c r="N866">
        <v>158</v>
      </c>
      <c r="O866">
        <v>106</v>
      </c>
      <c r="P866">
        <v>202</v>
      </c>
      <c r="Q866">
        <v>0</v>
      </c>
      <c r="R866">
        <v>1.3862943611198906</v>
      </c>
      <c r="S866">
        <v>4.3438054218536841</v>
      </c>
      <c r="T866">
        <v>91.16</v>
      </c>
      <c r="U866">
        <v>2.3174698847378039</v>
      </c>
      <c r="V866">
        <v>-0.58471966768986094</v>
      </c>
      <c r="W866">
        <v>-0.55557078097057</v>
      </c>
      <c r="X866">
        <v>-0.47566183223429498</v>
      </c>
      <c r="Y866">
        <v>-0.95884680312505799</v>
      </c>
      <c r="Z866">
        <v>-0.76521334103430205</v>
      </c>
      <c r="AA866">
        <v>-0.77245900699560299</v>
      </c>
      <c r="AB866">
        <v>1376</v>
      </c>
      <c r="AC866">
        <v>0</v>
      </c>
      <c r="AD866">
        <v>2</v>
      </c>
      <c r="AE866">
        <v>-1.2769936012368599</v>
      </c>
      <c r="AF866">
        <v>0.40117426258213201</v>
      </c>
      <c r="AG866">
        <v>-0.80749932369301802</v>
      </c>
      <c r="AH866">
        <v>0.36021577223812001</v>
      </c>
      <c r="AI866">
        <v>0.41379892071340402</v>
      </c>
      <c r="AJ866">
        <v>-1.3098208329412699</v>
      </c>
      <c r="AK866">
        <v>47.815207299999997</v>
      </c>
      <c r="AL866">
        <v>3.8001657</v>
      </c>
      <c r="AM866">
        <v>48.432000000000002</v>
      </c>
      <c r="AN866">
        <v>2.7690000000000001</v>
      </c>
    </row>
    <row r="867" spans="1:40" x14ac:dyDescent="0.35">
      <c r="A867">
        <v>1080</v>
      </c>
      <c r="B867">
        <v>21.5</v>
      </c>
      <c r="C867" t="s">
        <v>40</v>
      </c>
      <c r="D867" t="s">
        <v>66</v>
      </c>
      <c r="E867" t="s">
        <v>42</v>
      </c>
      <c r="F867" t="s">
        <v>43</v>
      </c>
      <c r="G867">
        <v>4</v>
      </c>
      <c r="H867">
        <v>16</v>
      </c>
      <c r="I867">
        <v>3</v>
      </c>
      <c r="J867" t="s">
        <v>45</v>
      </c>
      <c r="K867" t="s">
        <v>46</v>
      </c>
      <c r="L867" t="s">
        <v>69</v>
      </c>
      <c r="M867">
        <v>282.17901912325988</v>
      </c>
      <c r="N867">
        <v>335</v>
      </c>
      <c r="O867">
        <v>180</v>
      </c>
      <c r="P867">
        <v>204</v>
      </c>
      <c r="Q867">
        <v>2.3978952727983707</v>
      </c>
      <c r="R867">
        <v>4.5538768916005408</v>
      </c>
      <c r="S867">
        <v>5.4847969334906548</v>
      </c>
      <c r="T867">
        <v>93.296000000000006</v>
      </c>
      <c r="U867">
        <v>2.2325431437911538</v>
      </c>
      <c r="V867">
        <v>-0.44922684044461197</v>
      </c>
      <c r="W867">
        <v>-0.76855194782346203</v>
      </c>
      <c r="X867">
        <v>-0.44700324392789598</v>
      </c>
      <c r="Y867">
        <v>-0.846122564821426</v>
      </c>
      <c r="Z867">
        <v>-0.92679578564836795</v>
      </c>
      <c r="AA867">
        <v>0.86332342905974202</v>
      </c>
      <c r="AB867">
        <v>2050</v>
      </c>
      <c r="AC867">
        <v>1</v>
      </c>
      <c r="AD867">
        <v>2</v>
      </c>
      <c r="AE867">
        <v>-0.51011828243844404</v>
      </c>
      <c r="AF867">
        <v>-3.48131305513531E-2</v>
      </c>
      <c r="AG867">
        <v>0.19616614155769599</v>
      </c>
      <c r="AH867">
        <v>1.03309187507386</v>
      </c>
      <c r="AI867">
        <v>1.69210914865933</v>
      </c>
      <c r="AJ867">
        <v>-0.30727317137575799</v>
      </c>
      <c r="AK867">
        <v>47.177235000000003</v>
      </c>
      <c r="AL867">
        <v>4.964315</v>
      </c>
      <c r="AM867">
        <v>48.78</v>
      </c>
      <c r="AN867">
        <v>2.0299999999999998</v>
      </c>
    </row>
    <row r="868" spans="1:40" x14ac:dyDescent="0.35">
      <c r="A868">
        <v>1081</v>
      </c>
      <c r="B868">
        <v>57</v>
      </c>
      <c r="C868" t="s">
        <v>48</v>
      </c>
      <c r="D868" t="s">
        <v>41</v>
      </c>
      <c r="E868" t="s">
        <v>42</v>
      </c>
      <c r="F868" t="s">
        <v>53</v>
      </c>
      <c r="G868">
        <v>7</v>
      </c>
      <c r="H868">
        <v>49</v>
      </c>
      <c r="I868">
        <v>5</v>
      </c>
      <c r="J868" t="s">
        <v>50</v>
      </c>
      <c r="K868" t="s">
        <v>46</v>
      </c>
      <c r="L868" t="s">
        <v>62</v>
      </c>
      <c r="M868">
        <v>118.81389814254101</v>
      </c>
      <c r="N868">
        <v>143</v>
      </c>
      <c r="O868">
        <v>100</v>
      </c>
      <c r="P868">
        <v>80</v>
      </c>
      <c r="Q868">
        <v>0.69314718055994529</v>
      </c>
      <c r="R868">
        <v>3.2580965380214821</v>
      </c>
      <c r="S868">
        <v>3.2580965380214821</v>
      </c>
      <c r="T868">
        <v>95.68</v>
      </c>
      <c r="U868">
        <v>0</v>
      </c>
      <c r="V868">
        <v>1.82802042479695</v>
      </c>
      <c r="W868">
        <v>0.99424279543483596</v>
      </c>
      <c r="X868">
        <v>0.99177342203587404</v>
      </c>
      <c r="Y868">
        <v>-0.96278755162326501</v>
      </c>
      <c r="Z868">
        <v>-0.75605764486205096</v>
      </c>
      <c r="AA868">
        <v>-0.80037586101695801</v>
      </c>
      <c r="AB868">
        <v>2092.91</v>
      </c>
      <c r="AC868">
        <v>0</v>
      </c>
      <c r="AD868">
        <v>2.1</v>
      </c>
      <c r="AE868">
        <v>-1.0768626388726401</v>
      </c>
      <c r="AF868">
        <v>-0.32265994622773198</v>
      </c>
      <c r="AG868">
        <v>9.7915089919103998E-2</v>
      </c>
      <c r="AH868">
        <v>0.39662882158373097</v>
      </c>
      <c r="AI868">
        <v>0.30278782777224411</v>
      </c>
      <c r="AJ868">
        <v>-0.86495522848393802</v>
      </c>
      <c r="AK868">
        <v>49.042560999999999</v>
      </c>
      <c r="AL868">
        <v>3.9528660000000002</v>
      </c>
      <c r="AM868">
        <v>48.856372813999997</v>
      </c>
      <c r="AN868">
        <v>2.3525296170000001</v>
      </c>
    </row>
    <row r="869" spans="1:40" x14ac:dyDescent="0.35">
      <c r="A869">
        <v>1082</v>
      </c>
      <c r="B869">
        <v>72</v>
      </c>
      <c r="C869" t="s">
        <v>40</v>
      </c>
      <c r="D869" t="s">
        <v>52</v>
      </c>
      <c r="E869" t="s">
        <v>42</v>
      </c>
      <c r="F869" t="s">
        <v>49</v>
      </c>
      <c r="G869">
        <v>6</v>
      </c>
      <c r="H869">
        <v>36</v>
      </c>
      <c r="I869">
        <v>7</v>
      </c>
      <c r="J869" t="s">
        <v>50</v>
      </c>
      <c r="K869" t="s">
        <v>46</v>
      </c>
      <c r="L869" t="s">
        <v>58</v>
      </c>
      <c r="M869">
        <v>40.025174337239037</v>
      </c>
      <c r="N869">
        <v>52</v>
      </c>
      <c r="O869">
        <v>68</v>
      </c>
      <c r="P869">
        <v>67</v>
      </c>
      <c r="Q869">
        <v>3.2580965380214821</v>
      </c>
      <c r="R869">
        <v>2.8903717578961645</v>
      </c>
      <c r="S869">
        <v>4.7535901911063645</v>
      </c>
      <c r="T869">
        <v>90.794285714285706</v>
      </c>
      <c r="U869">
        <v>0</v>
      </c>
      <c r="V869">
        <v>0.63905639120027702</v>
      </c>
      <c r="W869">
        <v>0.692565001186083</v>
      </c>
      <c r="X869">
        <v>0.56469097254324596</v>
      </c>
      <c r="Y869">
        <v>1.4483117406157899</v>
      </c>
      <c r="Z869">
        <v>1.7680602694732599</v>
      </c>
      <c r="AA869">
        <v>0.26366440732357699</v>
      </c>
      <c r="AB869">
        <v>4236</v>
      </c>
      <c r="AC869">
        <v>0</v>
      </c>
      <c r="AD869">
        <v>4</v>
      </c>
      <c r="AE869">
        <v>1.6751267091712101</v>
      </c>
      <c r="AF869">
        <v>-0.34586944732195402</v>
      </c>
      <c r="AG869">
        <v>0.21378189046682899</v>
      </c>
      <c r="AH869">
        <v>2.4025492315755695E-2</v>
      </c>
      <c r="AI869">
        <v>-1.7843843324288799</v>
      </c>
      <c r="AJ869">
        <v>0.212783538510393</v>
      </c>
      <c r="AK869">
        <v>45.198478000000001</v>
      </c>
      <c r="AL869">
        <v>-0.74874399999999997</v>
      </c>
      <c r="AM869">
        <v>44.844900000000003</v>
      </c>
      <c r="AN869">
        <v>-0.65639999999999998</v>
      </c>
    </row>
    <row r="870" spans="1:40" x14ac:dyDescent="0.35">
      <c r="A870">
        <v>1083</v>
      </c>
      <c r="B870">
        <v>72</v>
      </c>
      <c r="C870" t="s">
        <v>40</v>
      </c>
      <c r="D870" t="s">
        <v>52</v>
      </c>
      <c r="E870" t="s">
        <v>42</v>
      </c>
      <c r="F870" t="s">
        <v>43</v>
      </c>
      <c r="G870">
        <v>6</v>
      </c>
      <c r="H870">
        <v>36</v>
      </c>
      <c r="I870">
        <v>7</v>
      </c>
      <c r="J870" t="s">
        <v>50</v>
      </c>
      <c r="K870" t="s">
        <v>46</v>
      </c>
      <c r="L870" t="s">
        <v>57</v>
      </c>
      <c r="M870">
        <v>287.25766833386672</v>
      </c>
      <c r="N870">
        <v>358</v>
      </c>
      <c r="O870">
        <v>277</v>
      </c>
      <c r="P870">
        <v>174</v>
      </c>
      <c r="Q870">
        <v>0.69314718055994529</v>
      </c>
      <c r="R870">
        <v>3.6109179126442243</v>
      </c>
      <c r="S870">
        <v>5.8833223884882786</v>
      </c>
      <c r="T870">
        <v>90.922105263157903</v>
      </c>
      <c r="U870">
        <v>2.3923758041545438</v>
      </c>
      <c r="V870">
        <v>-0.399596989308249</v>
      </c>
      <c r="W870">
        <v>-0.58810405700346202</v>
      </c>
      <c r="X870">
        <v>-0.29041857108635599</v>
      </c>
      <c r="Y870">
        <v>-0.846122564821426</v>
      </c>
      <c r="Z870">
        <v>-0.92679578564836795</v>
      </c>
      <c r="AA870">
        <v>0.86332342905974202</v>
      </c>
      <c r="AB870">
        <v>2050</v>
      </c>
      <c r="AC870">
        <v>1</v>
      </c>
      <c r="AD870">
        <v>2</v>
      </c>
      <c r="AE870">
        <v>-0.51011828243844404</v>
      </c>
      <c r="AF870">
        <v>0.86112671484580505</v>
      </c>
      <c r="AG870">
        <v>-0.71189001410638098</v>
      </c>
      <c r="AH870">
        <v>-1.5406424962954</v>
      </c>
      <c r="AI870">
        <v>0.110725206598595</v>
      </c>
      <c r="AJ870">
        <v>-0.89144798522000701</v>
      </c>
      <c r="AK870">
        <v>47.023905999999997</v>
      </c>
      <c r="AL870">
        <v>4.8380429999999999</v>
      </c>
      <c r="AM870">
        <v>48.97</v>
      </c>
      <c r="AN870">
        <v>2.3050000000000002</v>
      </c>
    </row>
    <row r="871" spans="1:40" x14ac:dyDescent="0.35">
      <c r="A871">
        <v>1084</v>
      </c>
      <c r="B871">
        <v>57</v>
      </c>
      <c r="C871" t="s">
        <v>40</v>
      </c>
      <c r="D871" t="s">
        <v>41</v>
      </c>
      <c r="E871" t="s">
        <v>42</v>
      </c>
      <c r="F871" t="s">
        <v>49</v>
      </c>
      <c r="G871">
        <v>5</v>
      </c>
      <c r="H871">
        <v>25</v>
      </c>
      <c r="I871">
        <v>5</v>
      </c>
      <c r="J871" t="s">
        <v>50</v>
      </c>
      <c r="K871" t="s">
        <v>46</v>
      </c>
      <c r="L871" t="s">
        <v>74</v>
      </c>
      <c r="M871">
        <v>341.50632792300848</v>
      </c>
      <c r="N871">
        <v>416</v>
      </c>
      <c r="O871">
        <v>262</v>
      </c>
      <c r="P871">
        <v>160</v>
      </c>
      <c r="Q871">
        <v>1.6094379124341003</v>
      </c>
      <c r="R871">
        <v>2.5649493574615367</v>
      </c>
      <c r="S871">
        <v>4.8202815656050371</v>
      </c>
      <c r="T871">
        <v>91.984920634920627</v>
      </c>
      <c r="U871">
        <v>1.0351430572167302</v>
      </c>
      <c r="V871">
        <v>-0.45376679124596098</v>
      </c>
      <c r="W871">
        <v>-0.56138574648679695</v>
      </c>
      <c r="X871">
        <v>-0.92192590083580195</v>
      </c>
      <c r="Y871">
        <v>-1.17232967929859</v>
      </c>
      <c r="Z871">
        <v>-0.98267194414701198</v>
      </c>
      <c r="AA871">
        <v>-0.89586780259421905</v>
      </c>
      <c r="AB871">
        <v>1270</v>
      </c>
      <c r="AC871">
        <v>3</v>
      </c>
      <c r="AD871">
        <v>1</v>
      </c>
      <c r="AE871">
        <v>-1.1438350904766701</v>
      </c>
      <c r="AF871">
        <v>-0.37965592685856803</v>
      </c>
      <c r="AG871">
        <v>-1.75020142847427</v>
      </c>
      <c r="AH871">
        <v>-8.3802502082776301E-2</v>
      </c>
      <c r="AI871">
        <v>-1.86599988993651</v>
      </c>
      <c r="AJ871">
        <v>0.132667004850374</v>
      </c>
      <c r="AK871">
        <v>46.672161000000003</v>
      </c>
      <c r="AL871">
        <v>5.558465</v>
      </c>
      <c r="AM871">
        <v>48.856372813999997</v>
      </c>
      <c r="AN871">
        <v>2.3525296170000001</v>
      </c>
    </row>
    <row r="872" spans="1:40" x14ac:dyDescent="0.35">
      <c r="A872">
        <v>1085</v>
      </c>
      <c r="B872">
        <v>57</v>
      </c>
      <c r="C872" t="s">
        <v>40</v>
      </c>
      <c r="D872" t="s">
        <v>41</v>
      </c>
      <c r="E872" t="s">
        <v>68</v>
      </c>
      <c r="F872" t="s">
        <v>49</v>
      </c>
      <c r="G872">
        <v>5</v>
      </c>
      <c r="H872">
        <v>25</v>
      </c>
      <c r="I872">
        <v>5</v>
      </c>
      <c r="J872" t="s">
        <v>50</v>
      </c>
      <c r="K872" t="s">
        <v>46</v>
      </c>
      <c r="L872" t="s">
        <v>47</v>
      </c>
      <c r="M872">
        <v>818.53849504709979</v>
      </c>
      <c r="N872">
        <v>1069</v>
      </c>
      <c r="O872">
        <v>648</v>
      </c>
      <c r="P872">
        <v>421</v>
      </c>
      <c r="Q872">
        <v>5.9107966440405271</v>
      </c>
      <c r="R872">
        <v>6.4997870406558542</v>
      </c>
      <c r="S872">
        <v>8.6415324656718457</v>
      </c>
      <c r="T872">
        <v>89.265350482850479</v>
      </c>
      <c r="U872">
        <v>1.4417786561042019</v>
      </c>
      <c r="V872">
        <v>-0.22886708829074301</v>
      </c>
      <c r="W872">
        <v>0.28745285629339301</v>
      </c>
      <c r="X872">
        <v>-0.15627425222847</v>
      </c>
      <c r="Y872">
        <v>1.45226138127617</v>
      </c>
      <c r="Z872">
        <v>0.98247225355557</v>
      </c>
      <c r="AA872">
        <v>0.627775520474398</v>
      </c>
      <c r="AB872">
        <v>3362.2959371744532</v>
      </c>
      <c r="AC872">
        <v>2.8998317172850387</v>
      </c>
      <c r="AD872">
        <v>2.9499158586425196</v>
      </c>
      <c r="AE872">
        <v>1.06273170356322</v>
      </c>
      <c r="AF872">
        <v>-1.4908727525950101</v>
      </c>
      <c r="AG872">
        <v>-1.6836050554738899</v>
      </c>
      <c r="AH872">
        <v>-1.44304860061259</v>
      </c>
      <c r="AI872">
        <v>0.20477308979574199</v>
      </c>
      <c r="AJ872">
        <v>-0.86960323695147301</v>
      </c>
      <c r="AK872">
        <v>43.3535629403058</v>
      </c>
      <c r="AL872">
        <v>3.21615314793977</v>
      </c>
      <c r="AM872">
        <v>50.640682937000001</v>
      </c>
      <c r="AN872">
        <v>4.6610704270000003</v>
      </c>
    </row>
    <row r="873" spans="1:40" x14ac:dyDescent="0.35">
      <c r="A873">
        <v>1086</v>
      </c>
      <c r="B873">
        <v>57</v>
      </c>
      <c r="C873" t="s">
        <v>48</v>
      </c>
      <c r="D873" t="s">
        <v>41</v>
      </c>
      <c r="E873" t="s">
        <v>42</v>
      </c>
      <c r="F873" t="s">
        <v>49</v>
      </c>
      <c r="G873">
        <v>6</v>
      </c>
      <c r="H873">
        <v>36</v>
      </c>
      <c r="I873">
        <v>4</v>
      </c>
      <c r="J873" t="s">
        <v>50</v>
      </c>
      <c r="K873" t="s">
        <v>46</v>
      </c>
      <c r="L873" t="s">
        <v>72</v>
      </c>
      <c r="M873">
        <v>255.71225880524139</v>
      </c>
      <c r="N873">
        <v>333</v>
      </c>
      <c r="O873">
        <v>267</v>
      </c>
      <c r="P873">
        <v>300</v>
      </c>
      <c r="Q873">
        <v>0.69314718055994529</v>
      </c>
      <c r="R873">
        <v>1.3862943611198906</v>
      </c>
      <c r="S873">
        <v>4.5538768916005408</v>
      </c>
      <c r="T873">
        <v>89.340161030595823</v>
      </c>
      <c r="U873">
        <v>1.4712304197281412</v>
      </c>
      <c r="V873">
        <v>0.59716251398508702</v>
      </c>
      <c r="W873">
        <v>0.91068296986709796</v>
      </c>
      <c r="X873">
        <v>1.2273243988355</v>
      </c>
      <c r="Y873">
        <v>-0.4121809470949</v>
      </c>
      <c r="Z873">
        <v>-0.86472582726521097</v>
      </c>
      <c r="AA873">
        <v>-1.0172779374790899</v>
      </c>
      <c r="AB873">
        <v>1828.1689246701658</v>
      </c>
      <c r="AC873">
        <v>1.1127464888636687</v>
      </c>
      <c r="AD873">
        <v>1.8630656830756136</v>
      </c>
      <c r="AE873">
        <v>-0.53926882203722504</v>
      </c>
      <c r="AF873">
        <v>0.98114793475004403</v>
      </c>
      <c r="AG873">
        <v>1.2383031732896801</v>
      </c>
      <c r="AH873">
        <v>0.52419595645157302</v>
      </c>
      <c r="AI873">
        <v>0.76506620133787695</v>
      </c>
      <c r="AJ873">
        <v>0.72956913855016903</v>
      </c>
      <c r="AK873">
        <v>44.503641999999999</v>
      </c>
      <c r="AL873">
        <v>1.1863669999999999</v>
      </c>
      <c r="AM873">
        <v>43.737000000000002</v>
      </c>
      <c r="AN873">
        <v>4.2030000000000003</v>
      </c>
    </row>
    <row r="874" spans="1:40" x14ac:dyDescent="0.35">
      <c r="A874">
        <v>1088</v>
      </c>
      <c r="B874">
        <v>42</v>
      </c>
      <c r="C874" t="s">
        <v>40</v>
      </c>
      <c r="D874" t="s">
        <v>41</v>
      </c>
      <c r="E874" t="s">
        <v>42</v>
      </c>
      <c r="F874" t="s">
        <v>49</v>
      </c>
      <c r="G874">
        <v>4</v>
      </c>
      <c r="H874">
        <v>16</v>
      </c>
      <c r="I874">
        <v>5</v>
      </c>
      <c r="J874" t="s">
        <v>56</v>
      </c>
      <c r="K874" t="s">
        <v>46</v>
      </c>
      <c r="L874" t="s">
        <v>51</v>
      </c>
      <c r="M874">
        <v>157.82131685425651</v>
      </c>
      <c r="N874">
        <v>184</v>
      </c>
      <c r="O874">
        <v>154</v>
      </c>
      <c r="P874">
        <v>161</v>
      </c>
      <c r="Q874">
        <v>0</v>
      </c>
      <c r="R874">
        <v>1.3862943611198906</v>
      </c>
      <c r="S874">
        <v>4.3438054218536841</v>
      </c>
      <c r="T874">
        <v>91.16</v>
      </c>
      <c r="U874">
        <v>2.3174698847378039</v>
      </c>
      <c r="V874">
        <v>-0.58471966768986094</v>
      </c>
      <c r="W874">
        <v>-0.55557078097057</v>
      </c>
      <c r="X874">
        <v>-0.47566183223429498</v>
      </c>
      <c r="Y874">
        <v>-0.95884680312505799</v>
      </c>
      <c r="Z874">
        <v>-0.76521334103430205</v>
      </c>
      <c r="AA874">
        <v>-0.77245900699560299</v>
      </c>
      <c r="AB874">
        <v>1376</v>
      </c>
      <c r="AC874">
        <v>0</v>
      </c>
      <c r="AD874">
        <v>2</v>
      </c>
      <c r="AE874">
        <v>-1.2769936012368599</v>
      </c>
      <c r="AF874">
        <v>-2.3077515505513402</v>
      </c>
      <c r="AG874">
        <v>-0.64441248844162002</v>
      </c>
      <c r="AH874">
        <v>-3.11213202312508</v>
      </c>
      <c r="AI874">
        <v>-3.03887405788501</v>
      </c>
      <c r="AJ874">
        <v>1.4498180215636201</v>
      </c>
      <c r="AK874">
        <v>47.815207299999997</v>
      </c>
      <c r="AL874">
        <v>3.8001657</v>
      </c>
      <c r="AM874">
        <v>48.856372813999997</v>
      </c>
      <c r="AN874">
        <v>2.3525296170000001</v>
      </c>
    </row>
    <row r="875" spans="1:40" x14ac:dyDescent="0.35">
      <c r="A875">
        <v>1089</v>
      </c>
      <c r="B875">
        <v>57</v>
      </c>
      <c r="C875" t="s">
        <v>40</v>
      </c>
      <c r="D875" t="s">
        <v>66</v>
      </c>
      <c r="E875" t="s">
        <v>42</v>
      </c>
      <c r="F875" t="s">
        <v>49</v>
      </c>
      <c r="G875">
        <v>7</v>
      </c>
      <c r="H875">
        <v>49</v>
      </c>
      <c r="I875">
        <v>5</v>
      </c>
      <c r="J875" t="s">
        <v>56</v>
      </c>
      <c r="K875" t="s">
        <v>46</v>
      </c>
      <c r="L875" t="s">
        <v>71</v>
      </c>
      <c r="M875">
        <v>27.25624740679962</v>
      </c>
      <c r="N875">
        <v>146</v>
      </c>
      <c r="O875">
        <v>90</v>
      </c>
      <c r="P875">
        <v>130</v>
      </c>
      <c r="Q875">
        <v>4.5747109785033828</v>
      </c>
      <c r="R875">
        <v>3.5263605246161616</v>
      </c>
      <c r="S875">
        <v>5.1416635565026603</v>
      </c>
      <c r="T875">
        <v>92.265120976563693</v>
      </c>
      <c r="U875">
        <v>2.9351954657362995</v>
      </c>
      <c r="V875">
        <v>-8.3509539921858403E-2</v>
      </c>
      <c r="W875">
        <v>-8.6188355584626702E-2</v>
      </c>
      <c r="X875">
        <v>-6.2117403422328299E-2</v>
      </c>
      <c r="Y875">
        <v>-0.51135009403950604</v>
      </c>
      <c r="Z875">
        <v>-0.669554030021006</v>
      </c>
      <c r="AA875">
        <v>-1.4915282051312999</v>
      </c>
      <c r="AB875">
        <v>1813.5248996931791</v>
      </c>
      <c r="AC875">
        <v>1.6535284399339156</v>
      </c>
      <c r="AD875">
        <v>0.49421760679726223</v>
      </c>
      <c r="AE875">
        <v>-0.18520258641298501</v>
      </c>
      <c r="AF875">
        <v>-0.69908559391361302</v>
      </c>
      <c r="AG875">
        <v>-1.5413128257120301</v>
      </c>
      <c r="AH875">
        <v>1.2190008362878899</v>
      </c>
      <c r="AI875">
        <v>1.4836044289928401</v>
      </c>
      <c r="AJ875">
        <v>0.76193534118230599</v>
      </c>
      <c r="AK875">
        <v>45.071283999999999</v>
      </c>
      <c r="AL875">
        <v>4.8370730000000002</v>
      </c>
      <c r="AM875">
        <v>44.830599999999997</v>
      </c>
      <c r="AN875">
        <v>4.9005999999999998</v>
      </c>
    </row>
    <row r="876" spans="1:40" x14ac:dyDescent="0.35">
      <c r="A876">
        <v>1090</v>
      </c>
      <c r="B876">
        <v>29.5</v>
      </c>
      <c r="C876" t="s">
        <v>40</v>
      </c>
      <c r="D876" t="s">
        <v>41</v>
      </c>
      <c r="E876" t="s">
        <v>42</v>
      </c>
      <c r="F876" t="s">
        <v>43</v>
      </c>
      <c r="G876">
        <v>5</v>
      </c>
      <c r="H876">
        <v>25</v>
      </c>
      <c r="I876">
        <v>5</v>
      </c>
      <c r="J876" t="s">
        <v>50</v>
      </c>
      <c r="K876" t="s">
        <v>46</v>
      </c>
      <c r="L876" t="s">
        <v>74</v>
      </c>
      <c r="M876">
        <v>219.5716893460702</v>
      </c>
      <c r="N876">
        <v>302</v>
      </c>
      <c r="O876">
        <v>234</v>
      </c>
      <c r="P876">
        <v>302</v>
      </c>
      <c r="Q876">
        <v>1.6094379124341003</v>
      </c>
      <c r="R876">
        <v>2.5649493574615367</v>
      </c>
      <c r="S876">
        <v>4.8202815656050371</v>
      </c>
      <c r="T876">
        <v>91.984920634920627</v>
      </c>
      <c r="U876">
        <v>1.0351430572167302</v>
      </c>
      <c r="V876">
        <v>-0.45376679124596098</v>
      </c>
      <c r="W876">
        <v>-0.56138574648679695</v>
      </c>
      <c r="X876">
        <v>-0.92192590083580195</v>
      </c>
      <c r="Y876">
        <v>-1.17232967929859</v>
      </c>
      <c r="Z876">
        <v>-0.98267194414701198</v>
      </c>
      <c r="AA876">
        <v>-0.89586780259421905</v>
      </c>
      <c r="AB876">
        <v>1270</v>
      </c>
      <c r="AC876">
        <v>3</v>
      </c>
      <c r="AD876">
        <v>1</v>
      </c>
      <c r="AE876">
        <v>-1.1438350904766701</v>
      </c>
      <c r="AF876">
        <v>-1.73857001071936</v>
      </c>
      <c r="AG876">
        <v>1.82015930770221</v>
      </c>
      <c r="AH876">
        <v>1.33653619524932</v>
      </c>
      <c r="AI876">
        <v>0.52091787171732296</v>
      </c>
      <c r="AJ876">
        <v>1.3622251846325</v>
      </c>
      <c r="AK876">
        <v>46.672161000000003</v>
      </c>
      <c r="AL876">
        <v>5.558465</v>
      </c>
      <c r="AM876">
        <v>47.306222222222218</v>
      </c>
      <c r="AN876">
        <v>2.8201666666666672</v>
      </c>
    </row>
    <row r="877" spans="1:40" x14ac:dyDescent="0.35">
      <c r="A877">
        <v>1092</v>
      </c>
      <c r="B877">
        <v>57</v>
      </c>
      <c r="C877" t="s">
        <v>48</v>
      </c>
      <c r="D877" t="s">
        <v>41</v>
      </c>
      <c r="E877" t="s">
        <v>42</v>
      </c>
      <c r="F877" t="s">
        <v>43</v>
      </c>
      <c r="G877">
        <v>6</v>
      </c>
      <c r="H877">
        <v>36</v>
      </c>
      <c r="I877">
        <v>5</v>
      </c>
      <c r="J877" t="s">
        <v>50</v>
      </c>
      <c r="K877" t="s">
        <v>46</v>
      </c>
      <c r="L877" t="s">
        <v>62</v>
      </c>
      <c r="M877">
        <v>198.15036209928999</v>
      </c>
      <c r="N877">
        <v>264</v>
      </c>
      <c r="O877">
        <v>170</v>
      </c>
      <c r="P877">
        <v>202</v>
      </c>
      <c r="Q877">
        <v>0.69314718055994529</v>
      </c>
      <c r="R877">
        <v>3.2580965380214821</v>
      </c>
      <c r="S877">
        <v>3.2580965380214821</v>
      </c>
      <c r="T877">
        <v>95.68</v>
      </c>
      <c r="U877">
        <v>0</v>
      </c>
      <c r="V877">
        <v>1.82802042479695</v>
      </c>
      <c r="W877">
        <v>0.99424279543483596</v>
      </c>
      <c r="X877">
        <v>0.99177342203587404</v>
      </c>
      <c r="Y877">
        <v>-0.96278755162326501</v>
      </c>
      <c r="Z877">
        <v>-0.75605764486205096</v>
      </c>
      <c r="AA877">
        <v>-0.80037586101695801</v>
      </c>
      <c r="AB877">
        <v>2092.91</v>
      </c>
      <c r="AC877">
        <v>0</v>
      </c>
      <c r="AD877">
        <v>2.1</v>
      </c>
      <c r="AE877">
        <v>-1.0768626388726401</v>
      </c>
      <c r="AF877">
        <v>1.0060181786495599</v>
      </c>
      <c r="AG877">
        <v>0.551922641249733</v>
      </c>
      <c r="AH877">
        <v>-0.15299851530015601</v>
      </c>
      <c r="AI877">
        <v>0.99677218464889694</v>
      </c>
      <c r="AJ877">
        <v>0.82892985712632106</v>
      </c>
      <c r="AK877">
        <v>49.042560999999999</v>
      </c>
      <c r="AL877">
        <v>3.9528660000000002</v>
      </c>
      <c r="AM877">
        <v>47.883000000000003</v>
      </c>
      <c r="AN877">
        <v>1.9159999999999999</v>
      </c>
    </row>
    <row r="878" spans="1:40" x14ac:dyDescent="0.35">
      <c r="A878">
        <v>1093</v>
      </c>
      <c r="B878">
        <v>72</v>
      </c>
      <c r="C878" t="s">
        <v>40</v>
      </c>
      <c r="D878" t="s">
        <v>52</v>
      </c>
      <c r="E878" t="s">
        <v>42</v>
      </c>
      <c r="F878" t="s">
        <v>43</v>
      </c>
      <c r="G878">
        <v>5</v>
      </c>
      <c r="H878">
        <v>25</v>
      </c>
      <c r="I878">
        <v>7</v>
      </c>
      <c r="J878" t="s">
        <v>56</v>
      </c>
      <c r="K878" t="s">
        <v>46</v>
      </c>
      <c r="L878" t="s">
        <v>76</v>
      </c>
      <c r="M878">
        <v>193.77743841379029</v>
      </c>
      <c r="N878">
        <v>200</v>
      </c>
      <c r="O878">
        <v>138</v>
      </c>
      <c r="P878">
        <v>168</v>
      </c>
      <c r="Q878">
        <v>0</v>
      </c>
      <c r="R878">
        <v>1.0986122886681098</v>
      </c>
      <c r="S878">
        <v>4.1588830833596715</v>
      </c>
      <c r="T878">
        <v>91.226666666666674</v>
      </c>
      <c r="U878">
        <v>1.418823059726001</v>
      </c>
      <c r="V878">
        <v>-0.39095273818515502</v>
      </c>
      <c r="W878">
        <v>-0.53446083104759001</v>
      </c>
      <c r="X878">
        <v>-0.40804429067029002</v>
      </c>
      <c r="Y878">
        <v>-0.56789545922357498</v>
      </c>
      <c r="Z878">
        <v>-0.94760790482486201</v>
      </c>
      <c r="AA878">
        <v>-1.0848673571571601</v>
      </c>
      <c r="AB878">
        <v>1770.5103102717287</v>
      </c>
      <c r="AC878">
        <v>0.28213528618230871</v>
      </c>
      <c r="AD878">
        <v>1.7130468298323378</v>
      </c>
      <c r="AE878">
        <v>-1.13486126839574</v>
      </c>
      <c r="AF878">
        <v>0.94744031162527598</v>
      </c>
      <c r="AG878">
        <v>-0.91281493375824396</v>
      </c>
      <c r="AH878">
        <v>-0.18544177721205099</v>
      </c>
      <c r="AI878">
        <v>-0.84612786015345298</v>
      </c>
      <c r="AJ878">
        <v>0.54928993434888795</v>
      </c>
      <c r="AK878">
        <v>47.330690599999997</v>
      </c>
      <c r="AL878">
        <v>2.8390453999999998</v>
      </c>
      <c r="AM878">
        <v>49</v>
      </c>
      <c r="AN878">
        <v>2.0990000000000002</v>
      </c>
    </row>
    <row r="879" spans="1:40" x14ac:dyDescent="0.35">
      <c r="A879">
        <v>1094</v>
      </c>
      <c r="B879">
        <v>42</v>
      </c>
      <c r="C879" t="s">
        <v>40</v>
      </c>
      <c r="D879" t="s">
        <v>66</v>
      </c>
      <c r="E879" t="s">
        <v>42</v>
      </c>
      <c r="F879" t="s">
        <v>43</v>
      </c>
      <c r="G879">
        <v>3</v>
      </c>
      <c r="H879">
        <v>9</v>
      </c>
      <c r="I879">
        <v>4</v>
      </c>
      <c r="J879" t="s">
        <v>50</v>
      </c>
      <c r="K879" t="s">
        <v>46</v>
      </c>
      <c r="L879" t="s">
        <v>57</v>
      </c>
      <c r="M879">
        <v>233.94556903637459</v>
      </c>
      <c r="N879">
        <v>253</v>
      </c>
      <c r="O879">
        <v>178</v>
      </c>
      <c r="P879">
        <v>173</v>
      </c>
      <c r="Q879">
        <v>0.69314718055994529</v>
      </c>
      <c r="R879">
        <v>3.6109179126442243</v>
      </c>
      <c r="S879">
        <v>5.8833223884882786</v>
      </c>
      <c r="T879">
        <v>90.922105263157903</v>
      </c>
      <c r="U879">
        <v>2.3923758041545438</v>
      </c>
      <c r="V879">
        <v>-0.399596989308249</v>
      </c>
      <c r="W879">
        <v>-0.58810405700346202</v>
      </c>
      <c r="X879">
        <v>-0.29041857108635599</v>
      </c>
      <c r="Y879">
        <v>-0.846122564821426</v>
      </c>
      <c r="Z879">
        <v>-0.92679578564836795</v>
      </c>
      <c r="AA879">
        <v>0.86332342905974202</v>
      </c>
      <c r="AB879">
        <v>2050</v>
      </c>
      <c r="AC879">
        <v>1</v>
      </c>
      <c r="AD879">
        <v>2</v>
      </c>
      <c r="AE879">
        <v>-0.51011828243844404</v>
      </c>
      <c r="AF879">
        <v>-0.84927030330000597</v>
      </c>
      <c r="AG879">
        <v>0.60335658763009303</v>
      </c>
      <c r="AH879">
        <v>-0.39668256614581898</v>
      </c>
      <c r="AI879">
        <v>4.4846441500993199E-2</v>
      </c>
      <c r="AJ879">
        <v>-0.14056401314150799</v>
      </c>
      <c r="AK879">
        <v>47.023905999999997</v>
      </c>
      <c r="AL879">
        <v>4.8380429999999999</v>
      </c>
      <c r="AM879">
        <v>44.923000000000002</v>
      </c>
      <c r="AN879">
        <v>4.9139999999999997</v>
      </c>
    </row>
    <row r="880" spans="1:40" x14ac:dyDescent="0.35">
      <c r="A880">
        <v>1095</v>
      </c>
      <c r="B880">
        <v>57</v>
      </c>
      <c r="C880" t="s">
        <v>48</v>
      </c>
      <c r="D880" t="s">
        <v>52</v>
      </c>
      <c r="E880" t="s">
        <v>42</v>
      </c>
      <c r="F880" t="s">
        <v>49</v>
      </c>
      <c r="G880">
        <v>4</v>
      </c>
      <c r="H880">
        <v>16</v>
      </c>
      <c r="I880">
        <v>4</v>
      </c>
      <c r="J880" t="s">
        <v>50</v>
      </c>
      <c r="K880" t="s">
        <v>46</v>
      </c>
      <c r="L880" t="s">
        <v>62</v>
      </c>
      <c r="M880">
        <v>111.6248344626424</v>
      </c>
      <c r="N880">
        <v>208</v>
      </c>
      <c r="O880">
        <v>140</v>
      </c>
      <c r="P880">
        <v>190</v>
      </c>
      <c r="Q880">
        <v>0.69314718055994529</v>
      </c>
      <c r="R880">
        <v>3.2580965380214821</v>
      </c>
      <c r="S880">
        <v>3.2580965380214821</v>
      </c>
      <c r="T880">
        <v>95.68</v>
      </c>
      <c r="U880">
        <v>0</v>
      </c>
      <c r="V880">
        <v>1.82802042479695</v>
      </c>
      <c r="W880">
        <v>0.99424279543483596</v>
      </c>
      <c r="X880">
        <v>0.99177342203587404</v>
      </c>
      <c r="Y880">
        <v>-0.96278755162326501</v>
      </c>
      <c r="Z880">
        <v>-0.75605764486205096</v>
      </c>
      <c r="AA880">
        <v>-0.80037586101695801</v>
      </c>
      <c r="AB880">
        <v>2092.91</v>
      </c>
      <c r="AC880">
        <v>0</v>
      </c>
      <c r="AD880">
        <v>2.1</v>
      </c>
      <c r="AE880">
        <v>-1.0768626388726401</v>
      </c>
      <c r="AF880">
        <v>1.30557557147124</v>
      </c>
      <c r="AG880">
        <v>-0.32923796262335198</v>
      </c>
      <c r="AH880">
        <v>1.0415643179974801</v>
      </c>
      <c r="AI880">
        <v>1.4918503153670599</v>
      </c>
      <c r="AJ880">
        <v>-0.292276918539083</v>
      </c>
      <c r="AK880">
        <v>49.042560999999999</v>
      </c>
      <c r="AL880">
        <v>3.9528660000000002</v>
      </c>
      <c r="AM880">
        <v>49.335499999999996</v>
      </c>
      <c r="AN880">
        <v>2.4855</v>
      </c>
    </row>
    <row r="881" spans="1:40" x14ac:dyDescent="0.35">
      <c r="A881">
        <v>1096</v>
      </c>
      <c r="B881">
        <v>42</v>
      </c>
      <c r="C881" t="s">
        <v>48</v>
      </c>
      <c r="D881" t="s">
        <v>66</v>
      </c>
      <c r="E881" t="s">
        <v>42</v>
      </c>
      <c r="F881" t="s">
        <v>61</v>
      </c>
      <c r="G881">
        <v>4</v>
      </c>
      <c r="H881">
        <v>16</v>
      </c>
      <c r="I881">
        <v>7</v>
      </c>
      <c r="J881" t="s">
        <v>50</v>
      </c>
      <c r="K881" t="s">
        <v>46</v>
      </c>
      <c r="L881" t="s">
        <v>77</v>
      </c>
      <c r="M881">
        <v>237.24127854591569</v>
      </c>
      <c r="N881">
        <v>311</v>
      </c>
      <c r="O881">
        <v>194</v>
      </c>
      <c r="P881">
        <v>218</v>
      </c>
      <c r="Q881">
        <v>0</v>
      </c>
      <c r="R881">
        <v>2.3978952727983707</v>
      </c>
      <c r="S881">
        <v>5.1416635565026603</v>
      </c>
      <c r="T881">
        <v>90.472417453603512</v>
      </c>
      <c r="U881">
        <v>2.7735735584863375</v>
      </c>
      <c r="V881">
        <v>-0.15231437986527399</v>
      </c>
      <c r="W881">
        <v>3.49635939345109E-2</v>
      </c>
      <c r="X881">
        <v>-0.19627808847033801</v>
      </c>
      <c r="Y881">
        <v>-0.57382446736590997</v>
      </c>
      <c r="Z881">
        <v>-0.74335605457542497</v>
      </c>
      <c r="AA881">
        <v>-0.53588051656191904</v>
      </c>
      <c r="AB881">
        <v>3937</v>
      </c>
      <c r="AC881">
        <v>0</v>
      </c>
      <c r="AD881">
        <v>1</v>
      </c>
      <c r="AE881">
        <v>-0.72244456620022002</v>
      </c>
      <c r="AF881">
        <v>0.25042561671160102</v>
      </c>
      <c r="AG881">
        <v>1.5459216643029901</v>
      </c>
      <c r="AH881">
        <v>-0.98366674092892004</v>
      </c>
      <c r="AI881">
        <v>0.41317036268011398</v>
      </c>
      <c r="AJ881">
        <v>0.51911666456554895</v>
      </c>
      <c r="AK881">
        <v>47.259622</v>
      </c>
      <c r="AL881">
        <v>-7.8518000000000004E-2</v>
      </c>
      <c r="AM881">
        <v>48.688499999999991</v>
      </c>
      <c r="AN881">
        <v>2.2837499999999995</v>
      </c>
    </row>
    <row r="882" spans="1:40" x14ac:dyDescent="0.35">
      <c r="A882">
        <v>1097</v>
      </c>
      <c r="B882">
        <v>29.5</v>
      </c>
      <c r="C882" t="s">
        <v>40</v>
      </c>
      <c r="D882" t="s">
        <v>66</v>
      </c>
      <c r="E882" t="s">
        <v>42</v>
      </c>
      <c r="F882" t="s">
        <v>49</v>
      </c>
      <c r="G882">
        <v>5</v>
      </c>
      <c r="H882">
        <v>25</v>
      </c>
      <c r="I882">
        <v>5</v>
      </c>
      <c r="J882" t="s">
        <v>56</v>
      </c>
      <c r="K882" t="s">
        <v>46</v>
      </c>
      <c r="L882" t="s">
        <v>60</v>
      </c>
      <c r="M882">
        <v>144.71631678062471</v>
      </c>
      <c r="N882">
        <v>208</v>
      </c>
      <c r="O882">
        <v>139</v>
      </c>
      <c r="P882">
        <v>182</v>
      </c>
      <c r="Q882">
        <v>3.8501476017100584</v>
      </c>
      <c r="R882">
        <v>2.9957322735539909</v>
      </c>
      <c r="S882">
        <v>5.4424177105217932</v>
      </c>
      <c r="T882">
        <v>88.975873222691746</v>
      </c>
      <c r="U882">
        <v>2.5514539469641888</v>
      </c>
      <c r="V882">
        <v>2.9336799326863701</v>
      </c>
      <c r="W882">
        <v>3.3730943146768602</v>
      </c>
      <c r="X882">
        <v>3.6072071704345601</v>
      </c>
      <c r="Y882">
        <v>-0.19189497559235799</v>
      </c>
      <c r="Z882">
        <v>0.17569111512999699</v>
      </c>
      <c r="AA882">
        <v>-0.304970615080496</v>
      </c>
      <c r="AB882">
        <v>1906.836709612184</v>
      </c>
      <c r="AC882">
        <v>0.7978420820676605</v>
      </c>
      <c r="AD882">
        <v>2.1056638128240834</v>
      </c>
      <c r="AE882">
        <v>-0.25037207080954499</v>
      </c>
      <c r="AF882">
        <v>8.8726651365864297E-3</v>
      </c>
      <c r="AG882">
        <v>1.5236633355779901</v>
      </c>
      <c r="AH882">
        <v>-0.14715319283703901</v>
      </c>
      <c r="AI882">
        <v>0.69145222757319014</v>
      </c>
      <c r="AJ882">
        <v>-3.7874998508370589E-2</v>
      </c>
      <c r="AK882">
        <v>44.055988999999997</v>
      </c>
      <c r="AL882">
        <v>4.8317350000000001</v>
      </c>
      <c r="AM882">
        <v>45.31633333333334</v>
      </c>
      <c r="AN882">
        <v>5.28</v>
      </c>
    </row>
    <row r="883" spans="1:40" x14ac:dyDescent="0.35">
      <c r="A883">
        <v>1098</v>
      </c>
      <c r="B883">
        <v>42</v>
      </c>
      <c r="C883" t="s">
        <v>40</v>
      </c>
      <c r="D883" t="s">
        <v>41</v>
      </c>
      <c r="E883" t="s">
        <v>42</v>
      </c>
      <c r="F883" t="s">
        <v>61</v>
      </c>
      <c r="G883">
        <v>4</v>
      </c>
      <c r="H883">
        <v>16</v>
      </c>
      <c r="I883">
        <v>5</v>
      </c>
      <c r="J883" t="s">
        <v>56</v>
      </c>
      <c r="K883" t="s">
        <v>46</v>
      </c>
      <c r="L883" t="s">
        <v>57</v>
      </c>
      <c r="M883">
        <v>268.47820440757363</v>
      </c>
      <c r="N883">
        <v>323</v>
      </c>
      <c r="O883">
        <v>257</v>
      </c>
      <c r="P883">
        <v>177</v>
      </c>
      <c r="Q883">
        <v>0.69314718055994529</v>
      </c>
      <c r="R883">
        <v>3.6109179126442243</v>
      </c>
      <c r="S883">
        <v>5.8833223884882786</v>
      </c>
      <c r="T883">
        <v>90.922105263157903</v>
      </c>
      <c r="U883">
        <v>2.3923758041545438</v>
      </c>
      <c r="V883">
        <v>-0.399596989308249</v>
      </c>
      <c r="W883">
        <v>-0.58810405700346202</v>
      </c>
      <c r="X883">
        <v>-0.29041857108635599</v>
      </c>
      <c r="Y883">
        <v>-0.846122564821426</v>
      </c>
      <c r="Z883">
        <v>-0.92679578564836795</v>
      </c>
      <c r="AA883">
        <v>0.86332342905974202</v>
      </c>
      <c r="AB883">
        <v>2050</v>
      </c>
      <c r="AC883">
        <v>1</v>
      </c>
      <c r="AD883">
        <v>2</v>
      </c>
      <c r="AE883">
        <v>-0.51011828243844404</v>
      </c>
      <c r="AF883">
        <v>-0.50424161459415795</v>
      </c>
      <c r="AG883">
        <v>-0.79768682720211004</v>
      </c>
      <c r="AH883">
        <v>0.30604018879601502</v>
      </c>
      <c r="AI883">
        <v>-0.81476033937817305</v>
      </c>
      <c r="AJ883">
        <v>0.94353737208380895</v>
      </c>
      <c r="AK883">
        <v>47.023905999999997</v>
      </c>
      <c r="AL883">
        <v>4.8380429999999999</v>
      </c>
      <c r="AM883">
        <v>48.863999999999997</v>
      </c>
      <c r="AN883">
        <v>2.5099999999999998</v>
      </c>
    </row>
    <row r="884" spans="1:40" x14ac:dyDescent="0.35">
      <c r="A884">
        <v>1099</v>
      </c>
      <c r="B884">
        <v>57</v>
      </c>
      <c r="C884" t="s">
        <v>40</v>
      </c>
      <c r="D884" t="s">
        <v>41</v>
      </c>
      <c r="E884" t="s">
        <v>42</v>
      </c>
      <c r="F884" t="s">
        <v>61</v>
      </c>
      <c r="G884">
        <v>4</v>
      </c>
      <c r="H884">
        <v>16</v>
      </c>
      <c r="I884">
        <v>5</v>
      </c>
      <c r="J884" t="s">
        <v>56</v>
      </c>
      <c r="K884" t="s">
        <v>46</v>
      </c>
      <c r="L884" t="s">
        <v>60</v>
      </c>
      <c r="M884">
        <v>567.10864805143422</v>
      </c>
      <c r="N884">
        <v>688</v>
      </c>
      <c r="O884">
        <v>466</v>
      </c>
      <c r="P884">
        <v>270</v>
      </c>
      <c r="Q884">
        <v>3.8501476017100584</v>
      </c>
      <c r="R884">
        <v>2.9957322735539909</v>
      </c>
      <c r="S884">
        <v>5.4424177105217932</v>
      </c>
      <c r="T884">
        <v>88.975873222691746</v>
      </c>
      <c r="U884">
        <v>2.5514539469641888</v>
      </c>
      <c r="V884">
        <v>2.9336799326863701</v>
      </c>
      <c r="W884">
        <v>3.3730943146768602</v>
      </c>
      <c r="X884">
        <v>3.6072071704345601</v>
      </c>
      <c r="Y884">
        <v>-0.19189497559235799</v>
      </c>
      <c r="Z884">
        <v>0.17569111512999699</v>
      </c>
      <c r="AA884">
        <v>-0.304970615080496</v>
      </c>
      <c r="AB884">
        <v>1906.836709612184</v>
      </c>
      <c r="AC884">
        <v>0.7978420820676605</v>
      </c>
      <c r="AD884">
        <v>2.1056638128240834</v>
      </c>
      <c r="AE884">
        <v>-0.25037207080954499</v>
      </c>
      <c r="AF884">
        <v>-2.4954923201155998</v>
      </c>
      <c r="AG884">
        <v>-1.7993290493827701</v>
      </c>
      <c r="AH884">
        <v>0.22705193899061399</v>
      </c>
      <c r="AI884">
        <v>-0.73764840944114396</v>
      </c>
      <c r="AJ884">
        <v>1.8727241551415199</v>
      </c>
      <c r="AK884">
        <v>44.055988999999997</v>
      </c>
      <c r="AL884">
        <v>4.8317350000000001</v>
      </c>
      <c r="AM884">
        <v>48.856372813999997</v>
      </c>
      <c r="AN884">
        <v>2.3525296170000001</v>
      </c>
    </row>
    <row r="885" spans="1:40" x14ac:dyDescent="0.35">
      <c r="A885">
        <v>1100</v>
      </c>
      <c r="B885">
        <v>72</v>
      </c>
      <c r="C885" t="s">
        <v>40</v>
      </c>
      <c r="D885" t="s">
        <v>52</v>
      </c>
      <c r="E885" t="s">
        <v>42</v>
      </c>
      <c r="F885" t="s">
        <v>49</v>
      </c>
      <c r="G885">
        <v>6</v>
      </c>
      <c r="H885">
        <v>36</v>
      </c>
      <c r="I885">
        <v>6</v>
      </c>
      <c r="J885" t="s">
        <v>56</v>
      </c>
      <c r="K885" t="s">
        <v>46</v>
      </c>
      <c r="L885" t="s">
        <v>77</v>
      </c>
      <c r="M885">
        <v>245.80828206086611</v>
      </c>
      <c r="N885">
        <v>327</v>
      </c>
      <c r="O885">
        <v>202</v>
      </c>
      <c r="P885">
        <v>166</v>
      </c>
      <c r="Q885">
        <v>0</v>
      </c>
      <c r="R885">
        <v>2.3978952727983707</v>
      </c>
      <c r="S885">
        <v>5.1416635565026603</v>
      </c>
      <c r="T885">
        <v>90.472417453603512</v>
      </c>
      <c r="U885">
        <v>2.7735735584863375</v>
      </c>
      <c r="V885">
        <v>-0.15231437986527399</v>
      </c>
      <c r="W885">
        <v>3.49635939345109E-2</v>
      </c>
      <c r="X885">
        <v>-0.19627808847033801</v>
      </c>
      <c r="Y885">
        <v>-0.57382446736590997</v>
      </c>
      <c r="Z885">
        <v>-0.74335605457542497</v>
      </c>
      <c r="AA885">
        <v>-0.53588051656191904</v>
      </c>
      <c r="AB885">
        <v>3937</v>
      </c>
      <c r="AC885">
        <v>0</v>
      </c>
      <c r="AD885">
        <v>1</v>
      </c>
      <c r="AE885">
        <v>-0.72244456620022002</v>
      </c>
      <c r="AF885">
        <v>-9.70288775919778E-2</v>
      </c>
      <c r="AG885">
        <v>1.5669350819093</v>
      </c>
      <c r="AH885">
        <v>0.57147577819501105</v>
      </c>
      <c r="AI885">
        <v>1.09745870283669</v>
      </c>
      <c r="AJ885">
        <v>-0.116021569762617</v>
      </c>
      <c r="AK885">
        <v>47.259622</v>
      </c>
      <c r="AL885">
        <v>-7.8518000000000004E-2</v>
      </c>
      <c r="AM885">
        <v>48.78</v>
      </c>
      <c r="AN885">
        <v>2.3159999999999998</v>
      </c>
    </row>
    <row r="886" spans="1:40" x14ac:dyDescent="0.35">
      <c r="A886">
        <v>1101</v>
      </c>
      <c r="B886">
        <v>57</v>
      </c>
      <c r="C886" t="s">
        <v>40</v>
      </c>
      <c r="D886" t="s">
        <v>66</v>
      </c>
      <c r="E886" t="s">
        <v>42</v>
      </c>
      <c r="F886" t="s">
        <v>49</v>
      </c>
      <c r="G886">
        <v>5</v>
      </c>
      <c r="H886">
        <v>25</v>
      </c>
      <c r="I886">
        <v>5</v>
      </c>
      <c r="J886" t="s">
        <v>56</v>
      </c>
      <c r="K886" t="s">
        <v>46</v>
      </c>
      <c r="L886" t="s">
        <v>71</v>
      </c>
      <c r="M886">
        <v>452.48329621506872</v>
      </c>
      <c r="N886">
        <v>421</v>
      </c>
      <c r="O886">
        <v>220</v>
      </c>
      <c r="P886">
        <v>181</v>
      </c>
      <c r="Q886">
        <v>4.5747109785033828</v>
      </c>
      <c r="R886">
        <v>3.5263605246161616</v>
      </c>
      <c r="S886">
        <v>5.1416635565026603</v>
      </c>
      <c r="T886">
        <v>92.265120976563693</v>
      </c>
      <c r="U886">
        <v>2.9351954657362995</v>
      </c>
      <c r="V886">
        <v>-8.3509539921858403E-2</v>
      </c>
      <c r="W886">
        <v>-8.6188355584626702E-2</v>
      </c>
      <c r="X886">
        <v>-6.2117403422328299E-2</v>
      </c>
      <c r="Y886">
        <v>-0.51135009403950604</v>
      </c>
      <c r="Z886">
        <v>-0.669554030021006</v>
      </c>
      <c r="AA886">
        <v>-1.4915282051312999</v>
      </c>
      <c r="AB886">
        <v>1813.5248996931791</v>
      </c>
      <c r="AC886">
        <v>1.6535284399339156</v>
      </c>
      <c r="AD886">
        <v>0.49421760679726223</v>
      </c>
      <c r="AE886">
        <v>-0.18520258641298501</v>
      </c>
      <c r="AF886">
        <v>-0.10031829922512001</v>
      </c>
      <c r="AG886">
        <v>0.38217415900357099</v>
      </c>
      <c r="AH886">
        <v>-1.0153483430954</v>
      </c>
      <c r="AI886">
        <v>-0.13685537087216301</v>
      </c>
      <c r="AJ886">
        <v>0.44784290717132602</v>
      </c>
      <c r="AK886">
        <v>45.071283999999999</v>
      </c>
      <c r="AL886">
        <v>4.8370730000000002</v>
      </c>
      <c r="AM886">
        <v>48.756999999999998</v>
      </c>
      <c r="AN886">
        <v>2.3260000000000001</v>
      </c>
    </row>
    <row r="887" spans="1:40" x14ac:dyDescent="0.35">
      <c r="A887">
        <v>1102</v>
      </c>
      <c r="B887">
        <v>42</v>
      </c>
      <c r="C887" t="s">
        <v>40</v>
      </c>
      <c r="D887" t="s">
        <v>41</v>
      </c>
      <c r="E887" t="s">
        <v>42</v>
      </c>
      <c r="F887" t="s">
        <v>53</v>
      </c>
      <c r="G887">
        <v>4</v>
      </c>
      <c r="H887">
        <v>16</v>
      </c>
      <c r="I887">
        <v>4</v>
      </c>
      <c r="J887" t="s">
        <v>50</v>
      </c>
      <c r="K887" t="s">
        <v>46</v>
      </c>
      <c r="L887" t="s">
        <v>47</v>
      </c>
      <c r="M887">
        <v>530.76970620414352</v>
      </c>
      <c r="N887">
        <v>692</v>
      </c>
      <c r="O887">
        <v>558</v>
      </c>
      <c r="P887">
        <v>836</v>
      </c>
      <c r="Q887">
        <v>5.9107966440405271</v>
      </c>
      <c r="R887">
        <v>6.4997870406558542</v>
      </c>
      <c r="S887">
        <v>8.6415324656718457</v>
      </c>
      <c r="T887">
        <v>89.265350482850479</v>
      </c>
      <c r="U887">
        <v>1.4417786561042019</v>
      </c>
      <c r="V887">
        <v>-0.22886708829074301</v>
      </c>
      <c r="W887">
        <v>0.28745285629339301</v>
      </c>
      <c r="X887">
        <v>-0.15627425222847</v>
      </c>
      <c r="Y887">
        <v>1.45226138127617</v>
      </c>
      <c r="Z887">
        <v>0.98247225355557</v>
      </c>
      <c r="AA887">
        <v>0.627775520474398</v>
      </c>
      <c r="AB887">
        <v>3362.2959371744532</v>
      </c>
      <c r="AC887">
        <v>2.8998317172850387</v>
      </c>
      <c r="AD887">
        <v>2.9499158586425196</v>
      </c>
      <c r="AE887">
        <v>1.06273170356322</v>
      </c>
      <c r="AF887">
        <v>-0.64951382791619205</v>
      </c>
      <c r="AG887">
        <v>-0.41116161637494603</v>
      </c>
      <c r="AH887">
        <v>-0.99873612189116401</v>
      </c>
      <c r="AI887">
        <v>-0.25042879245542998</v>
      </c>
      <c r="AJ887">
        <v>-6.2818939835814006E-2</v>
      </c>
      <c r="AK887">
        <v>43.3535629403058</v>
      </c>
      <c r="AL887">
        <v>3.21615314793977</v>
      </c>
      <c r="AM887">
        <v>46.801833333333342</v>
      </c>
      <c r="AN887">
        <v>-1.4504999999999999</v>
      </c>
    </row>
    <row r="888" spans="1:40" x14ac:dyDescent="0.35">
      <c r="A888">
        <v>1104</v>
      </c>
      <c r="B888">
        <v>57</v>
      </c>
      <c r="C888" t="s">
        <v>40</v>
      </c>
      <c r="D888" t="s">
        <v>41</v>
      </c>
      <c r="E888" t="s">
        <v>42</v>
      </c>
      <c r="F888" t="s">
        <v>49</v>
      </c>
      <c r="G888">
        <v>5</v>
      </c>
      <c r="H888">
        <v>25</v>
      </c>
      <c r="I888">
        <v>6</v>
      </c>
      <c r="J888" t="s">
        <v>50</v>
      </c>
      <c r="K888" t="s">
        <v>46</v>
      </c>
      <c r="L888" t="s">
        <v>59</v>
      </c>
      <c r="M888">
        <v>95.01203744429705</v>
      </c>
      <c r="N888">
        <v>171</v>
      </c>
      <c r="O888">
        <v>128</v>
      </c>
      <c r="P888">
        <v>197</v>
      </c>
      <c r="Q888">
        <v>1.3862943611198906</v>
      </c>
      <c r="R888">
        <v>1.3862943611198906</v>
      </c>
      <c r="S888">
        <v>4.9972122737641147</v>
      </c>
      <c r="T888">
        <v>90.035146103896111</v>
      </c>
      <c r="U888">
        <v>1.418823059726001</v>
      </c>
      <c r="V888">
        <v>-0.52223564926899602</v>
      </c>
      <c r="W888">
        <v>-0.46072710968150399</v>
      </c>
      <c r="X888">
        <v>-0.361786268345754</v>
      </c>
      <c r="Y888">
        <v>-0.552694479448822</v>
      </c>
      <c r="Z888">
        <v>2.1676297177028899E-2</v>
      </c>
      <c r="AA888">
        <v>0.625223797005378</v>
      </c>
      <c r="AB888">
        <v>2234.6992515788952</v>
      </c>
      <c r="AC888">
        <v>0</v>
      </c>
      <c r="AD888">
        <v>0.12112735591028891</v>
      </c>
      <c r="AE888">
        <v>-0.60610368582010199</v>
      </c>
      <c r="AF888">
        <v>-1.7042552153972199</v>
      </c>
      <c r="AG888">
        <v>1.4429356179084201</v>
      </c>
      <c r="AH888">
        <v>-1.31538857533289E-2</v>
      </c>
      <c r="AI888">
        <v>0.57460061704349197</v>
      </c>
      <c r="AJ888">
        <v>-0.171469567943284</v>
      </c>
      <c r="AK888">
        <v>47.411035099999999</v>
      </c>
      <c r="AL888">
        <v>0.98369799999999996</v>
      </c>
      <c r="AM888">
        <v>48.119294117647058</v>
      </c>
      <c r="AN888">
        <v>1.6922941176470587</v>
      </c>
    </row>
    <row r="889" spans="1:40" x14ac:dyDescent="0.35">
      <c r="A889">
        <v>1105</v>
      </c>
      <c r="B889">
        <v>57</v>
      </c>
      <c r="C889" t="s">
        <v>40</v>
      </c>
      <c r="D889" t="s">
        <v>41</v>
      </c>
      <c r="E889" t="s">
        <v>42</v>
      </c>
      <c r="F889" t="s">
        <v>61</v>
      </c>
      <c r="G889">
        <v>5</v>
      </c>
      <c r="H889">
        <v>25</v>
      </c>
      <c r="I889">
        <v>5</v>
      </c>
      <c r="J889" t="s">
        <v>56</v>
      </c>
      <c r="K889" t="s">
        <v>46</v>
      </c>
      <c r="L889" t="s">
        <v>62</v>
      </c>
      <c r="M889">
        <v>115.5884450383773</v>
      </c>
      <c r="N889">
        <v>137</v>
      </c>
      <c r="O889">
        <v>90</v>
      </c>
      <c r="P889">
        <v>116</v>
      </c>
      <c r="Q889">
        <v>0.69314718055994529</v>
      </c>
      <c r="R889">
        <v>3.2580965380214821</v>
      </c>
      <c r="S889">
        <v>3.2580965380214821</v>
      </c>
      <c r="T889">
        <v>95.68</v>
      </c>
      <c r="U889">
        <v>0</v>
      </c>
      <c r="V889">
        <v>1.82802042479695</v>
      </c>
      <c r="W889">
        <v>0.99424279543483596</v>
      </c>
      <c r="X889">
        <v>0.99177342203587404</v>
      </c>
      <c r="Y889">
        <v>-0.96278755162326501</v>
      </c>
      <c r="Z889">
        <v>-0.75605764486205096</v>
      </c>
      <c r="AA889">
        <v>-0.80037586101695801</v>
      </c>
      <c r="AB889">
        <v>2092.91</v>
      </c>
      <c r="AC889">
        <v>0</v>
      </c>
      <c r="AD889">
        <v>2.1</v>
      </c>
      <c r="AE889">
        <v>-1.0768626388726401</v>
      </c>
      <c r="AF889">
        <v>-0.148678899512769</v>
      </c>
      <c r="AG889">
        <v>1.55543272483132</v>
      </c>
      <c r="AH889">
        <v>-7.9017956355937502E-2</v>
      </c>
      <c r="AI889">
        <v>0.63079601675616603</v>
      </c>
      <c r="AJ889">
        <v>0.26308638109404803</v>
      </c>
      <c r="AK889">
        <v>49.042560999999999</v>
      </c>
      <c r="AL889">
        <v>3.9528660000000002</v>
      </c>
      <c r="AM889">
        <v>48.823</v>
      </c>
      <c r="AN889">
        <v>2.4079999999999999</v>
      </c>
    </row>
    <row r="890" spans="1:40" x14ac:dyDescent="0.35">
      <c r="A890">
        <v>1108</v>
      </c>
      <c r="B890">
        <v>42</v>
      </c>
      <c r="C890" t="s">
        <v>48</v>
      </c>
      <c r="D890" t="s">
        <v>66</v>
      </c>
      <c r="E890" t="s">
        <v>42</v>
      </c>
      <c r="F890" t="s">
        <v>49</v>
      </c>
      <c r="G890">
        <v>5</v>
      </c>
      <c r="H890">
        <v>25</v>
      </c>
      <c r="I890">
        <v>6</v>
      </c>
      <c r="J890" t="s">
        <v>50</v>
      </c>
      <c r="K890" t="s">
        <v>46</v>
      </c>
      <c r="L890" t="s">
        <v>73</v>
      </c>
      <c r="M890">
        <v>524.2297101417862</v>
      </c>
      <c r="N890">
        <v>599</v>
      </c>
      <c r="O890">
        <v>378</v>
      </c>
      <c r="P890">
        <v>244</v>
      </c>
      <c r="Q890">
        <v>1.9459101490553132</v>
      </c>
      <c r="R890">
        <v>2.9444389791664403</v>
      </c>
      <c r="S890">
        <v>4.2626798770413155</v>
      </c>
      <c r="T890">
        <v>91.872500000000002</v>
      </c>
      <c r="U890">
        <v>2.0033201607997366</v>
      </c>
      <c r="V890">
        <v>7.5580716531248995E-2</v>
      </c>
      <c r="W890">
        <v>0.203376316306385</v>
      </c>
      <c r="X890">
        <v>0.143329752535333</v>
      </c>
      <c r="Y890">
        <v>1.4483117406157899</v>
      </c>
      <c r="Z890">
        <v>1.7680602694732599</v>
      </c>
      <c r="AA890">
        <v>0.26366440732357699</v>
      </c>
      <c r="AB890">
        <v>4236</v>
      </c>
      <c r="AC890">
        <v>0</v>
      </c>
      <c r="AD890">
        <v>4</v>
      </c>
      <c r="AE890">
        <v>1.6751267091712101</v>
      </c>
      <c r="AF890">
        <v>1.91659035643439</v>
      </c>
      <c r="AG890">
        <v>0.39077807726094699</v>
      </c>
      <c r="AH890">
        <v>-3.4001292389955302</v>
      </c>
      <c r="AI890">
        <v>-0.56742704078278905</v>
      </c>
      <c r="AJ890">
        <v>0.54991883919790396</v>
      </c>
      <c r="AK890">
        <v>44.686388999999998</v>
      </c>
      <c r="AL890">
        <v>-0.52383800000000003</v>
      </c>
      <c r="AM890">
        <v>48.884</v>
      </c>
      <c r="AN890">
        <v>2.597</v>
      </c>
    </row>
    <row r="891" spans="1:40" x14ac:dyDescent="0.35">
      <c r="A891">
        <v>1109</v>
      </c>
      <c r="B891">
        <v>57</v>
      </c>
      <c r="C891" t="s">
        <v>40</v>
      </c>
      <c r="D891" t="s">
        <v>41</v>
      </c>
      <c r="E891" t="s">
        <v>42</v>
      </c>
      <c r="F891" t="s">
        <v>61</v>
      </c>
      <c r="G891">
        <v>5</v>
      </c>
      <c r="H891">
        <v>25</v>
      </c>
      <c r="I891">
        <v>6</v>
      </c>
      <c r="J891" t="s">
        <v>45</v>
      </c>
      <c r="K891" t="s">
        <v>46</v>
      </c>
      <c r="L891" t="s">
        <v>76</v>
      </c>
      <c r="M891">
        <v>141.84579967840941</v>
      </c>
      <c r="N891">
        <v>200</v>
      </c>
      <c r="O891">
        <v>150</v>
      </c>
      <c r="P891">
        <v>192</v>
      </c>
      <c r="Q891">
        <v>0</v>
      </c>
      <c r="R891">
        <v>1.0986122886681098</v>
      </c>
      <c r="S891">
        <v>4.1588830833596715</v>
      </c>
      <c r="T891">
        <v>91.226666666666674</v>
      </c>
      <c r="U891">
        <v>1.418823059726001</v>
      </c>
      <c r="V891">
        <v>-0.39095273818515502</v>
      </c>
      <c r="W891">
        <v>-0.53446083104759001</v>
      </c>
      <c r="X891">
        <v>-0.40804429067029002</v>
      </c>
      <c r="Y891">
        <v>-0.56789545922357498</v>
      </c>
      <c r="Z891">
        <v>-0.94760790482486201</v>
      </c>
      <c r="AA891">
        <v>-1.0848673571571601</v>
      </c>
      <c r="AB891">
        <v>1770.5103102717287</v>
      </c>
      <c r="AC891">
        <v>0.28213528618230871</v>
      </c>
      <c r="AD891">
        <v>1.7130468298323378</v>
      </c>
      <c r="AE891">
        <v>-1.13486126839574</v>
      </c>
      <c r="AF891">
        <v>0.67871233121139696</v>
      </c>
      <c r="AG891">
        <v>0.24865768888077999</v>
      </c>
      <c r="AH891">
        <v>-2.6035751331641199</v>
      </c>
      <c r="AI891">
        <v>-1.74899557932761</v>
      </c>
      <c r="AJ891">
        <v>0.42211361531304098</v>
      </c>
      <c r="AK891">
        <v>47.330690599999997</v>
      </c>
      <c r="AL891">
        <v>2.8390453999999998</v>
      </c>
      <c r="AM891">
        <v>47.391000000000005</v>
      </c>
      <c r="AN891">
        <v>0.96</v>
      </c>
    </row>
    <row r="892" spans="1:40" x14ac:dyDescent="0.35">
      <c r="A892">
        <v>1110</v>
      </c>
      <c r="B892">
        <v>57</v>
      </c>
      <c r="C892" t="s">
        <v>40</v>
      </c>
      <c r="D892" t="s">
        <v>52</v>
      </c>
      <c r="E892" t="s">
        <v>42</v>
      </c>
      <c r="F892" t="s">
        <v>43</v>
      </c>
      <c r="G892">
        <v>4</v>
      </c>
      <c r="H892">
        <v>16</v>
      </c>
      <c r="I892">
        <v>3</v>
      </c>
      <c r="J892" t="s">
        <v>45</v>
      </c>
      <c r="K892" t="s">
        <v>46</v>
      </c>
      <c r="L892" t="s">
        <v>72</v>
      </c>
      <c r="M892">
        <v>484.73666774308668</v>
      </c>
      <c r="N892">
        <v>581</v>
      </c>
      <c r="O892">
        <v>359</v>
      </c>
      <c r="P892">
        <v>365</v>
      </c>
      <c r="Q892">
        <v>0.69314718055994529</v>
      </c>
      <c r="R892">
        <v>1.3862943611198906</v>
      </c>
      <c r="S892">
        <v>4.5538768916005408</v>
      </c>
      <c r="T892">
        <v>89.340161030595823</v>
      </c>
      <c r="U892">
        <v>1.4712304197281412</v>
      </c>
      <c r="V892">
        <v>0.59716251398508702</v>
      </c>
      <c r="W892">
        <v>0.91068296986709796</v>
      </c>
      <c r="X892">
        <v>1.2273243988355</v>
      </c>
      <c r="Y892">
        <v>-0.4121809470949</v>
      </c>
      <c r="Z892">
        <v>-0.86472582726521097</v>
      </c>
      <c r="AA892">
        <v>-1.0172779374790899</v>
      </c>
      <c r="AB892">
        <v>1828.1689246701658</v>
      </c>
      <c r="AC892">
        <v>1.1127464888636687</v>
      </c>
      <c r="AD892">
        <v>1.8630656830756136</v>
      </c>
      <c r="AE892">
        <v>-0.53926882203722504</v>
      </c>
      <c r="AF892">
        <v>5.9414400188258602E-2</v>
      </c>
      <c r="AG892">
        <v>-0.284377695300841</v>
      </c>
      <c r="AH892">
        <v>0.75962211858878503</v>
      </c>
      <c r="AI892">
        <v>-4.2105224606392301E-2</v>
      </c>
      <c r="AJ892">
        <v>-1.6674440192876099E-2</v>
      </c>
      <c r="AK892">
        <v>44.503641999999999</v>
      </c>
      <c r="AL892">
        <v>1.1863669999999999</v>
      </c>
      <c r="AM892">
        <v>48.795999999999999</v>
      </c>
      <c r="AN892">
        <v>2.2549999999999999</v>
      </c>
    </row>
    <row r="893" spans="1:40" x14ac:dyDescent="0.35">
      <c r="A893">
        <v>1111</v>
      </c>
      <c r="B893">
        <v>29.5</v>
      </c>
      <c r="C893" t="s">
        <v>48</v>
      </c>
      <c r="D893" t="s">
        <v>66</v>
      </c>
      <c r="E893" t="s">
        <v>42</v>
      </c>
      <c r="F893" t="s">
        <v>49</v>
      </c>
      <c r="G893">
        <v>4</v>
      </c>
      <c r="H893">
        <v>16</v>
      </c>
      <c r="I893">
        <v>4</v>
      </c>
      <c r="J893" t="s">
        <v>56</v>
      </c>
      <c r="K893" t="s">
        <v>46</v>
      </c>
      <c r="L893" t="s">
        <v>77</v>
      </c>
      <c r="M893">
        <v>292.98757525489373</v>
      </c>
      <c r="N893">
        <v>398</v>
      </c>
      <c r="O893">
        <v>229</v>
      </c>
      <c r="P893">
        <v>274</v>
      </c>
      <c r="Q893">
        <v>0</v>
      </c>
      <c r="R893">
        <v>2.3978952727983707</v>
      </c>
      <c r="S893">
        <v>5.1416635565026603</v>
      </c>
      <c r="T893">
        <v>90.472417453603512</v>
      </c>
      <c r="U893">
        <v>2.7735735584863375</v>
      </c>
      <c r="V893">
        <v>-0.15231437986527399</v>
      </c>
      <c r="W893">
        <v>3.49635939345109E-2</v>
      </c>
      <c r="X893">
        <v>-0.19627808847033801</v>
      </c>
      <c r="Y893">
        <v>-0.57382446736590997</v>
      </c>
      <c r="Z893">
        <v>-0.74335605457542497</v>
      </c>
      <c r="AA893">
        <v>-0.53588051656191904</v>
      </c>
      <c r="AB893">
        <v>3937</v>
      </c>
      <c r="AC893">
        <v>0</v>
      </c>
      <c r="AD893">
        <v>1</v>
      </c>
      <c r="AE893">
        <v>-0.72244456620022002</v>
      </c>
      <c r="AF893">
        <v>-2.2069339108139499</v>
      </c>
      <c r="AG893">
        <v>0.74010957757069396</v>
      </c>
      <c r="AH893">
        <v>0.137784273414187</v>
      </c>
      <c r="AI893">
        <v>0.79250010349533895</v>
      </c>
      <c r="AJ893">
        <v>1.1471634246589</v>
      </c>
      <c r="AK893">
        <v>47.259622</v>
      </c>
      <c r="AL893">
        <v>-7.8518000000000004E-2</v>
      </c>
      <c r="AM893">
        <v>45.777206399999997</v>
      </c>
      <c r="AN893">
        <v>3.0825178000000002</v>
      </c>
    </row>
    <row r="894" spans="1:40" x14ac:dyDescent="0.35">
      <c r="A894">
        <v>1112</v>
      </c>
      <c r="B894">
        <v>57</v>
      </c>
      <c r="C894" t="s">
        <v>48</v>
      </c>
      <c r="D894" t="s">
        <v>66</v>
      </c>
      <c r="E894" t="s">
        <v>42</v>
      </c>
      <c r="F894" t="s">
        <v>49</v>
      </c>
      <c r="G894">
        <v>5</v>
      </c>
      <c r="H894">
        <v>25</v>
      </c>
      <c r="I894">
        <v>4</v>
      </c>
      <c r="J894" t="s">
        <v>56</v>
      </c>
      <c r="K894" t="s">
        <v>46</v>
      </c>
      <c r="L894" t="s">
        <v>55</v>
      </c>
      <c r="M894">
        <v>390.72465989955151</v>
      </c>
      <c r="N894">
        <v>583</v>
      </c>
      <c r="O894">
        <v>387</v>
      </c>
      <c r="P894">
        <v>177</v>
      </c>
      <c r="Q894">
        <v>2.0794415416798357</v>
      </c>
      <c r="R894">
        <v>2.3025850929940459</v>
      </c>
      <c r="S894">
        <v>3.2580965380214821</v>
      </c>
      <c r="T894">
        <v>95.12</v>
      </c>
      <c r="U894">
        <v>0</v>
      </c>
      <c r="V894">
        <v>1.89305099905856</v>
      </c>
      <c r="W894">
        <v>0.59880690621441701</v>
      </c>
      <c r="X894">
        <v>1.1856460040685599</v>
      </c>
      <c r="Y894">
        <v>-0.15565097555555901</v>
      </c>
      <c r="Z894">
        <v>-0.22748295097212001</v>
      </c>
      <c r="AA894">
        <v>1.0415013010201299</v>
      </c>
      <c r="AB894">
        <v>2939.9504036908884</v>
      </c>
      <c r="AC894">
        <v>2</v>
      </c>
      <c r="AD894">
        <v>0.42868127643214149</v>
      </c>
      <c r="AE894">
        <v>-2.40641039566141E-2</v>
      </c>
      <c r="AF894">
        <v>1.92043163804161</v>
      </c>
      <c r="AG894">
        <v>9.0400613298376703E-2</v>
      </c>
      <c r="AH894">
        <v>-0.20922186936840101</v>
      </c>
      <c r="AI894">
        <v>1.69210914865933</v>
      </c>
      <c r="AJ894">
        <v>-0.30727317137575799</v>
      </c>
      <c r="AK894">
        <v>48.0777517</v>
      </c>
      <c r="AL894">
        <v>7.3579641000000002</v>
      </c>
      <c r="AM894">
        <v>48.895999999999994</v>
      </c>
      <c r="AN894">
        <v>2.2069999999999999</v>
      </c>
    </row>
    <row r="895" spans="1:40" x14ac:dyDescent="0.35">
      <c r="A895">
        <v>1114</v>
      </c>
      <c r="B895">
        <v>57</v>
      </c>
      <c r="C895" t="s">
        <v>40</v>
      </c>
      <c r="D895" t="s">
        <v>41</v>
      </c>
      <c r="E895" t="s">
        <v>42</v>
      </c>
      <c r="F895" t="s">
        <v>53</v>
      </c>
      <c r="G895">
        <v>5</v>
      </c>
      <c r="H895">
        <v>25</v>
      </c>
      <c r="I895">
        <v>4</v>
      </c>
      <c r="J895" t="s">
        <v>56</v>
      </c>
      <c r="K895" t="s">
        <v>46</v>
      </c>
      <c r="L895" t="s">
        <v>77</v>
      </c>
      <c r="M895">
        <v>253.57285753495381</v>
      </c>
      <c r="N895">
        <v>321</v>
      </c>
      <c r="O895">
        <v>204</v>
      </c>
      <c r="P895">
        <v>127</v>
      </c>
      <c r="Q895">
        <v>0</v>
      </c>
      <c r="R895">
        <v>2.3978952727983707</v>
      </c>
      <c r="S895">
        <v>5.1416635565026603</v>
      </c>
      <c r="T895">
        <v>90.472417453603512</v>
      </c>
      <c r="U895">
        <v>2.7735735584863375</v>
      </c>
      <c r="V895">
        <v>-0.15231437986527399</v>
      </c>
      <c r="W895">
        <v>3.49635939345109E-2</v>
      </c>
      <c r="X895">
        <v>-0.19627808847033801</v>
      </c>
      <c r="Y895">
        <v>-0.57382446736590997</v>
      </c>
      <c r="Z895">
        <v>-0.74335605457542497</v>
      </c>
      <c r="AA895">
        <v>-0.53588051656191904</v>
      </c>
      <c r="AB895">
        <v>3937</v>
      </c>
      <c r="AC895">
        <v>0</v>
      </c>
      <c r="AD895">
        <v>1</v>
      </c>
      <c r="AE895">
        <v>-0.72244456620022002</v>
      </c>
      <c r="AF895">
        <v>0.269859066028934</v>
      </c>
      <c r="AG895">
        <v>-0.451907728870789</v>
      </c>
      <c r="AH895">
        <v>1.1314548320753599</v>
      </c>
      <c r="AI895">
        <v>0.68136563126324301</v>
      </c>
      <c r="AJ895">
        <v>1.2621768773908</v>
      </c>
      <c r="AK895">
        <v>47.259622</v>
      </c>
      <c r="AL895">
        <v>-7.8518000000000004E-2</v>
      </c>
      <c r="AM895">
        <v>48.856372813999997</v>
      </c>
      <c r="AN895">
        <v>2.3525296170000001</v>
      </c>
    </row>
    <row r="896" spans="1:40" x14ac:dyDescent="0.35">
      <c r="A896">
        <v>1115</v>
      </c>
      <c r="B896">
        <v>57</v>
      </c>
      <c r="C896" t="s">
        <v>40</v>
      </c>
      <c r="D896" t="s">
        <v>66</v>
      </c>
      <c r="E896" t="s">
        <v>68</v>
      </c>
      <c r="F896" t="s">
        <v>49</v>
      </c>
      <c r="G896">
        <v>7</v>
      </c>
      <c r="H896">
        <v>49</v>
      </c>
      <c r="I896">
        <v>6</v>
      </c>
      <c r="J896" t="s">
        <v>50</v>
      </c>
      <c r="K896" t="s">
        <v>46</v>
      </c>
      <c r="L896" t="s">
        <v>47</v>
      </c>
      <c r="M896">
        <v>818.53849504709979</v>
      </c>
      <c r="N896">
        <v>1069</v>
      </c>
      <c r="O896">
        <v>648</v>
      </c>
      <c r="P896">
        <v>421</v>
      </c>
      <c r="Q896">
        <v>5.9107966440405271</v>
      </c>
      <c r="R896">
        <v>6.4997870406558542</v>
      </c>
      <c r="S896">
        <v>8.6415324656718457</v>
      </c>
      <c r="T896">
        <v>89.265350482850479</v>
      </c>
      <c r="U896">
        <v>1.4417786561042019</v>
      </c>
      <c r="V896">
        <v>-0.22886708829074301</v>
      </c>
      <c r="W896">
        <v>0.28745285629339301</v>
      </c>
      <c r="X896">
        <v>-0.15627425222847</v>
      </c>
      <c r="Y896">
        <v>1.45226138127617</v>
      </c>
      <c r="Z896">
        <v>0.98247225355557</v>
      </c>
      <c r="AA896">
        <v>0.627775520474398</v>
      </c>
      <c r="AB896">
        <v>3362.2959371744532</v>
      </c>
      <c r="AC896">
        <v>2.8998317172850387</v>
      </c>
      <c r="AD896">
        <v>2.9499158586425196</v>
      </c>
      <c r="AE896">
        <v>1.06273170356322</v>
      </c>
      <c r="AF896">
        <v>-0.261013204098067</v>
      </c>
      <c r="AG896">
        <v>1.10854328346776</v>
      </c>
      <c r="AH896">
        <v>0.60153273216840597</v>
      </c>
      <c r="AI896">
        <v>-0.16148558321270901</v>
      </c>
      <c r="AJ896">
        <v>1.1525512722604001</v>
      </c>
      <c r="AK896">
        <v>43.3535629403058</v>
      </c>
      <c r="AL896">
        <v>3.21615314793977</v>
      </c>
      <c r="AM896">
        <v>50.640682937000001</v>
      </c>
      <c r="AN896">
        <v>4.6610704270000003</v>
      </c>
    </row>
    <row r="897" spans="1:40" x14ac:dyDescent="0.35">
      <c r="A897">
        <v>1117</v>
      </c>
      <c r="B897">
        <v>29.5</v>
      </c>
      <c r="C897" t="s">
        <v>48</v>
      </c>
      <c r="D897" t="s">
        <v>41</v>
      </c>
      <c r="E897" t="s">
        <v>42</v>
      </c>
      <c r="F897" t="s">
        <v>49</v>
      </c>
      <c r="G897">
        <v>4</v>
      </c>
      <c r="H897">
        <v>16</v>
      </c>
      <c r="I897">
        <v>5</v>
      </c>
      <c r="J897" t="s">
        <v>56</v>
      </c>
      <c r="K897" t="s">
        <v>46</v>
      </c>
      <c r="L897" t="s">
        <v>57</v>
      </c>
      <c r="M897">
        <v>273.71926266280133</v>
      </c>
      <c r="N897">
        <v>323</v>
      </c>
      <c r="O897">
        <v>257</v>
      </c>
      <c r="P897">
        <v>177</v>
      </c>
      <c r="Q897">
        <v>0.69314718055994529</v>
      </c>
      <c r="R897">
        <v>3.6109179126442243</v>
      </c>
      <c r="S897">
        <v>5.8833223884882786</v>
      </c>
      <c r="T897">
        <v>90.922105263157903</v>
      </c>
      <c r="U897">
        <v>2.3923758041545438</v>
      </c>
      <c r="V897">
        <v>-0.399596989308249</v>
      </c>
      <c r="W897">
        <v>-0.58810405700346202</v>
      </c>
      <c r="X897">
        <v>-0.29041857108635599</v>
      </c>
      <c r="Y897">
        <v>-0.846122564821426</v>
      </c>
      <c r="Z897">
        <v>-0.92679578564836795</v>
      </c>
      <c r="AA897">
        <v>0.86332342905974202</v>
      </c>
      <c r="AB897">
        <v>2050</v>
      </c>
      <c r="AC897">
        <v>1</v>
      </c>
      <c r="AD897">
        <v>2</v>
      </c>
      <c r="AE897">
        <v>-0.51011828243844404</v>
      </c>
      <c r="AF897">
        <v>1.12259386973056</v>
      </c>
      <c r="AG897">
        <v>0.52661482618864097</v>
      </c>
      <c r="AH897">
        <v>-0.20055321943388099</v>
      </c>
      <c r="AI897">
        <v>1.5878567888260799</v>
      </c>
      <c r="AJ897">
        <v>0.227331084903274</v>
      </c>
      <c r="AK897">
        <v>47.023905999999997</v>
      </c>
      <c r="AL897">
        <v>4.8380429999999999</v>
      </c>
      <c r="AM897">
        <v>48.884999999999998</v>
      </c>
      <c r="AN897">
        <v>2.4380000000000002</v>
      </c>
    </row>
    <row r="898" spans="1:40" x14ac:dyDescent="0.35">
      <c r="A898">
        <v>1120</v>
      </c>
      <c r="B898">
        <v>57</v>
      </c>
      <c r="C898" t="s">
        <v>40</v>
      </c>
      <c r="D898" t="s">
        <v>41</v>
      </c>
      <c r="E898" t="s">
        <v>42</v>
      </c>
      <c r="F898" t="s">
        <v>53</v>
      </c>
      <c r="G898">
        <v>5</v>
      </c>
      <c r="H898">
        <v>25</v>
      </c>
      <c r="I898">
        <v>7</v>
      </c>
      <c r="J898" t="s">
        <v>50</v>
      </c>
      <c r="K898" t="s">
        <v>46</v>
      </c>
      <c r="L898" t="s">
        <v>81</v>
      </c>
      <c r="M898">
        <v>18.33576507366201</v>
      </c>
      <c r="N898">
        <v>606</v>
      </c>
      <c r="O898">
        <v>382</v>
      </c>
      <c r="P898">
        <v>266</v>
      </c>
      <c r="Q898">
        <v>0</v>
      </c>
      <c r="R898">
        <v>0</v>
      </c>
      <c r="S898">
        <v>4.0430512678345503</v>
      </c>
      <c r="T898">
        <v>88.705120018058608</v>
      </c>
      <c r="U898">
        <v>1.1736806104474848</v>
      </c>
      <c r="V898">
        <v>-0.47558929701305802</v>
      </c>
      <c r="W898">
        <v>-0.86536000504125898</v>
      </c>
      <c r="X898">
        <v>-0.756079468432718</v>
      </c>
      <c r="Y898">
        <v>-0.29991099617686701</v>
      </c>
      <c r="Z898">
        <v>-0.41295088194839003</v>
      </c>
      <c r="AA898">
        <v>-1.4747044340851601</v>
      </c>
      <c r="AB898">
        <v>2397.9202643171807</v>
      </c>
      <c r="AC898">
        <v>4.5123348017621154</v>
      </c>
      <c r="AD898">
        <v>0.89074889867841411</v>
      </c>
      <c r="AE898">
        <v>2.0319785812814501</v>
      </c>
      <c r="AF898">
        <v>1.0162881664800101</v>
      </c>
      <c r="AG898">
        <v>-1.19720139811925</v>
      </c>
      <c r="AH898">
        <v>0.74600945685497499</v>
      </c>
      <c r="AI898">
        <v>0.61506680232355204</v>
      </c>
      <c r="AJ898">
        <v>0.604980624534042</v>
      </c>
      <c r="AK898">
        <v>48.862724999999998</v>
      </c>
      <c r="AL898">
        <v>2.2875920000000001</v>
      </c>
      <c r="AM898">
        <v>49.015000000000008</v>
      </c>
      <c r="AN898">
        <v>2.1920000000000002</v>
      </c>
    </row>
    <row r="899" spans="1:40" x14ac:dyDescent="0.35">
      <c r="A899">
        <v>1121</v>
      </c>
      <c r="B899">
        <v>72</v>
      </c>
      <c r="C899" t="s">
        <v>40</v>
      </c>
      <c r="D899" t="s">
        <v>41</v>
      </c>
      <c r="E899" t="s">
        <v>42</v>
      </c>
      <c r="F899" t="s">
        <v>49</v>
      </c>
      <c r="G899">
        <v>6</v>
      </c>
      <c r="H899">
        <v>36</v>
      </c>
      <c r="I899">
        <v>5</v>
      </c>
      <c r="J899" t="s">
        <v>56</v>
      </c>
      <c r="K899" t="s">
        <v>46</v>
      </c>
      <c r="L899" t="s">
        <v>60</v>
      </c>
      <c r="M899">
        <v>567.10864805143422</v>
      </c>
      <c r="N899">
        <v>688</v>
      </c>
      <c r="O899">
        <v>466</v>
      </c>
      <c r="P899">
        <v>270</v>
      </c>
      <c r="Q899">
        <v>3.8501476017100584</v>
      </c>
      <c r="R899">
        <v>2.9957322735539909</v>
      </c>
      <c r="S899">
        <v>5.4424177105217932</v>
      </c>
      <c r="T899">
        <v>88.975873222691746</v>
      </c>
      <c r="U899">
        <v>2.5514539469641888</v>
      </c>
      <c r="V899">
        <v>2.9336799326863701</v>
      </c>
      <c r="W899">
        <v>3.3730943146768602</v>
      </c>
      <c r="X899">
        <v>3.6072071704345601</v>
      </c>
      <c r="Y899">
        <v>-0.19189497559235799</v>
      </c>
      <c r="Z899">
        <v>0.17569111512999699</v>
      </c>
      <c r="AA899">
        <v>-0.304970615080496</v>
      </c>
      <c r="AB899">
        <v>1906.836709612184</v>
      </c>
      <c r="AC899">
        <v>0.7978420820676605</v>
      </c>
      <c r="AD899">
        <v>2.1056638128240834</v>
      </c>
      <c r="AE899">
        <v>-0.25037207080954499</v>
      </c>
      <c r="AF899">
        <v>-1.96731184434776</v>
      </c>
      <c r="AG899">
        <v>-1.7894289216007699</v>
      </c>
      <c r="AH899">
        <v>1.07108193951687</v>
      </c>
      <c r="AI899">
        <v>8.8086537393384706E-2</v>
      </c>
      <c r="AJ899">
        <v>1.1525201649139201</v>
      </c>
      <c r="AK899">
        <v>44.055988999999997</v>
      </c>
      <c r="AL899">
        <v>4.8317350000000001</v>
      </c>
      <c r="AM899">
        <v>48.856372813999997</v>
      </c>
      <c r="AN899">
        <v>2.3525296170000001</v>
      </c>
    </row>
    <row r="900" spans="1:40" x14ac:dyDescent="0.35">
      <c r="A900">
        <v>1122</v>
      </c>
      <c r="B900">
        <v>72</v>
      </c>
      <c r="C900" t="s">
        <v>40</v>
      </c>
      <c r="D900" t="s">
        <v>66</v>
      </c>
      <c r="E900" t="s">
        <v>42</v>
      </c>
      <c r="F900" t="s">
        <v>49</v>
      </c>
      <c r="G900">
        <v>5</v>
      </c>
      <c r="H900">
        <v>25</v>
      </c>
      <c r="I900">
        <v>5</v>
      </c>
      <c r="J900" t="s">
        <v>56</v>
      </c>
      <c r="K900" t="s">
        <v>46</v>
      </c>
      <c r="L900" t="s">
        <v>62</v>
      </c>
      <c r="M900">
        <v>118.81389814254101</v>
      </c>
      <c r="N900">
        <v>143</v>
      </c>
      <c r="O900">
        <v>100</v>
      </c>
      <c r="P900">
        <v>80</v>
      </c>
      <c r="Q900">
        <v>0.69314718055994529</v>
      </c>
      <c r="R900">
        <v>3.2580965380214821</v>
      </c>
      <c r="S900">
        <v>3.2580965380214821</v>
      </c>
      <c r="T900">
        <v>95.68</v>
      </c>
      <c r="U900">
        <v>0</v>
      </c>
      <c r="V900">
        <v>1.82802042479695</v>
      </c>
      <c r="W900">
        <v>0.99424279543483596</v>
      </c>
      <c r="X900">
        <v>0.99177342203587404</v>
      </c>
      <c r="Y900">
        <v>-0.96278755162326501</v>
      </c>
      <c r="Z900">
        <v>-0.75605764486205096</v>
      </c>
      <c r="AA900">
        <v>-0.80037586101695801</v>
      </c>
      <c r="AB900">
        <v>2092.91</v>
      </c>
      <c r="AC900">
        <v>0</v>
      </c>
      <c r="AD900">
        <v>2.1</v>
      </c>
      <c r="AE900">
        <v>-1.0768626388726401</v>
      </c>
      <c r="AF900">
        <v>1.26052924364213</v>
      </c>
      <c r="AG900">
        <v>2.12854153296985E-2</v>
      </c>
      <c r="AH900">
        <v>0.16482422774394301</v>
      </c>
      <c r="AI900">
        <v>-3.1165532028210801E-2</v>
      </c>
      <c r="AJ900">
        <v>-0.217989010502148</v>
      </c>
      <c r="AK900">
        <v>49.042560999999999</v>
      </c>
      <c r="AL900">
        <v>3.9528660000000002</v>
      </c>
      <c r="AM900">
        <v>48.856372813999997</v>
      </c>
      <c r="AN900">
        <v>2.3525296170000001</v>
      </c>
    </row>
    <row r="901" spans="1:40" x14ac:dyDescent="0.35">
      <c r="A901">
        <v>1123</v>
      </c>
      <c r="B901">
        <v>57</v>
      </c>
      <c r="C901" t="s">
        <v>40</v>
      </c>
      <c r="D901" t="s">
        <v>41</v>
      </c>
      <c r="E901" t="s">
        <v>42</v>
      </c>
      <c r="F901" t="s">
        <v>43</v>
      </c>
      <c r="G901">
        <v>4</v>
      </c>
      <c r="H901">
        <v>16</v>
      </c>
      <c r="I901">
        <v>6</v>
      </c>
      <c r="J901" t="s">
        <v>45</v>
      </c>
      <c r="K901" t="s">
        <v>46</v>
      </c>
      <c r="L901" t="s">
        <v>78</v>
      </c>
      <c r="M901">
        <v>881.00825400333042</v>
      </c>
      <c r="N901">
        <v>1161</v>
      </c>
      <c r="O901">
        <v>932</v>
      </c>
      <c r="P901">
        <v>1620</v>
      </c>
      <c r="Q901">
        <v>0</v>
      </c>
      <c r="R901">
        <v>0</v>
      </c>
      <c r="S901">
        <v>3.784189633918261</v>
      </c>
      <c r="T901">
        <v>88.642856449106446</v>
      </c>
      <c r="U901">
        <v>1.0940428522509147</v>
      </c>
      <c r="V901">
        <v>8.5508000285955607E-3</v>
      </c>
      <c r="W901">
        <v>-0.51120442009665101</v>
      </c>
      <c r="X901">
        <v>-0.50395056569549701</v>
      </c>
      <c r="Y901">
        <v>-1.08176131679965</v>
      </c>
      <c r="Z901">
        <v>-1.2254354371323599</v>
      </c>
      <c r="AA901">
        <v>-2.1159072764009799</v>
      </c>
      <c r="AB901">
        <v>465.17385257301805</v>
      </c>
      <c r="AC901">
        <v>0.43254520166898469</v>
      </c>
      <c r="AD901">
        <v>0.43254520166898469</v>
      </c>
      <c r="AE901">
        <v>7.7424783941295205E-2</v>
      </c>
      <c r="AF901">
        <v>0.20846126563242201</v>
      </c>
      <c r="AG901">
        <v>0.61712562089992495</v>
      </c>
      <c r="AH901">
        <v>-0.77606910962134801</v>
      </c>
      <c r="AI901">
        <v>-0.73963667830949698</v>
      </c>
      <c r="AJ901">
        <v>0.40827310360928099</v>
      </c>
      <c r="AK901">
        <v>42.680641999999999</v>
      </c>
      <c r="AL901">
        <v>9.3018979999999996</v>
      </c>
      <c r="AM901">
        <v>48.884000000000007</v>
      </c>
      <c r="AN901">
        <v>2.238</v>
      </c>
    </row>
    <row r="902" spans="1:40" x14ac:dyDescent="0.35">
      <c r="A902">
        <v>1124</v>
      </c>
      <c r="B902">
        <v>72</v>
      </c>
      <c r="C902" t="s">
        <v>40</v>
      </c>
      <c r="D902" t="s">
        <v>52</v>
      </c>
      <c r="E902" t="s">
        <v>42</v>
      </c>
      <c r="F902" t="s">
        <v>49</v>
      </c>
      <c r="G902">
        <v>5</v>
      </c>
      <c r="H902">
        <v>25</v>
      </c>
      <c r="I902">
        <v>4</v>
      </c>
      <c r="J902" t="s">
        <v>56</v>
      </c>
      <c r="K902" t="s">
        <v>46</v>
      </c>
      <c r="L902" t="s">
        <v>77</v>
      </c>
      <c r="M902">
        <v>255.27899731879819</v>
      </c>
      <c r="N902">
        <v>332</v>
      </c>
      <c r="O902">
        <v>223</v>
      </c>
      <c r="P902">
        <v>209</v>
      </c>
      <c r="Q902">
        <v>0</v>
      </c>
      <c r="R902">
        <v>2.3978952727983707</v>
      </c>
      <c r="S902">
        <v>5.1416635565026603</v>
      </c>
      <c r="T902">
        <v>90.472417453603512</v>
      </c>
      <c r="U902">
        <v>2.7735735584863375</v>
      </c>
      <c r="V902">
        <v>-0.15231437986527399</v>
      </c>
      <c r="W902">
        <v>3.49635939345109E-2</v>
      </c>
      <c r="X902">
        <v>-0.19627808847033801</v>
      </c>
      <c r="Y902">
        <v>-0.57382446736590997</v>
      </c>
      <c r="Z902">
        <v>-0.74335605457542497</v>
      </c>
      <c r="AA902">
        <v>-0.53588051656191904</v>
      </c>
      <c r="AB902">
        <v>3937</v>
      </c>
      <c r="AC902">
        <v>0</v>
      </c>
      <c r="AD902">
        <v>1</v>
      </c>
      <c r="AE902">
        <v>-0.72244456620022002</v>
      </c>
      <c r="AF902">
        <v>-0.35210021029662603</v>
      </c>
      <c r="AG902">
        <v>-0.46025574236128602</v>
      </c>
      <c r="AH902">
        <v>-4.3982295182571601E-2</v>
      </c>
      <c r="AI902">
        <v>-1.95856653756792</v>
      </c>
      <c r="AJ902">
        <v>7.9318904277528093E-2</v>
      </c>
      <c r="AK902">
        <v>47.259622</v>
      </c>
      <c r="AL902">
        <v>-7.8518000000000004E-2</v>
      </c>
      <c r="AM902">
        <v>48.951000000000001</v>
      </c>
      <c r="AN902">
        <v>2.2410000000000001</v>
      </c>
    </row>
    <row r="903" spans="1:40" x14ac:dyDescent="0.35">
      <c r="A903">
        <v>1125</v>
      </c>
      <c r="B903">
        <v>57</v>
      </c>
      <c r="C903" t="s">
        <v>40</v>
      </c>
      <c r="D903" t="s">
        <v>41</v>
      </c>
      <c r="E903" t="s">
        <v>42</v>
      </c>
      <c r="F903" t="s">
        <v>49</v>
      </c>
      <c r="G903">
        <v>6</v>
      </c>
      <c r="H903">
        <v>36</v>
      </c>
      <c r="I903">
        <v>6</v>
      </c>
      <c r="J903" t="s">
        <v>50</v>
      </c>
      <c r="K903" t="s">
        <v>46</v>
      </c>
      <c r="L903" t="s">
        <v>62</v>
      </c>
      <c r="M903">
        <v>132.0195748328569</v>
      </c>
      <c r="N903">
        <v>162</v>
      </c>
      <c r="O903">
        <v>110</v>
      </c>
      <c r="P903">
        <v>145</v>
      </c>
      <c r="Q903">
        <v>0.69314718055994529</v>
      </c>
      <c r="R903">
        <v>3.2580965380214821</v>
      </c>
      <c r="S903">
        <v>3.2580965380214821</v>
      </c>
      <c r="T903">
        <v>95.68</v>
      </c>
      <c r="U903">
        <v>0</v>
      </c>
      <c r="V903">
        <v>1.82802042479695</v>
      </c>
      <c r="W903">
        <v>0.99424279543483596</v>
      </c>
      <c r="X903">
        <v>0.99177342203587404</v>
      </c>
      <c r="Y903">
        <v>-0.96278755162326501</v>
      </c>
      <c r="Z903">
        <v>-0.75605764486205096</v>
      </c>
      <c r="AA903">
        <v>-0.80037586101695801</v>
      </c>
      <c r="AB903">
        <v>2092.91</v>
      </c>
      <c r="AC903">
        <v>0</v>
      </c>
      <c r="AD903">
        <v>2.1</v>
      </c>
      <c r="AE903">
        <v>-1.0768626388726401</v>
      </c>
      <c r="AF903">
        <v>-0.77355626848452597</v>
      </c>
      <c r="AG903">
        <v>-1.21942719245945</v>
      </c>
      <c r="AH903">
        <v>0.18376564720973401</v>
      </c>
      <c r="AI903">
        <v>0.100139450804581</v>
      </c>
      <c r="AJ903">
        <v>0.54826615732895101</v>
      </c>
      <c r="AK903">
        <v>49.042560999999999</v>
      </c>
      <c r="AL903">
        <v>3.9528660000000002</v>
      </c>
      <c r="AM903">
        <v>48.733499999999999</v>
      </c>
      <c r="AN903">
        <v>2.2115</v>
      </c>
    </row>
    <row r="904" spans="1:40" x14ac:dyDescent="0.35">
      <c r="A904">
        <v>1127</v>
      </c>
      <c r="B904">
        <v>42</v>
      </c>
      <c r="C904" t="s">
        <v>40</v>
      </c>
      <c r="D904" t="s">
        <v>66</v>
      </c>
      <c r="E904" t="s">
        <v>42</v>
      </c>
      <c r="F904" t="s">
        <v>61</v>
      </c>
      <c r="G904">
        <v>3</v>
      </c>
      <c r="H904">
        <v>9</v>
      </c>
      <c r="I904">
        <v>2</v>
      </c>
      <c r="J904" t="s">
        <v>56</v>
      </c>
      <c r="K904" t="s">
        <v>46</v>
      </c>
      <c r="L904" t="s">
        <v>58</v>
      </c>
      <c r="M904">
        <v>470.20785645571289</v>
      </c>
      <c r="N904">
        <v>566</v>
      </c>
      <c r="O904">
        <v>409</v>
      </c>
      <c r="P904">
        <v>222</v>
      </c>
      <c r="Q904">
        <v>3.2580965380214821</v>
      </c>
      <c r="R904">
        <v>2.8903717578961645</v>
      </c>
      <c r="S904">
        <v>4.7535901911063645</v>
      </c>
      <c r="T904">
        <v>90.794285714285706</v>
      </c>
      <c r="U904">
        <v>0</v>
      </c>
      <c r="V904">
        <v>0.63905639120027702</v>
      </c>
      <c r="W904">
        <v>0.692565001186083</v>
      </c>
      <c r="X904">
        <v>0.56469097254324596</v>
      </c>
      <c r="Y904">
        <v>1.4483117406157899</v>
      </c>
      <c r="Z904">
        <v>1.7680602694732599</v>
      </c>
      <c r="AA904">
        <v>0.26366440732357699</v>
      </c>
      <c r="AB904">
        <v>4236</v>
      </c>
      <c r="AC904">
        <v>0</v>
      </c>
      <c r="AD904">
        <v>4</v>
      </c>
      <c r="AE904">
        <v>1.6751267091712101</v>
      </c>
      <c r="AF904">
        <v>0.55098257455475796</v>
      </c>
      <c r="AG904">
        <v>0.80222780310578201</v>
      </c>
      <c r="AH904">
        <v>-1.5776587530030299</v>
      </c>
      <c r="AI904">
        <v>0.46817556225745699</v>
      </c>
      <c r="AJ904">
        <v>0.139227915491896</v>
      </c>
      <c r="AK904">
        <v>45.198478000000001</v>
      </c>
      <c r="AL904">
        <v>-0.74874399999999997</v>
      </c>
      <c r="AM904">
        <v>48.856372813999997</v>
      </c>
      <c r="AN904">
        <v>2.3525296170000001</v>
      </c>
    </row>
    <row r="905" spans="1:40" x14ac:dyDescent="0.35">
      <c r="A905">
        <v>1128</v>
      </c>
      <c r="B905">
        <v>72</v>
      </c>
      <c r="C905" t="s">
        <v>40</v>
      </c>
      <c r="D905" t="s">
        <v>52</v>
      </c>
      <c r="E905" t="s">
        <v>42</v>
      </c>
      <c r="F905" t="s">
        <v>49</v>
      </c>
      <c r="G905">
        <v>5</v>
      </c>
      <c r="H905">
        <v>25</v>
      </c>
      <c r="I905">
        <v>5</v>
      </c>
      <c r="J905" t="s">
        <v>50</v>
      </c>
      <c r="K905" t="s">
        <v>46</v>
      </c>
      <c r="L905" t="s">
        <v>47</v>
      </c>
      <c r="M905">
        <v>616.17410665584759</v>
      </c>
      <c r="N905">
        <v>757</v>
      </c>
      <c r="O905">
        <v>474</v>
      </c>
      <c r="P905">
        <v>309</v>
      </c>
      <c r="Q905">
        <v>5.9107966440405271</v>
      </c>
      <c r="R905">
        <v>6.4997870406558542</v>
      </c>
      <c r="S905">
        <v>8.6415324656718457</v>
      </c>
      <c r="T905">
        <v>89.265350482850479</v>
      </c>
      <c r="U905">
        <v>1.4417786561042019</v>
      </c>
      <c r="V905">
        <v>-0.22886708829074301</v>
      </c>
      <c r="W905">
        <v>0.28745285629339301</v>
      </c>
      <c r="X905">
        <v>-0.15627425222847</v>
      </c>
      <c r="Y905">
        <v>1.45226138127617</v>
      </c>
      <c r="Z905">
        <v>0.98247225355557</v>
      </c>
      <c r="AA905">
        <v>0.627775520474398</v>
      </c>
      <c r="AB905">
        <v>3362.2959371744532</v>
      </c>
      <c r="AC905">
        <v>2.8998317172850387</v>
      </c>
      <c r="AD905">
        <v>2.9499158586425196</v>
      </c>
      <c r="AE905">
        <v>1.06273170356322</v>
      </c>
      <c r="AF905">
        <v>-0.121842784133705</v>
      </c>
      <c r="AG905">
        <v>-0.89148464813537398</v>
      </c>
      <c r="AH905">
        <v>0.373020397435472</v>
      </c>
      <c r="AI905">
        <v>-0.18211107800665499</v>
      </c>
      <c r="AJ905">
        <v>-0.188027612175278</v>
      </c>
      <c r="AK905">
        <v>43.3535629403058</v>
      </c>
      <c r="AL905">
        <v>3.21615314793977</v>
      </c>
      <c r="AM905">
        <v>48.856372813999997</v>
      </c>
      <c r="AN905">
        <v>2.3525296170000001</v>
      </c>
    </row>
    <row r="906" spans="1:40" x14ac:dyDescent="0.35">
      <c r="A906">
        <v>1129</v>
      </c>
      <c r="B906">
        <v>57</v>
      </c>
      <c r="C906" t="s">
        <v>40</v>
      </c>
      <c r="D906" t="s">
        <v>66</v>
      </c>
      <c r="E906" t="s">
        <v>42</v>
      </c>
      <c r="F906" t="s">
        <v>43</v>
      </c>
      <c r="G906">
        <v>5</v>
      </c>
      <c r="H906">
        <v>25</v>
      </c>
      <c r="I906">
        <v>5</v>
      </c>
      <c r="J906" t="s">
        <v>56</v>
      </c>
      <c r="K906" t="s">
        <v>46</v>
      </c>
      <c r="L906" t="s">
        <v>70</v>
      </c>
      <c r="M906">
        <v>361.78028155983822</v>
      </c>
      <c r="N906">
        <v>432</v>
      </c>
      <c r="O906">
        <v>287</v>
      </c>
      <c r="P906">
        <v>189</v>
      </c>
      <c r="Q906">
        <v>0</v>
      </c>
      <c r="R906">
        <v>0</v>
      </c>
      <c r="S906">
        <v>5.3230099791384085</v>
      </c>
      <c r="T906">
        <v>90.615999999999985</v>
      </c>
      <c r="U906">
        <v>1.11573792223403</v>
      </c>
      <c r="V906">
        <v>0.80288722813325297</v>
      </c>
      <c r="W906">
        <v>0.52082154240315903</v>
      </c>
      <c r="X906">
        <v>0.61908815691345198</v>
      </c>
      <c r="Y906">
        <v>1.5007680231051199</v>
      </c>
      <c r="Z906">
        <v>0.24292628533916899</v>
      </c>
      <c r="AA906">
        <v>8.5217386942517098E-2</v>
      </c>
      <c r="AB906">
        <v>3943</v>
      </c>
      <c r="AC906">
        <v>0</v>
      </c>
      <c r="AD906">
        <v>1</v>
      </c>
      <c r="AE906">
        <v>1.1088815174583</v>
      </c>
      <c r="AF906">
        <v>1.58374486773993</v>
      </c>
      <c r="AG906">
        <v>-1.45473371165815</v>
      </c>
      <c r="AH906">
        <v>1.12711350709281</v>
      </c>
      <c r="AI906">
        <v>1.6186130552208</v>
      </c>
      <c r="AJ906">
        <v>-0.33111443708269001</v>
      </c>
      <c r="AK906">
        <v>46.098678999999997</v>
      </c>
      <c r="AL906">
        <v>4.7359530000000003</v>
      </c>
      <c r="AM906">
        <v>48.904000000000003</v>
      </c>
      <c r="AN906">
        <v>2.3060000000000005</v>
      </c>
    </row>
    <row r="907" spans="1:40" x14ac:dyDescent="0.35">
      <c r="A907">
        <v>1130</v>
      </c>
      <c r="B907">
        <v>72</v>
      </c>
      <c r="C907" t="s">
        <v>40</v>
      </c>
      <c r="D907" t="s">
        <v>52</v>
      </c>
      <c r="E907" t="s">
        <v>42</v>
      </c>
      <c r="F907" t="s">
        <v>49</v>
      </c>
      <c r="G907">
        <v>7</v>
      </c>
      <c r="H907">
        <v>49</v>
      </c>
      <c r="I907">
        <v>5</v>
      </c>
      <c r="J907" t="s">
        <v>50</v>
      </c>
      <c r="K907" t="s">
        <v>46</v>
      </c>
      <c r="L907" t="s">
        <v>60</v>
      </c>
      <c r="M907">
        <v>629.7279418094663</v>
      </c>
      <c r="N907">
        <v>783</v>
      </c>
      <c r="O907">
        <v>535</v>
      </c>
      <c r="P907">
        <v>762</v>
      </c>
      <c r="Q907">
        <v>3.8501476017100584</v>
      </c>
      <c r="R907">
        <v>2.9957322735539909</v>
      </c>
      <c r="S907">
        <v>5.4424177105217932</v>
      </c>
      <c r="T907">
        <v>88.975873222691746</v>
      </c>
      <c r="U907">
        <v>2.5514539469641888</v>
      </c>
      <c r="V907">
        <v>2.9336799326863701</v>
      </c>
      <c r="W907">
        <v>3.3730943146768602</v>
      </c>
      <c r="X907">
        <v>3.6072071704345601</v>
      </c>
      <c r="Y907">
        <v>-0.19189497559235799</v>
      </c>
      <c r="Z907">
        <v>0.17569111512999699</v>
      </c>
      <c r="AA907">
        <v>-0.304970615080496</v>
      </c>
      <c r="AB907">
        <v>1906.836709612184</v>
      </c>
      <c r="AC907">
        <v>0.7978420820676605</v>
      </c>
      <c r="AD907">
        <v>2.1056638128240834</v>
      </c>
      <c r="AE907">
        <v>-0.25037207080954499</v>
      </c>
      <c r="AF907">
        <v>-0.28557955927429401</v>
      </c>
      <c r="AG907">
        <v>2.07360704486367E-2</v>
      </c>
      <c r="AH907">
        <v>0.49801909555662199</v>
      </c>
      <c r="AI907">
        <v>-0.183479204255276</v>
      </c>
      <c r="AJ907">
        <v>-1.8017862680446699</v>
      </c>
      <c r="AK907">
        <v>44.055988999999997</v>
      </c>
      <c r="AL907">
        <v>4.8317350000000001</v>
      </c>
      <c r="AM907">
        <v>49.576777777777771</v>
      </c>
      <c r="AN907">
        <v>3.0259259259259261</v>
      </c>
    </row>
    <row r="908" spans="1:40" x14ac:dyDescent="0.35">
      <c r="A908">
        <v>1131</v>
      </c>
      <c r="B908">
        <v>57</v>
      </c>
      <c r="C908" t="s">
        <v>40</v>
      </c>
      <c r="D908" t="s">
        <v>41</v>
      </c>
      <c r="E908" t="s">
        <v>42</v>
      </c>
      <c r="F908" t="s">
        <v>53</v>
      </c>
      <c r="G908">
        <v>5</v>
      </c>
      <c r="H908">
        <v>25</v>
      </c>
      <c r="I908">
        <v>5</v>
      </c>
      <c r="J908" t="s">
        <v>50</v>
      </c>
      <c r="K908" t="s">
        <v>46</v>
      </c>
      <c r="L908" t="s">
        <v>83</v>
      </c>
      <c r="M908">
        <v>302.88234156007502</v>
      </c>
      <c r="N908">
        <v>348</v>
      </c>
      <c r="O908">
        <v>221</v>
      </c>
      <c r="P908">
        <v>228</v>
      </c>
      <c r="Q908">
        <v>0</v>
      </c>
      <c r="R908">
        <v>0</v>
      </c>
      <c r="S908">
        <v>4.4886363697321396</v>
      </c>
      <c r="T908">
        <v>90.115111111111119</v>
      </c>
      <c r="U908">
        <v>1.2513404171152498</v>
      </c>
      <c r="V908">
        <v>-0.46152060700845399</v>
      </c>
      <c r="W908">
        <v>-0.57121975163865102</v>
      </c>
      <c r="X908">
        <v>-0.33135740862223101</v>
      </c>
      <c r="Y908">
        <v>-0.77598924050104101</v>
      </c>
      <c r="Z908">
        <v>0.47668876811384397</v>
      </c>
      <c r="AA908">
        <v>0.85617757356637403</v>
      </c>
      <c r="AB908">
        <v>2565</v>
      </c>
      <c r="AC908">
        <v>1</v>
      </c>
      <c r="AD908">
        <v>0</v>
      </c>
      <c r="AE908">
        <v>-0.72514205471140702</v>
      </c>
      <c r="AF908">
        <v>-1.9965223592958601</v>
      </c>
      <c r="AG908">
        <v>0.38838457662270898</v>
      </c>
      <c r="AH908">
        <v>1.2348198112914099</v>
      </c>
      <c r="AI908">
        <v>1.00226115035508</v>
      </c>
      <c r="AJ908">
        <v>1.0620802629074</v>
      </c>
      <c r="AK908">
        <v>46.839658</v>
      </c>
      <c r="AL908">
        <v>4.7189269999999999</v>
      </c>
      <c r="AM908">
        <v>48.938999999999993</v>
      </c>
      <c r="AN908">
        <v>2.137</v>
      </c>
    </row>
    <row r="909" spans="1:40" x14ac:dyDescent="0.35">
      <c r="A909">
        <v>1132</v>
      </c>
      <c r="B909">
        <v>57</v>
      </c>
      <c r="C909" t="s">
        <v>40</v>
      </c>
      <c r="D909" t="s">
        <v>41</v>
      </c>
      <c r="E909" t="s">
        <v>42</v>
      </c>
      <c r="F909" t="s">
        <v>49</v>
      </c>
      <c r="G909">
        <v>5</v>
      </c>
      <c r="H909">
        <v>25</v>
      </c>
      <c r="I909">
        <v>4</v>
      </c>
      <c r="J909" t="s">
        <v>56</v>
      </c>
      <c r="K909" t="s">
        <v>46</v>
      </c>
      <c r="L909" t="s">
        <v>60</v>
      </c>
      <c r="M909">
        <v>567.10864805143422</v>
      </c>
      <c r="N909">
        <v>688</v>
      </c>
      <c r="O909">
        <v>466</v>
      </c>
      <c r="P909">
        <v>270</v>
      </c>
      <c r="Q909">
        <v>3.8501476017100584</v>
      </c>
      <c r="R909">
        <v>2.9957322735539909</v>
      </c>
      <c r="S909">
        <v>5.4424177105217932</v>
      </c>
      <c r="T909">
        <v>88.975873222691746</v>
      </c>
      <c r="U909">
        <v>2.5514539469641888</v>
      </c>
      <c r="V909">
        <v>2.9336799326863701</v>
      </c>
      <c r="W909">
        <v>3.3730943146768602</v>
      </c>
      <c r="X909">
        <v>3.6072071704345601</v>
      </c>
      <c r="Y909">
        <v>-0.19189497559235799</v>
      </c>
      <c r="Z909">
        <v>0.17569111512999699</v>
      </c>
      <c r="AA909">
        <v>-0.304970615080496</v>
      </c>
      <c r="AB909">
        <v>1906.836709612184</v>
      </c>
      <c r="AC909">
        <v>0.7978420820676605</v>
      </c>
      <c r="AD909">
        <v>2.1056638128240834</v>
      </c>
      <c r="AE909">
        <v>-0.25037207080954499</v>
      </c>
      <c r="AF909">
        <v>-0.119237788530238</v>
      </c>
      <c r="AG909">
        <v>-0.281328226978312</v>
      </c>
      <c r="AH909">
        <v>1.198078814047</v>
      </c>
      <c r="AI909">
        <v>0.57585694423674405</v>
      </c>
      <c r="AJ909">
        <v>0.812655782863275</v>
      </c>
      <c r="AK909">
        <v>44.055988999999997</v>
      </c>
      <c r="AL909">
        <v>4.8317350000000001</v>
      </c>
      <c r="AM909">
        <v>48.856372813999997</v>
      </c>
      <c r="AN909">
        <v>2.3525296170000001</v>
      </c>
    </row>
    <row r="910" spans="1:40" x14ac:dyDescent="0.35">
      <c r="A910">
        <v>1133</v>
      </c>
      <c r="B910">
        <v>57</v>
      </c>
      <c r="C910" t="s">
        <v>40</v>
      </c>
      <c r="D910" t="s">
        <v>52</v>
      </c>
      <c r="E910" t="s">
        <v>42</v>
      </c>
      <c r="F910" t="s">
        <v>49</v>
      </c>
      <c r="G910">
        <v>7</v>
      </c>
      <c r="H910">
        <v>49</v>
      </c>
      <c r="I910">
        <v>7</v>
      </c>
      <c r="J910" t="s">
        <v>50</v>
      </c>
      <c r="K910" t="s">
        <v>46</v>
      </c>
      <c r="L910" t="s">
        <v>47</v>
      </c>
      <c r="M910">
        <v>266.96671070581613</v>
      </c>
      <c r="N910">
        <v>347</v>
      </c>
      <c r="O910">
        <v>226</v>
      </c>
      <c r="P910">
        <v>347</v>
      </c>
      <c r="Q910">
        <v>5.9107966440405271</v>
      </c>
      <c r="R910">
        <v>6.4997870406558542</v>
      </c>
      <c r="S910">
        <v>8.6415324656718457</v>
      </c>
      <c r="T910">
        <v>89.265350482850479</v>
      </c>
      <c r="U910">
        <v>1.4417786561042019</v>
      </c>
      <c r="V910">
        <v>-0.22886708829074301</v>
      </c>
      <c r="W910">
        <v>0.28745285629339301</v>
      </c>
      <c r="X910">
        <v>-0.15627425222847</v>
      </c>
      <c r="Y910">
        <v>1.45226138127617</v>
      </c>
      <c r="Z910">
        <v>0.98247225355557</v>
      </c>
      <c r="AA910">
        <v>0.627775520474398</v>
      </c>
      <c r="AB910">
        <v>3362.2959371744532</v>
      </c>
      <c r="AC910">
        <v>2.8998317172850387</v>
      </c>
      <c r="AD910">
        <v>2.9499158586425196</v>
      </c>
      <c r="AE910">
        <v>1.06273170356322</v>
      </c>
      <c r="AF910">
        <v>1.13939186204652</v>
      </c>
      <c r="AG910">
        <v>-3.0456636889492201</v>
      </c>
      <c r="AH910">
        <v>1.3530264016784299</v>
      </c>
      <c r="AI910">
        <v>0.68862902282000804</v>
      </c>
      <c r="AJ910">
        <v>0.79850254293654799</v>
      </c>
      <c r="AK910">
        <v>43.3535629403058</v>
      </c>
      <c r="AL910">
        <v>3.21615314793977</v>
      </c>
      <c r="AM910">
        <v>45.75</v>
      </c>
      <c r="AN910">
        <v>3.0870000000000002</v>
      </c>
    </row>
    <row r="911" spans="1:40" x14ac:dyDescent="0.35">
      <c r="A911">
        <v>1134</v>
      </c>
      <c r="B911">
        <v>57</v>
      </c>
      <c r="C911" t="s">
        <v>40</v>
      </c>
      <c r="D911" t="s">
        <v>41</v>
      </c>
      <c r="E911" t="s">
        <v>42</v>
      </c>
      <c r="F911" t="s">
        <v>49</v>
      </c>
      <c r="G911">
        <v>4</v>
      </c>
      <c r="H911">
        <v>16</v>
      </c>
      <c r="I911">
        <v>5</v>
      </c>
      <c r="J911" t="s">
        <v>50</v>
      </c>
      <c r="K911" t="s">
        <v>46</v>
      </c>
      <c r="L911" t="s">
        <v>70</v>
      </c>
      <c r="M911">
        <v>325.07809906311832</v>
      </c>
      <c r="N911">
        <v>389</v>
      </c>
      <c r="O911">
        <v>190</v>
      </c>
      <c r="P911">
        <v>218</v>
      </c>
      <c r="Q911">
        <v>0</v>
      </c>
      <c r="R911">
        <v>0</v>
      </c>
      <c r="S911">
        <v>5.3230099791384085</v>
      </c>
      <c r="T911">
        <v>90.615999999999985</v>
      </c>
      <c r="U911">
        <v>1.11573792223403</v>
      </c>
      <c r="V911">
        <v>0.80288722813325297</v>
      </c>
      <c r="W911">
        <v>0.52082154240315903</v>
      </c>
      <c r="X911">
        <v>0.61908815691345198</v>
      </c>
      <c r="Y911">
        <v>1.5007680231051199</v>
      </c>
      <c r="Z911">
        <v>0.24292628533916899</v>
      </c>
      <c r="AA911">
        <v>8.5217386942517098E-2</v>
      </c>
      <c r="AB911">
        <v>3943</v>
      </c>
      <c r="AC911">
        <v>0</v>
      </c>
      <c r="AD911">
        <v>1</v>
      </c>
      <c r="AE911">
        <v>1.1088815174583</v>
      </c>
      <c r="AF911">
        <v>-0.83493303106851702</v>
      </c>
      <c r="AG911">
        <v>-1.24258568752512</v>
      </c>
      <c r="AH911">
        <v>-0.57307698127424</v>
      </c>
      <c r="AI911">
        <v>-0.26154963685106503</v>
      </c>
      <c r="AJ911">
        <v>1.2538486426744599</v>
      </c>
      <c r="AK911">
        <v>46.098678999999997</v>
      </c>
      <c r="AL911">
        <v>4.7359530000000003</v>
      </c>
      <c r="AM911">
        <v>48.563499999999991</v>
      </c>
      <c r="AN911">
        <v>2.4245000000000001</v>
      </c>
    </row>
    <row r="912" spans="1:40" x14ac:dyDescent="0.35">
      <c r="A912">
        <v>1135</v>
      </c>
      <c r="B912">
        <v>57</v>
      </c>
      <c r="C912" t="s">
        <v>48</v>
      </c>
      <c r="D912" t="s">
        <v>66</v>
      </c>
      <c r="E912" t="s">
        <v>68</v>
      </c>
      <c r="F912" t="s">
        <v>49</v>
      </c>
      <c r="G912">
        <v>5</v>
      </c>
      <c r="H912">
        <v>25</v>
      </c>
      <c r="I912">
        <v>6</v>
      </c>
      <c r="J912" t="s">
        <v>50</v>
      </c>
      <c r="K912" t="s">
        <v>46</v>
      </c>
      <c r="L912" t="s">
        <v>59</v>
      </c>
      <c r="M912">
        <v>448.55387495827227</v>
      </c>
      <c r="N912">
        <v>538</v>
      </c>
      <c r="O912">
        <v>378</v>
      </c>
      <c r="P912">
        <v>268</v>
      </c>
      <c r="Q912">
        <v>1.3862943611198906</v>
      </c>
      <c r="R912">
        <v>1.3862943611198906</v>
      </c>
      <c r="S912">
        <v>4.9972122737641147</v>
      </c>
      <c r="T912">
        <v>90.035146103896111</v>
      </c>
      <c r="U912">
        <v>1.418823059726001</v>
      </c>
      <c r="V912">
        <v>-0.52223564926899602</v>
      </c>
      <c r="W912">
        <v>-0.46072710968150399</v>
      </c>
      <c r="X912">
        <v>-0.361786268345754</v>
      </c>
      <c r="Y912">
        <v>-0.552694479448822</v>
      </c>
      <c r="Z912">
        <v>2.1676297177028899E-2</v>
      </c>
      <c r="AA912">
        <v>0.625223797005378</v>
      </c>
      <c r="AB912">
        <v>2234.6992515788952</v>
      </c>
      <c r="AC912">
        <v>0</v>
      </c>
      <c r="AD912">
        <v>0.12112735591028891</v>
      </c>
      <c r="AE912">
        <v>-0.60610368582010199</v>
      </c>
      <c r="AF912">
        <v>-1.0346467696514301</v>
      </c>
      <c r="AG912">
        <v>-2.8321648837997902E-2</v>
      </c>
      <c r="AH912">
        <v>0.78360887855613104</v>
      </c>
      <c r="AI912">
        <v>-0.93195069937898001</v>
      </c>
      <c r="AJ912">
        <v>-0.44496059984676201</v>
      </c>
      <c r="AK912">
        <v>47.411035099999999</v>
      </c>
      <c r="AL912">
        <v>0.98369799999999996</v>
      </c>
      <c r="AM912">
        <v>50.640682937000001</v>
      </c>
      <c r="AN912">
        <v>4.6610704270000003</v>
      </c>
    </row>
    <row r="913" spans="1:40" x14ac:dyDescent="0.35">
      <c r="A913">
        <v>1136</v>
      </c>
      <c r="B913">
        <v>57</v>
      </c>
      <c r="C913" t="s">
        <v>40</v>
      </c>
      <c r="D913" t="s">
        <v>41</v>
      </c>
      <c r="E913" t="s">
        <v>42</v>
      </c>
      <c r="F913" t="s">
        <v>49</v>
      </c>
      <c r="G913">
        <v>5</v>
      </c>
      <c r="H913">
        <v>25</v>
      </c>
      <c r="I913">
        <v>5</v>
      </c>
      <c r="J913" t="s">
        <v>56</v>
      </c>
      <c r="K913" t="s">
        <v>46</v>
      </c>
      <c r="L913" t="s">
        <v>47</v>
      </c>
      <c r="M913">
        <v>638.51806878620607</v>
      </c>
      <c r="N913">
        <v>794</v>
      </c>
      <c r="O913">
        <v>491</v>
      </c>
      <c r="P913">
        <v>339</v>
      </c>
      <c r="Q913">
        <v>5.9107966440405271</v>
      </c>
      <c r="R913">
        <v>6.4997870406558542</v>
      </c>
      <c r="S913">
        <v>8.6415324656718457</v>
      </c>
      <c r="T913">
        <v>89.265350482850479</v>
      </c>
      <c r="U913">
        <v>1.4417786561042019</v>
      </c>
      <c r="V913">
        <v>-0.22886708829074301</v>
      </c>
      <c r="W913">
        <v>0.28745285629339301</v>
      </c>
      <c r="X913">
        <v>-0.15627425222847</v>
      </c>
      <c r="Y913">
        <v>1.45226138127617</v>
      </c>
      <c r="Z913">
        <v>0.98247225355557</v>
      </c>
      <c r="AA913">
        <v>0.627775520474398</v>
      </c>
      <c r="AB913">
        <v>3362.2959371744532</v>
      </c>
      <c r="AC913">
        <v>2.8998317172850387</v>
      </c>
      <c r="AD913">
        <v>2.9499158586425196</v>
      </c>
      <c r="AE913">
        <v>1.06273170356322</v>
      </c>
      <c r="AF913">
        <v>-2.0930074400490701</v>
      </c>
      <c r="AG913">
        <v>0.35005787640653202</v>
      </c>
      <c r="AH913">
        <v>1.32704446926036</v>
      </c>
      <c r="AI913">
        <v>-0.70914176873871904</v>
      </c>
      <c r="AJ913">
        <v>1.6624634283970401</v>
      </c>
      <c r="AK913">
        <v>43.3535629403058</v>
      </c>
      <c r="AL913">
        <v>3.21615314793977</v>
      </c>
      <c r="AM913">
        <v>49.03</v>
      </c>
      <c r="AN913">
        <v>2.024</v>
      </c>
    </row>
    <row r="914" spans="1:40" x14ac:dyDescent="0.35">
      <c r="A914">
        <v>1137</v>
      </c>
      <c r="B914">
        <v>57</v>
      </c>
      <c r="C914" t="s">
        <v>40</v>
      </c>
      <c r="D914" t="s">
        <v>41</v>
      </c>
      <c r="E914" t="s">
        <v>42</v>
      </c>
      <c r="F914" t="s">
        <v>49</v>
      </c>
      <c r="G914">
        <v>5</v>
      </c>
      <c r="H914">
        <v>25</v>
      </c>
      <c r="I914">
        <v>4</v>
      </c>
      <c r="J914" t="s">
        <v>45</v>
      </c>
      <c r="K914" t="s">
        <v>46</v>
      </c>
      <c r="L914" t="s">
        <v>74</v>
      </c>
      <c r="M914">
        <v>341.50632792300848</v>
      </c>
      <c r="N914">
        <v>416</v>
      </c>
      <c r="O914">
        <v>262</v>
      </c>
      <c r="P914">
        <v>160</v>
      </c>
      <c r="Q914">
        <v>1.6094379124341003</v>
      </c>
      <c r="R914">
        <v>2.5649493574615367</v>
      </c>
      <c r="S914">
        <v>4.8202815656050371</v>
      </c>
      <c r="T914">
        <v>91.984920634920627</v>
      </c>
      <c r="U914">
        <v>1.0351430572167302</v>
      </c>
      <c r="V914">
        <v>-0.45376679124596098</v>
      </c>
      <c r="W914">
        <v>-0.56138574648679695</v>
      </c>
      <c r="X914">
        <v>-0.92192590083580195</v>
      </c>
      <c r="Y914">
        <v>-1.17232967929859</v>
      </c>
      <c r="Z914">
        <v>-0.98267194414701198</v>
      </c>
      <c r="AA914">
        <v>-0.89586780259421905</v>
      </c>
      <c r="AB914">
        <v>1270</v>
      </c>
      <c r="AC914">
        <v>3</v>
      </c>
      <c r="AD914">
        <v>1</v>
      </c>
      <c r="AE914">
        <v>-1.1438350904766701</v>
      </c>
      <c r="AF914">
        <v>-0.64121354309520295</v>
      </c>
      <c r="AG914">
        <v>0.231989949121615</v>
      </c>
      <c r="AH914">
        <v>-0.49145006040344902</v>
      </c>
      <c r="AI914">
        <v>-1.17390549164414</v>
      </c>
      <c r="AJ914">
        <v>0.32979574528514899</v>
      </c>
      <c r="AK914">
        <v>46.672161000000003</v>
      </c>
      <c r="AL914">
        <v>5.558465</v>
      </c>
      <c r="AM914">
        <v>48.856372813999997</v>
      </c>
      <c r="AN914">
        <v>2.3525296170000001</v>
      </c>
    </row>
    <row r="915" spans="1:40" x14ac:dyDescent="0.35">
      <c r="A915">
        <v>1138</v>
      </c>
      <c r="B915">
        <v>57</v>
      </c>
      <c r="C915" t="s">
        <v>48</v>
      </c>
      <c r="D915" t="s">
        <v>41</v>
      </c>
      <c r="E915" t="s">
        <v>42</v>
      </c>
      <c r="F915" t="s">
        <v>49</v>
      </c>
      <c r="G915">
        <v>4</v>
      </c>
      <c r="H915">
        <v>16</v>
      </c>
      <c r="I915">
        <v>5</v>
      </c>
      <c r="J915" t="s">
        <v>50</v>
      </c>
      <c r="K915" t="s">
        <v>46</v>
      </c>
      <c r="L915" t="s">
        <v>57</v>
      </c>
      <c r="M915">
        <v>286.20615578183441</v>
      </c>
      <c r="N915">
        <v>327</v>
      </c>
      <c r="O915">
        <v>246</v>
      </c>
      <c r="P915">
        <v>147</v>
      </c>
      <c r="Q915">
        <v>0.69314718055994529</v>
      </c>
      <c r="R915">
        <v>3.6109179126442243</v>
      </c>
      <c r="S915">
        <v>5.8833223884882786</v>
      </c>
      <c r="T915">
        <v>90.922105263157903</v>
      </c>
      <c r="U915">
        <v>2.3923758041545438</v>
      </c>
      <c r="V915">
        <v>-0.399596989308249</v>
      </c>
      <c r="W915">
        <v>-0.58810405700346202</v>
      </c>
      <c r="X915">
        <v>-0.29041857108635599</v>
      </c>
      <c r="Y915">
        <v>-0.846122564821426</v>
      </c>
      <c r="Z915">
        <v>-0.92679578564836795</v>
      </c>
      <c r="AA915">
        <v>0.86332342905974202</v>
      </c>
      <c r="AB915">
        <v>2050</v>
      </c>
      <c r="AC915">
        <v>1</v>
      </c>
      <c r="AD915">
        <v>2</v>
      </c>
      <c r="AE915">
        <v>-0.51011828243844404</v>
      </c>
      <c r="AF915">
        <v>-0.890595839067441</v>
      </c>
      <c r="AG915">
        <v>-0.12985357478198001</v>
      </c>
      <c r="AH915">
        <v>0.88391811928220798</v>
      </c>
      <c r="AI915">
        <v>0.17234439729681</v>
      </c>
      <c r="AJ915">
        <v>0.175732902553178</v>
      </c>
      <c r="AK915">
        <v>47.023905999999997</v>
      </c>
      <c r="AL915">
        <v>4.8380429999999999</v>
      </c>
      <c r="AM915">
        <v>48.922000000000004</v>
      </c>
      <c r="AN915">
        <v>2.2469999999999999</v>
      </c>
    </row>
    <row r="916" spans="1:40" x14ac:dyDescent="0.35">
      <c r="A916">
        <v>1139</v>
      </c>
      <c r="B916">
        <v>42</v>
      </c>
      <c r="C916" t="s">
        <v>40</v>
      </c>
      <c r="D916" t="s">
        <v>66</v>
      </c>
      <c r="E916" t="s">
        <v>42</v>
      </c>
      <c r="F916" t="s">
        <v>49</v>
      </c>
      <c r="G916">
        <v>4</v>
      </c>
      <c r="H916">
        <v>16</v>
      </c>
      <c r="I916">
        <v>4</v>
      </c>
      <c r="J916" t="s">
        <v>50</v>
      </c>
      <c r="K916" t="s">
        <v>46</v>
      </c>
      <c r="L916" t="s">
        <v>71</v>
      </c>
      <c r="M916">
        <v>467.64984891935211</v>
      </c>
      <c r="N916">
        <v>435</v>
      </c>
      <c r="O916">
        <v>240</v>
      </c>
      <c r="P916">
        <v>229</v>
      </c>
      <c r="Q916">
        <v>4.5747109785033828</v>
      </c>
      <c r="R916">
        <v>3.5263605246161616</v>
      </c>
      <c r="S916">
        <v>5.1416635565026603</v>
      </c>
      <c r="T916">
        <v>92.265120976563693</v>
      </c>
      <c r="U916">
        <v>2.9351954657362995</v>
      </c>
      <c r="V916">
        <v>-8.3509539921858403E-2</v>
      </c>
      <c r="W916">
        <v>-8.6188355584626702E-2</v>
      </c>
      <c r="X916">
        <v>-6.2117403422328299E-2</v>
      </c>
      <c r="Y916">
        <v>-0.51135009403950604</v>
      </c>
      <c r="Z916">
        <v>-0.669554030021006</v>
      </c>
      <c r="AA916">
        <v>-1.4915282051312999</v>
      </c>
      <c r="AB916">
        <v>1813.5248996931791</v>
      </c>
      <c r="AC916">
        <v>1.6535284399339156</v>
      </c>
      <c r="AD916">
        <v>0.49421760679726223</v>
      </c>
      <c r="AE916">
        <v>-0.18520258641298501</v>
      </c>
      <c r="AF916">
        <v>0.45106931186218502</v>
      </c>
      <c r="AG916">
        <v>-2.0237208940067299</v>
      </c>
      <c r="AH916">
        <v>-0.35745066305956102</v>
      </c>
      <c r="AI916">
        <v>0.2196661414753</v>
      </c>
      <c r="AJ916">
        <v>-1.14856173700148</v>
      </c>
      <c r="AK916">
        <v>45.071283999999999</v>
      </c>
      <c r="AL916">
        <v>4.8370730000000002</v>
      </c>
      <c r="AM916">
        <v>48.91</v>
      </c>
      <c r="AN916">
        <v>2.3330000000000002</v>
      </c>
    </row>
    <row r="917" spans="1:40" x14ac:dyDescent="0.35">
      <c r="A917">
        <v>1140</v>
      </c>
      <c r="B917">
        <v>57</v>
      </c>
      <c r="C917" t="s">
        <v>48</v>
      </c>
      <c r="D917" t="s">
        <v>66</v>
      </c>
      <c r="E917" t="s">
        <v>42</v>
      </c>
      <c r="F917" t="s">
        <v>49</v>
      </c>
      <c r="G917">
        <v>4</v>
      </c>
      <c r="H917">
        <v>16</v>
      </c>
      <c r="I917">
        <v>3</v>
      </c>
      <c r="J917" t="s">
        <v>50</v>
      </c>
      <c r="K917" t="s">
        <v>46</v>
      </c>
      <c r="L917" t="s">
        <v>65</v>
      </c>
      <c r="M917">
        <v>658.6065430353093</v>
      </c>
      <c r="N917">
        <v>962</v>
      </c>
      <c r="O917">
        <v>490</v>
      </c>
      <c r="P917">
        <v>470</v>
      </c>
      <c r="Q917">
        <v>0</v>
      </c>
      <c r="R917">
        <v>0</v>
      </c>
      <c r="S917">
        <v>4.4543472962535073</v>
      </c>
      <c r="T917">
        <v>89.333044733044744</v>
      </c>
      <c r="U917">
        <v>1.2554235437523662</v>
      </c>
      <c r="V917">
        <v>1.64975517953679</v>
      </c>
      <c r="W917">
        <v>2.4220969657957299</v>
      </c>
      <c r="X917">
        <v>1.68128863126442</v>
      </c>
      <c r="Y917">
        <v>2.0553398017137301</v>
      </c>
      <c r="Z917">
        <v>2.0921400018840099</v>
      </c>
      <c r="AA917">
        <v>2.0596698968962701</v>
      </c>
      <c r="AB917">
        <v>3262.71</v>
      </c>
      <c r="AC917">
        <v>0.33</v>
      </c>
      <c r="AD917">
        <v>0.66</v>
      </c>
      <c r="AE917">
        <v>1.9221838973381</v>
      </c>
      <c r="AF917">
        <v>0.87547414864724504</v>
      </c>
      <c r="AG917">
        <v>0.47708151794414699</v>
      </c>
      <c r="AH917">
        <v>0.67694853056507498</v>
      </c>
      <c r="AI917">
        <v>1.4836044289928401</v>
      </c>
      <c r="AJ917">
        <v>0.76193534118230599</v>
      </c>
      <c r="AK917">
        <v>43.537466000000002</v>
      </c>
      <c r="AL917">
        <v>6.4627330000000001</v>
      </c>
      <c r="AM917">
        <v>49.061043478260871</v>
      </c>
      <c r="AN917">
        <v>3.3892608695652182</v>
      </c>
    </row>
    <row r="918" spans="1:40" x14ac:dyDescent="0.35">
      <c r="A918">
        <v>1141</v>
      </c>
      <c r="B918">
        <v>42</v>
      </c>
      <c r="C918" t="s">
        <v>48</v>
      </c>
      <c r="D918" t="s">
        <v>66</v>
      </c>
      <c r="E918" t="s">
        <v>42</v>
      </c>
      <c r="F918" t="s">
        <v>49</v>
      </c>
      <c r="G918">
        <v>4</v>
      </c>
      <c r="H918">
        <v>16</v>
      </c>
      <c r="I918">
        <v>6</v>
      </c>
      <c r="J918" t="s">
        <v>56</v>
      </c>
      <c r="K918" t="s">
        <v>46</v>
      </c>
      <c r="L918" t="s">
        <v>72</v>
      </c>
      <c r="M918">
        <v>485.25905051031413</v>
      </c>
      <c r="N918">
        <v>581</v>
      </c>
      <c r="O918">
        <v>359</v>
      </c>
      <c r="P918">
        <v>365</v>
      </c>
      <c r="Q918">
        <v>0.69314718055994529</v>
      </c>
      <c r="R918">
        <v>1.3862943611198906</v>
      </c>
      <c r="S918">
        <v>4.5538768916005408</v>
      </c>
      <c r="T918">
        <v>89.340161030595823</v>
      </c>
      <c r="U918">
        <v>1.4712304197281412</v>
      </c>
      <c r="V918">
        <v>0.59716251398508702</v>
      </c>
      <c r="W918">
        <v>0.91068296986709796</v>
      </c>
      <c r="X918">
        <v>1.2273243988355</v>
      </c>
      <c r="Y918">
        <v>-0.4121809470949</v>
      </c>
      <c r="Z918">
        <v>-0.86472582726521097</v>
      </c>
      <c r="AA918">
        <v>-1.0172779374790899</v>
      </c>
      <c r="AB918">
        <v>1828.1689246701658</v>
      </c>
      <c r="AC918">
        <v>1.1127464888636687</v>
      </c>
      <c r="AD918">
        <v>1.8630656830756136</v>
      </c>
      <c r="AE918">
        <v>-0.53926882203722504</v>
      </c>
      <c r="AF918">
        <v>-0.95301741034416398</v>
      </c>
      <c r="AG918">
        <v>0.33013960641048101</v>
      </c>
      <c r="AH918">
        <v>0.413581623979554</v>
      </c>
      <c r="AI918">
        <v>-1.2634111318622301</v>
      </c>
      <c r="AJ918">
        <v>1.11304368339132</v>
      </c>
      <c r="AK918">
        <v>44.503641999999999</v>
      </c>
      <c r="AL918">
        <v>1.1863669999999999</v>
      </c>
      <c r="AM918">
        <v>48.804000000000002</v>
      </c>
      <c r="AN918">
        <v>2.2269999999999999</v>
      </c>
    </row>
    <row r="919" spans="1:40" x14ac:dyDescent="0.35">
      <c r="A919">
        <v>1142</v>
      </c>
      <c r="B919">
        <v>29.5</v>
      </c>
      <c r="C919" t="s">
        <v>48</v>
      </c>
      <c r="D919" t="s">
        <v>41</v>
      </c>
      <c r="E919" t="s">
        <v>42</v>
      </c>
      <c r="F919" t="s">
        <v>49</v>
      </c>
      <c r="G919">
        <v>3</v>
      </c>
      <c r="H919">
        <v>9</v>
      </c>
      <c r="I919">
        <v>4</v>
      </c>
      <c r="J919" t="s">
        <v>56</v>
      </c>
      <c r="K919" t="s">
        <v>46</v>
      </c>
      <c r="L919" t="s">
        <v>55</v>
      </c>
      <c r="M919">
        <v>379.40698391777141</v>
      </c>
      <c r="N919">
        <v>492</v>
      </c>
      <c r="O919">
        <v>357</v>
      </c>
      <c r="P919">
        <v>146</v>
      </c>
      <c r="Q919">
        <v>2.0794415416798357</v>
      </c>
      <c r="R919">
        <v>2.3025850929940459</v>
      </c>
      <c r="S919">
        <v>3.2580965380214821</v>
      </c>
      <c r="T919">
        <v>95.12</v>
      </c>
      <c r="U919">
        <v>0</v>
      </c>
      <c r="V919">
        <v>1.89305099905856</v>
      </c>
      <c r="W919">
        <v>0.59880690621441701</v>
      </c>
      <c r="X919">
        <v>1.1856460040685599</v>
      </c>
      <c r="Y919">
        <v>-0.15565097555555901</v>
      </c>
      <c r="Z919">
        <v>-0.22748295097212001</v>
      </c>
      <c r="AA919">
        <v>1.0415013010201299</v>
      </c>
      <c r="AB919">
        <v>2939.9504036908884</v>
      </c>
      <c r="AC919">
        <v>2</v>
      </c>
      <c r="AD919">
        <v>0.42868127643214149</v>
      </c>
      <c r="AE919">
        <v>-2.40641039566141E-2</v>
      </c>
      <c r="AF919">
        <v>-1.89744756668459</v>
      </c>
      <c r="AG919">
        <v>0.24741872335568499</v>
      </c>
      <c r="AH919">
        <v>-0.11297072440091301</v>
      </c>
      <c r="AI919">
        <v>-0.65726370363261399</v>
      </c>
      <c r="AJ919">
        <v>0.27629798794879301</v>
      </c>
      <c r="AK919">
        <v>48.0777517</v>
      </c>
      <c r="AL919">
        <v>7.3579641000000002</v>
      </c>
      <c r="AM919">
        <v>48.856372813999997</v>
      </c>
      <c r="AN919">
        <v>2.3525296170000001</v>
      </c>
    </row>
    <row r="920" spans="1:40" x14ac:dyDescent="0.35">
      <c r="A920">
        <v>1143</v>
      </c>
      <c r="B920">
        <v>42</v>
      </c>
      <c r="C920" t="s">
        <v>48</v>
      </c>
      <c r="D920" t="s">
        <v>66</v>
      </c>
      <c r="E920" t="s">
        <v>42</v>
      </c>
      <c r="F920" t="s">
        <v>43</v>
      </c>
      <c r="G920">
        <v>4</v>
      </c>
      <c r="H920">
        <v>16</v>
      </c>
      <c r="I920">
        <v>5</v>
      </c>
      <c r="J920" t="s">
        <v>50</v>
      </c>
      <c r="K920" t="s">
        <v>46</v>
      </c>
      <c r="L920" t="s">
        <v>72</v>
      </c>
      <c r="M920">
        <v>482.6848967088419</v>
      </c>
      <c r="N920">
        <v>574</v>
      </c>
      <c r="O920">
        <v>350</v>
      </c>
      <c r="P920">
        <v>374</v>
      </c>
      <c r="Q920">
        <v>0.69314718055994529</v>
      </c>
      <c r="R920">
        <v>1.3862943611198906</v>
      </c>
      <c r="S920">
        <v>4.5538768916005408</v>
      </c>
      <c r="T920">
        <v>89.340161030595823</v>
      </c>
      <c r="U920">
        <v>1.4712304197281412</v>
      </c>
      <c r="V920">
        <v>0.59716251398508702</v>
      </c>
      <c r="W920">
        <v>0.91068296986709796</v>
      </c>
      <c r="X920">
        <v>1.2273243988355</v>
      </c>
      <c r="Y920">
        <v>-0.4121809470949</v>
      </c>
      <c r="Z920">
        <v>-0.86472582726521097</v>
      </c>
      <c r="AA920">
        <v>-1.0172779374790899</v>
      </c>
      <c r="AB920">
        <v>1828.1689246701658</v>
      </c>
      <c r="AC920">
        <v>1.1127464888636687</v>
      </c>
      <c r="AD920">
        <v>1.8630656830756136</v>
      </c>
      <c r="AE920">
        <v>-0.53926882203722504</v>
      </c>
      <c r="AF920">
        <v>-0.33345812545164799</v>
      </c>
      <c r="AG920">
        <v>-1.0266208365562699</v>
      </c>
      <c r="AH920">
        <v>0.102791610675872</v>
      </c>
      <c r="AI920">
        <v>-0.50244172929229103</v>
      </c>
      <c r="AJ920">
        <v>0.740784227966516</v>
      </c>
      <c r="AK920">
        <v>44.503641999999999</v>
      </c>
      <c r="AL920">
        <v>1.1863669999999999</v>
      </c>
      <c r="AM920">
        <v>48.761000000000003</v>
      </c>
      <c r="AN920">
        <v>2.3849999999999998</v>
      </c>
    </row>
    <row r="921" spans="1:40" x14ac:dyDescent="0.35">
      <c r="A921">
        <v>1144</v>
      </c>
      <c r="B921">
        <v>57</v>
      </c>
      <c r="C921" t="s">
        <v>40</v>
      </c>
      <c r="D921" t="s">
        <v>41</v>
      </c>
      <c r="E921" t="s">
        <v>42</v>
      </c>
      <c r="F921" t="s">
        <v>49</v>
      </c>
      <c r="G921">
        <v>3</v>
      </c>
      <c r="H921">
        <v>9</v>
      </c>
      <c r="I921">
        <v>6</v>
      </c>
      <c r="J921" t="s">
        <v>56</v>
      </c>
      <c r="K921" t="s">
        <v>46</v>
      </c>
      <c r="L921" t="s">
        <v>77</v>
      </c>
      <c r="M921">
        <v>241.75571876481001</v>
      </c>
      <c r="N921">
        <v>327</v>
      </c>
      <c r="O921">
        <v>202</v>
      </c>
      <c r="P921">
        <v>166</v>
      </c>
      <c r="Q921">
        <v>0</v>
      </c>
      <c r="R921">
        <v>2.3978952727983707</v>
      </c>
      <c r="S921">
        <v>5.1416635565026603</v>
      </c>
      <c r="T921">
        <v>90.472417453603512</v>
      </c>
      <c r="U921">
        <v>2.7735735584863375</v>
      </c>
      <c r="V921">
        <v>-0.15231437986527399</v>
      </c>
      <c r="W921">
        <v>3.49635939345109E-2</v>
      </c>
      <c r="X921">
        <v>-0.19627808847033801</v>
      </c>
      <c r="Y921">
        <v>-0.57382446736590997</v>
      </c>
      <c r="Z921">
        <v>-0.74335605457542497</v>
      </c>
      <c r="AA921">
        <v>-0.53588051656191904</v>
      </c>
      <c r="AB921">
        <v>3937</v>
      </c>
      <c r="AC921">
        <v>0</v>
      </c>
      <c r="AD921">
        <v>1</v>
      </c>
      <c r="AE921">
        <v>-0.72244456620022002</v>
      </c>
      <c r="AF921">
        <v>-1.0060604214208999</v>
      </c>
      <c r="AG921">
        <v>1.34334978748145</v>
      </c>
      <c r="AH921">
        <v>-0.73073062669573796</v>
      </c>
      <c r="AI921">
        <v>0.79288138265325303</v>
      </c>
      <c r="AJ921">
        <v>0.26389828665751602</v>
      </c>
      <c r="AK921">
        <v>47.259622</v>
      </c>
      <c r="AL921">
        <v>-7.8518000000000004E-2</v>
      </c>
      <c r="AM921">
        <v>48.822000000000003</v>
      </c>
      <c r="AN921">
        <v>2.1779999999999999</v>
      </c>
    </row>
    <row r="922" spans="1:40" x14ac:dyDescent="0.35">
      <c r="A922">
        <v>1145</v>
      </c>
      <c r="B922">
        <v>42</v>
      </c>
      <c r="C922" t="s">
        <v>48</v>
      </c>
      <c r="D922" t="s">
        <v>41</v>
      </c>
      <c r="E922" t="s">
        <v>42</v>
      </c>
      <c r="F922" t="s">
        <v>61</v>
      </c>
      <c r="G922">
        <v>5</v>
      </c>
      <c r="H922">
        <v>25</v>
      </c>
      <c r="I922">
        <v>5</v>
      </c>
      <c r="J922" t="s">
        <v>50</v>
      </c>
      <c r="K922" t="s">
        <v>46</v>
      </c>
      <c r="L922" t="s">
        <v>58</v>
      </c>
      <c r="M922">
        <v>473.0167469734061</v>
      </c>
      <c r="N922">
        <v>570</v>
      </c>
      <c r="O922">
        <v>405</v>
      </c>
      <c r="P922">
        <v>249</v>
      </c>
      <c r="Q922">
        <v>3.2580965380214821</v>
      </c>
      <c r="R922">
        <v>2.8903717578961645</v>
      </c>
      <c r="S922">
        <v>4.7535901911063645</v>
      </c>
      <c r="T922">
        <v>90.794285714285706</v>
      </c>
      <c r="U922">
        <v>0</v>
      </c>
      <c r="V922">
        <v>0.63905639120027702</v>
      </c>
      <c r="W922">
        <v>0.692565001186083</v>
      </c>
      <c r="X922">
        <v>0.56469097254324596</v>
      </c>
      <c r="Y922">
        <v>1.4483117406157899</v>
      </c>
      <c r="Z922">
        <v>1.7680602694732599</v>
      </c>
      <c r="AA922">
        <v>0.26366440732357699</v>
      </c>
      <c r="AB922">
        <v>4236</v>
      </c>
      <c r="AC922">
        <v>0</v>
      </c>
      <c r="AD922">
        <v>4</v>
      </c>
      <c r="AE922">
        <v>1.6751267091712101</v>
      </c>
      <c r="AF922">
        <v>-0.36560553514671501</v>
      </c>
      <c r="AG922">
        <v>0.486695798740437</v>
      </c>
      <c r="AH922">
        <v>-4.56373837164689</v>
      </c>
      <c r="AI922">
        <v>-5.9224766514798799E-2</v>
      </c>
      <c r="AJ922">
        <v>-0.72131276906347797</v>
      </c>
      <c r="AK922">
        <v>45.198478000000001</v>
      </c>
      <c r="AL922">
        <v>-0.74874399999999997</v>
      </c>
      <c r="AM922">
        <v>48.904000000000003</v>
      </c>
      <c r="AN922">
        <v>2.3060000000000005</v>
      </c>
    </row>
    <row r="923" spans="1:40" x14ac:dyDescent="0.35">
      <c r="A923">
        <v>1146</v>
      </c>
      <c r="B923">
        <v>42</v>
      </c>
      <c r="C923" t="s">
        <v>48</v>
      </c>
      <c r="D923" t="s">
        <v>41</v>
      </c>
      <c r="E923" t="s">
        <v>42</v>
      </c>
      <c r="F923" t="s">
        <v>49</v>
      </c>
      <c r="G923">
        <v>5</v>
      </c>
      <c r="H923">
        <v>25</v>
      </c>
      <c r="I923">
        <v>5</v>
      </c>
      <c r="J923" t="s">
        <v>56</v>
      </c>
      <c r="K923" t="s">
        <v>46</v>
      </c>
      <c r="L923" t="s">
        <v>57</v>
      </c>
      <c r="M923">
        <v>273.16080886392427</v>
      </c>
      <c r="N923">
        <v>327</v>
      </c>
      <c r="O923">
        <v>246</v>
      </c>
      <c r="P923">
        <v>147</v>
      </c>
      <c r="Q923">
        <v>0.69314718055994529</v>
      </c>
      <c r="R923">
        <v>3.6109179126442243</v>
      </c>
      <c r="S923">
        <v>5.8833223884882786</v>
      </c>
      <c r="T923">
        <v>90.922105263157903</v>
      </c>
      <c r="U923">
        <v>2.3923758041545438</v>
      </c>
      <c r="V923">
        <v>-0.399596989308249</v>
      </c>
      <c r="W923">
        <v>-0.58810405700346202</v>
      </c>
      <c r="X923">
        <v>-0.29041857108635599</v>
      </c>
      <c r="Y923">
        <v>-0.846122564821426</v>
      </c>
      <c r="Z923">
        <v>-0.92679578564836795</v>
      </c>
      <c r="AA923">
        <v>0.86332342905974202</v>
      </c>
      <c r="AB923">
        <v>2050</v>
      </c>
      <c r="AC923">
        <v>1</v>
      </c>
      <c r="AD923">
        <v>2</v>
      </c>
      <c r="AE923">
        <v>-0.51011828243844404</v>
      </c>
      <c r="AF923">
        <v>-1.99830844213522</v>
      </c>
      <c r="AG923">
        <v>1.1824868795312</v>
      </c>
      <c r="AH923">
        <v>-1.57536009554058</v>
      </c>
      <c r="AI923">
        <v>-1.2140978445484001</v>
      </c>
      <c r="AJ923">
        <v>1.12800882888151</v>
      </c>
      <c r="AK923">
        <v>47.023905999999997</v>
      </c>
      <c r="AL923">
        <v>4.8380429999999999</v>
      </c>
      <c r="AM923">
        <v>48.768000000000001</v>
      </c>
      <c r="AN923">
        <v>2.2629999999999999</v>
      </c>
    </row>
    <row r="924" spans="1:40" x14ac:dyDescent="0.35">
      <c r="A924">
        <v>1147</v>
      </c>
      <c r="B924">
        <v>42</v>
      </c>
      <c r="C924" t="s">
        <v>48</v>
      </c>
      <c r="D924" t="s">
        <v>66</v>
      </c>
      <c r="E924" t="s">
        <v>42</v>
      </c>
      <c r="F924" t="s">
        <v>49</v>
      </c>
      <c r="G924">
        <v>5</v>
      </c>
      <c r="H924">
        <v>25</v>
      </c>
      <c r="I924">
        <v>7</v>
      </c>
      <c r="J924" t="s">
        <v>56</v>
      </c>
      <c r="K924" t="s">
        <v>46</v>
      </c>
      <c r="L924" t="s">
        <v>55</v>
      </c>
      <c r="M924">
        <v>337.22237222104638</v>
      </c>
      <c r="N924">
        <v>435</v>
      </c>
      <c r="O924">
        <v>313</v>
      </c>
      <c r="P924">
        <v>215</v>
      </c>
      <c r="Q924">
        <v>2.0794415416798357</v>
      </c>
      <c r="R924">
        <v>2.3025850929940459</v>
      </c>
      <c r="S924">
        <v>3.2580965380214821</v>
      </c>
      <c r="T924">
        <v>95.12</v>
      </c>
      <c r="U924">
        <v>0</v>
      </c>
      <c r="V924">
        <v>1.89305099905856</v>
      </c>
      <c r="W924">
        <v>0.59880690621441701</v>
      </c>
      <c r="X924">
        <v>1.1856460040685599</v>
      </c>
      <c r="Y924">
        <v>-0.15565097555555901</v>
      </c>
      <c r="Z924">
        <v>-0.22748295097212001</v>
      </c>
      <c r="AA924">
        <v>1.0415013010201299</v>
      </c>
      <c r="AB924">
        <v>2939.9504036908884</v>
      </c>
      <c r="AC924">
        <v>2</v>
      </c>
      <c r="AD924">
        <v>0.42868127643214149</v>
      </c>
      <c r="AE924">
        <v>-2.40641039566141E-2</v>
      </c>
      <c r="AF924">
        <v>-0.368659058985086</v>
      </c>
      <c r="AG924">
        <v>0.439668852743198</v>
      </c>
      <c r="AH924">
        <v>-0.19617225414390299</v>
      </c>
      <c r="AI924">
        <v>0.92263900286238398</v>
      </c>
      <c r="AJ924">
        <v>0.89197615409735498</v>
      </c>
      <c r="AK924">
        <v>48.0777517</v>
      </c>
      <c r="AL924">
        <v>7.3579641000000002</v>
      </c>
      <c r="AM924">
        <v>48.332000000000001</v>
      </c>
      <c r="AN924">
        <v>2.8279999999999998</v>
      </c>
    </row>
    <row r="925" spans="1:40" x14ac:dyDescent="0.35">
      <c r="A925">
        <v>1148</v>
      </c>
      <c r="B925">
        <v>57</v>
      </c>
      <c r="C925" t="s">
        <v>40</v>
      </c>
      <c r="D925" t="s">
        <v>41</v>
      </c>
      <c r="E925" t="s">
        <v>42</v>
      </c>
      <c r="F925" t="s">
        <v>49</v>
      </c>
      <c r="G925">
        <v>5</v>
      </c>
      <c r="H925">
        <v>25</v>
      </c>
      <c r="I925">
        <v>3</v>
      </c>
      <c r="J925" t="s">
        <v>50</v>
      </c>
      <c r="K925" t="s">
        <v>46</v>
      </c>
      <c r="L925" t="s">
        <v>65</v>
      </c>
      <c r="M925">
        <v>678.76836031825701</v>
      </c>
      <c r="N925">
        <v>884</v>
      </c>
      <c r="O925">
        <v>460</v>
      </c>
      <c r="P925">
        <v>345</v>
      </c>
      <c r="Q925">
        <v>0</v>
      </c>
      <c r="R925">
        <v>0</v>
      </c>
      <c r="S925">
        <v>4.4543472962535073</v>
      </c>
      <c r="T925">
        <v>89.333044733044744</v>
      </c>
      <c r="U925">
        <v>1.2554235437523662</v>
      </c>
      <c r="V925">
        <v>1.64975517953679</v>
      </c>
      <c r="W925">
        <v>2.4220969657957299</v>
      </c>
      <c r="X925">
        <v>1.68128863126442</v>
      </c>
      <c r="Y925">
        <v>2.0553398017137301</v>
      </c>
      <c r="Z925">
        <v>2.0921400018840099</v>
      </c>
      <c r="AA925">
        <v>2.0596698968962701</v>
      </c>
      <c r="AB925">
        <v>3262.71</v>
      </c>
      <c r="AC925">
        <v>0.33</v>
      </c>
      <c r="AD925">
        <v>0.66</v>
      </c>
      <c r="AE925">
        <v>1.9221838973381</v>
      </c>
      <c r="AF925">
        <v>0.50932269484200998</v>
      </c>
      <c r="AG925">
        <v>-0.84747828328543695</v>
      </c>
      <c r="AH925">
        <v>-2.8994312782068703E-2</v>
      </c>
      <c r="AI925">
        <v>0.25579768849606899</v>
      </c>
      <c r="AJ925">
        <v>0.58879752321797396</v>
      </c>
      <c r="AK925">
        <v>43.537466000000002</v>
      </c>
      <c r="AL925">
        <v>6.4627330000000001</v>
      </c>
      <c r="AM925">
        <v>48.898000000000003</v>
      </c>
      <c r="AN925">
        <v>2.2559999999999998</v>
      </c>
    </row>
    <row r="926" spans="1:40" x14ac:dyDescent="0.35">
      <c r="A926">
        <v>1149</v>
      </c>
      <c r="B926">
        <v>42</v>
      </c>
      <c r="C926" t="s">
        <v>40</v>
      </c>
      <c r="D926" t="s">
        <v>41</v>
      </c>
      <c r="E926" t="s">
        <v>42</v>
      </c>
      <c r="F926" t="s">
        <v>49</v>
      </c>
      <c r="G926">
        <v>2</v>
      </c>
      <c r="H926">
        <v>4</v>
      </c>
      <c r="I926">
        <v>6</v>
      </c>
      <c r="J926" t="s">
        <v>56</v>
      </c>
      <c r="K926" t="s">
        <v>46</v>
      </c>
      <c r="L926" t="s">
        <v>83</v>
      </c>
      <c r="M926">
        <v>285.71946628213112</v>
      </c>
      <c r="N926">
        <v>343</v>
      </c>
      <c r="O926">
        <v>231</v>
      </c>
      <c r="P926">
        <v>202</v>
      </c>
      <c r="Q926">
        <v>0</v>
      </c>
      <c r="R926">
        <v>0</v>
      </c>
      <c r="S926">
        <v>4.4886363697321396</v>
      </c>
      <c r="T926">
        <v>90.115111111111119</v>
      </c>
      <c r="U926">
        <v>1.2513404171152498</v>
      </c>
      <c r="V926">
        <v>-0.46152060700845399</v>
      </c>
      <c r="W926">
        <v>-0.57121975163865102</v>
      </c>
      <c r="X926">
        <v>-0.33135740862223101</v>
      </c>
      <c r="Y926">
        <v>-0.77598924050104101</v>
      </c>
      <c r="Z926">
        <v>0.47668876811384397</v>
      </c>
      <c r="AA926">
        <v>0.85617757356637403</v>
      </c>
      <c r="AB926">
        <v>2565</v>
      </c>
      <c r="AC926">
        <v>1</v>
      </c>
      <c r="AD926">
        <v>0</v>
      </c>
      <c r="AE926">
        <v>-0.72514205471140702</v>
      </c>
      <c r="AF926">
        <v>-0.84760367200221198</v>
      </c>
      <c r="AG926">
        <v>-0.47407490864917701</v>
      </c>
      <c r="AH926">
        <v>-0.24807816923078699</v>
      </c>
      <c r="AI926">
        <v>0.45867984866112799</v>
      </c>
      <c r="AJ926">
        <v>-1.8305434120400801</v>
      </c>
      <c r="AK926">
        <v>46.839658</v>
      </c>
      <c r="AL926">
        <v>4.7189269999999999</v>
      </c>
      <c r="AM926">
        <v>48.856372813999997</v>
      </c>
      <c r="AN926">
        <v>2.3525296170000001</v>
      </c>
    </row>
    <row r="927" spans="1:40" x14ac:dyDescent="0.35">
      <c r="A927">
        <v>1150</v>
      </c>
      <c r="B927">
        <v>57</v>
      </c>
      <c r="C927" t="s">
        <v>48</v>
      </c>
      <c r="D927" t="s">
        <v>66</v>
      </c>
      <c r="E927" t="s">
        <v>42</v>
      </c>
      <c r="F927" t="s">
        <v>49</v>
      </c>
      <c r="G927">
        <v>4</v>
      </c>
      <c r="H927">
        <v>16</v>
      </c>
      <c r="I927">
        <v>5</v>
      </c>
      <c r="J927" t="s">
        <v>56</v>
      </c>
      <c r="K927" t="s">
        <v>46</v>
      </c>
      <c r="L927" t="s">
        <v>72</v>
      </c>
      <c r="M927">
        <v>492.64404854898049</v>
      </c>
      <c r="N927">
        <v>576</v>
      </c>
      <c r="O927">
        <v>361</v>
      </c>
      <c r="P927">
        <v>326</v>
      </c>
      <c r="Q927">
        <v>0.69314718055994529</v>
      </c>
      <c r="R927">
        <v>1.3862943611198906</v>
      </c>
      <c r="S927">
        <v>4.5538768916005408</v>
      </c>
      <c r="T927">
        <v>89.340161030595823</v>
      </c>
      <c r="U927">
        <v>1.4712304197281412</v>
      </c>
      <c r="V927">
        <v>0.59716251398508702</v>
      </c>
      <c r="W927">
        <v>0.91068296986709796</v>
      </c>
      <c r="X927">
        <v>1.2273243988355</v>
      </c>
      <c r="Y927">
        <v>-0.4121809470949</v>
      </c>
      <c r="Z927">
        <v>-0.86472582726521097</v>
      </c>
      <c r="AA927">
        <v>-1.0172779374790899</v>
      </c>
      <c r="AB927">
        <v>1828.1689246701658</v>
      </c>
      <c r="AC927">
        <v>1.1127464888636687</v>
      </c>
      <c r="AD927">
        <v>1.8630656830756136</v>
      </c>
      <c r="AE927">
        <v>-0.53926882203722504</v>
      </c>
      <c r="AF927">
        <v>-0.73262069055480294</v>
      </c>
      <c r="AG927">
        <v>-2.7664223915663899</v>
      </c>
      <c r="AH927">
        <v>0.46860367116139701</v>
      </c>
      <c r="AI927">
        <v>0.52091787171732296</v>
      </c>
      <c r="AJ927">
        <v>1.3622251846325</v>
      </c>
      <c r="AK927">
        <v>44.503641999999999</v>
      </c>
      <c r="AL927">
        <v>1.1863669999999999</v>
      </c>
      <c r="AM927">
        <v>48.856372813999997</v>
      </c>
      <c r="AN927">
        <v>2.3525296170000001</v>
      </c>
    </row>
    <row r="928" spans="1:40" x14ac:dyDescent="0.35">
      <c r="A928">
        <v>1151</v>
      </c>
      <c r="B928">
        <v>57</v>
      </c>
      <c r="C928" t="s">
        <v>48</v>
      </c>
      <c r="D928" t="s">
        <v>41</v>
      </c>
      <c r="E928" t="s">
        <v>42</v>
      </c>
      <c r="F928" t="s">
        <v>53</v>
      </c>
      <c r="G928">
        <v>4</v>
      </c>
      <c r="H928">
        <v>16</v>
      </c>
      <c r="I928">
        <v>4</v>
      </c>
      <c r="J928" t="s">
        <v>56</v>
      </c>
      <c r="K928" t="s">
        <v>44</v>
      </c>
      <c r="L928" t="s">
        <v>62</v>
      </c>
      <c r="M928">
        <v>118.81389814254101</v>
      </c>
      <c r="N928">
        <v>143</v>
      </c>
      <c r="O928">
        <v>100</v>
      </c>
      <c r="P928">
        <v>80</v>
      </c>
      <c r="Q928">
        <v>0.69314718055994529</v>
      </c>
      <c r="R928">
        <v>3.2580965380214821</v>
      </c>
      <c r="S928">
        <v>3.2580965380214821</v>
      </c>
      <c r="T928">
        <v>95.68</v>
      </c>
      <c r="U928">
        <v>0</v>
      </c>
      <c r="V928">
        <v>1.82802042479695</v>
      </c>
      <c r="W928">
        <v>0.99424279543483596</v>
      </c>
      <c r="X928">
        <v>0.99177342203587404</v>
      </c>
      <c r="Y928">
        <v>-0.96278755162326501</v>
      </c>
      <c r="Z928">
        <v>-0.75605764486205096</v>
      </c>
      <c r="AA928">
        <v>-0.80037586101695801</v>
      </c>
      <c r="AB928">
        <v>2092.91</v>
      </c>
      <c r="AC928">
        <v>0</v>
      </c>
      <c r="AD928">
        <v>2.1</v>
      </c>
      <c r="AE928">
        <v>-1.0768626388726401</v>
      </c>
      <c r="AF928">
        <v>-7.3518140699142906E-2</v>
      </c>
      <c r="AG928">
        <v>0.45697826973148498</v>
      </c>
      <c r="AH928">
        <v>0.62505735877055901</v>
      </c>
      <c r="AI928">
        <v>1.47546598940074</v>
      </c>
      <c r="AJ928">
        <v>-0.64178081317139102</v>
      </c>
      <c r="AK928">
        <v>49.042560999999999</v>
      </c>
      <c r="AL928">
        <v>3.9528660000000002</v>
      </c>
      <c r="AM928">
        <v>48.856372813999997</v>
      </c>
      <c r="AN928">
        <v>2.3525296170000001</v>
      </c>
    </row>
    <row r="929" spans="1:40" x14ac:dyDescent="0.35">
      <c r="A929">
        <v>1152</v>
      </c>
      <c r="B929">
        <v>57</v>
      </c>
      <c r="C929" t="s">
        <v>40</v>
      </c>
      <c r="D929" t="s">
        <v>66</v>
      </c>
      <c r="E929" t="s">
        <v>42</v>
      </c>
      <c r="F929" t="s">
        <v>49</v>
      </c>
      <c r="G929">
        <v>7</v>
      </c>
      <c r="H929">
        <v>49</v>
      </c>
      <c r="I929">
        <v>6</v>
      </c>
      <c r="J929" t="s">
        <v>50</v>
      </c>
      <c r="K929" t="s">
        <v>46</v>
      </c>
      <c r="L929" t="s">
        <v>60</v>
      </c>
      <c r="M929">
        <v>690.90593272710237</v>
      </c>
      <c r="N929">
        <v>902</v>
      </c>
      <c r="O929">
        <v>450</v>
      </c>
      <c r="P929">
        <v>350</v>
      </c>
      <c r="Q929">
        <v>3.8501476017100584</v>
      </c>
      <c r="R929">
        <v>2.9957322735539909</v>
      </c>
      <c r="S929">
        <v>5.4424177105217932</v>
      </c>
      <c r="T929">
        <v>88.975873222691746</v>
      </c>
      <c r="U929">
        <v>2.5514539469641888</v>
      </c>
      <c r="V929">
        <v>2.9336799326863701</v>
      </c>
      <c r="W929">
        <v>3.3730943146768602</v>
      </c>
      <c r="X929">
        <v>3.6072071704345601</v>
      </c>
      <c r="Y929">
        <v>-0.19189497559235799</v>
      </c>
      <c r="Z929">
        <v>0.17569111512999699</v>
      </c>
      <c r="AA929">
        <v>-0.304970615080496</v>
      </c>
      <c r="AB929">
        <v>1906.836709612184</v>
      </c>
      <c r="AC929">
        <v>0.7978420820676605</v>
      </c>
      <c r="AD929">
        <v>2.1056638128240834</v>
      </c>
      <c r="AE929">
        <v>-0.25037207080954499</v>
      </c>
      <c r="AF929">
        <v>1.5460613518814501</v>
      </c>
      <c r="AG929">
        <v>1.0797383975188599</v>
      </c>
      <c r="AH929">
        <v>0.82580291285532803</v>
      </c>
      <c r="AI929">
        <v>1.4836044289928401</v>
      </c>
      <c r="AJ929">
        <v>0.76193534118230599</v>
      </c>
      <c r="AK929">
        <v>44.055988999999997</v>
      </c>
      <c r="AL929">
        <v>4.8317350000000001</v>
      </c>
      <c r="AM929">
        <v>50.245000000000005</v>
      </c>
      <c r="AN929">
        <v>4.1453333333333333</v>
      </c>
    </row>
    <row r="930" spans="1:40" x14ac:dyDescent="0.35">
      <c r="A930">
        <v>1153</v>
      </c>
      <c r="B930">
        <v>42</v>
      </c>
      <c r="C930" t="s">
        <v>40</v>
      </c>
      <c r="D930" t="s">
        <v>41</v>
      </c>
      <c r="E930" t="s">
        <v>42</v>
      </c>
      <c r="F930" t="s">
        <v>49</v>
      </c>
      <c r="G930">
        <v>4</v>
      </c>
      <c r="H930">
        <v>16</v>
      </c>
      <c r="I930">
        <v>5</v>
      </c>
      <c r="J930" t="s">
        <v>50</v>
      </c>
      <c r="K930" t="s">
        <v>46</v>
      </c>
      <c r="L930" t="s">
        <v>51</v>
      </c>
      <c r="M930">
        <v>153.6677227209137</v>
      </c>
      <c r="N930">
        <v>200</v>
      </c>
      <c r="O930">
        <v>156</v>
      </c>
      <c r="P930">
        <v>190</v>
      </c>
      <c r="Q930">
        <v>0</v>
      </c>
      <c r="R930">
        <v>1.3862943611198906</v>
      </c>
      <c r="S930">
        <v>4.3438054218536841</v>
      </c>
      <c r="T930">
        <v>91.16</v>
      </c>
      <c r="U930">
        <v>2.3174698847378039</v>
      </c>
      <c r="V930">
        <v>-0.58471966768986094</v>
      </c>
      <c r="W930">
        <v>-0.55557078097057</v>
      </c>
      <c r="X930">
        <v>-0.47566183223429498</v>
      </c>
      <c r="Y930">
        <v>-0.95884680312505799</v>
      </c>
      <c r="Z930">
        <v>-0.76521334103430205</v>
      </c>
      <c r="AA930">
        <v>-0.77245900699560299</v>
      </c>
      <c r="AB930">
        <v>1376</v>
      </c>
      <c r="AC930">
        <v>0</v>
      </c>
      <c r="AD930">
        <v>2</v>
      </c>
      <c r="AE930">
        <v>-1.2769936012368599</v>
      </c>
      <c r="AF930">
        <v>0.17952367303224312</v>
      </c>
      <c r="AG930">
        <v>-0.3317404984195822</v>
      </c>
      <c r="AH930">
        <v>-1.0966451839256148</v>
      </c>
      <c r="AI930">
        <v>-0.78350533223517904</v>
      </c>
      <c r="AJ930">
        <v>0.94412642306066596</v>
      </c>
      <c r="AK930">
        <v>47.815207299999997</v>
      </c>
      <c r="AL930">
        <v>3.8001657</v>
      </c>
      <c r="AM930">
        <v>48.78</v>
      </c>
      <c r="AN930">
        <v>2.3159999999999998</v>
      </c>
    </row>
    <row r="931" spans="1:40" x14ac:dyDescent="0.35">
      <c r="A931">
        <v>1154</v>
      </c>
      <c r="B931">
        <v>29.5</v>
      </c>
      <c r="C931" t="s">
        <v>48</v>
      </c>
      <c r="D931" t="s">
        <v>41</v>
      </c>
      <c r="E931" t="s">
        <v>42</v>
      </c>
      <c r="F931" t="s">
        <v>49</v>
      </c>
      <c r="G931">
        <v>5</v>
      </c>
      <c r="H931">
        <v>25</v>
      </c>
      <c r="I931">
        <v>5</v>
      </c>
      <c r="J931" t="s">
        <v>50</v>
      </c>
      <c r="K931" t="s">
        <v>46</v>
      </c>
      <c r="L931" t="s">
        <v>67</v>
      </c>
      <c r="M931">
        <v>339.28275879995988</v>
      </c>
      <c r="N931">
        <v>411</v>
      </c>
      <c r="O931">
        <v>220</v>
      </c>
      <c r="P931">
        <v>117</v>
      </c>
      <c r="Q931">
        <v>0</v>
      </c>
      <c r="R931">
        <v>1.0986122886681098</v>
      </c>
      <c r="S931">
        <v>4.499809670330265</v>
      </c>
      <c r="T931">
        <v>90.053710317460329</v>
      </c>
      <c r="U931">
        <v>1.5728028449904734</v>
      </c>
      <c r="V931">
        <v>-0.577850340007529</v>
      </c>
      <c r="W931">
        <v>-0.32460727773589898</v>
      </c>
      <c r="X931">
        <v>-0.54369568891204501</v>
      </c>
      <c r="Y931">
        <v>-0.77598924050104101</v>
      </c>
      <c r="Z931">
        <v>0.47668876811384397</v>
      </c>
      <c r="AA931">
        <v>0.85617757356637403</v>
      </c>
      <c r="AB931">
        <v>2565</v>
      </c>
      <c r="AC931">
        <v>1</v>
      </c>
      <c r="AD931">
        <v>0</v>
      </c>
      <c r="AE931">
        <v>-0.72514205471140702</v>
      </c>
      <c r="AF931">
        <v>0.90944731498803799</v>
      </c>
      <c r="AG931">
        <v>0.70762161089564202</v>
      </c>
      <c r="AH931">
        <v>0.97064259997055502</v>
      </c>
      <c r="AI931">
        <v>1.2725870549398399</v>
      </c>
      <c r="AJ931">
        <v>-0.13710684787274899</v>
      </c>
      <c r="AK931">
        <v>46.303668000000002</v>
      </c>
      <c r="AL931">
        <v>4.8322269999999996</v>
      </c>
      <c r="AM931">
        <v>48.822000000000003</v>
      </c>
      <c r="AN931">
        <v>2.2869999999999995</v>
      </c>
    </row>
    <row r="932" spans="1:40" x14ac:dyDescent="0.35">
      <c r="A932">
        <v>1155</v>
      </c>
      <c r="B932">
        <v>42</v>
      </c>
      <c r="C932" t="s">
        <v>40</v>
      </c>
      <c r="D932" t="s">
        <v>41</v>
      </c>
      <c r="E932" t="s">
        <v>42</v>
      </c>
      <c r="F932" t="s">
        <v>49</v>
      </c>
      <c r="G932">
        <v>5</v>
      </c>
      <c r="H932">
        <v>25</v>
      </c>
      <c r="I932">
        <v>4</v>
      </c>
      <c r="J932" t="s">
        <v>50</v>
      </c>
      <c r="K932" t="s">
        <v>46</v>
      </c>
      <c r="L932" t="s">
        <v>57</v>
      </c>
      <c r="M932">
        <v>41.301276343560907</v>
      </c>
      <c r="N932">
        <v>45</v>
      </c>
      <c r="O932">
        <v>42</v>
      </c>
      <c r="P932">
        <v>20</v>
      </c>
      <c r="Q932">
        <v>0.69314718055994529</v>
      </c>
      <c r="R932">
        <v>3.6109179126442243</v>
      </c>
      <c r="S932">
        <v>5.8833223884882786</v>
      </c>
      <c r="T932">
        <v>90.922105263157903</v>
      </c>
      <c r="U932">
        <v>2.3923758041545438</v>
      </c>
      <c r="V932">
        <v>-0.399596989308249</v>
      </c>
      <c r="W932">
        <v>-0.58810405700346202</v>
      </c>
      <c r="X932">
        <v>-0.29041857108635599</v>
      </c>
      <c r="Y932">
        <v>-0.846122564821426</v>
      </c>
      <c r="Z932">
        <v>-0.92679578564836795</v>
      </c>
      <c r="AA932">
        <v>0.86332342905974202</v>
      </c>
      <c r="AB932">
        <v>2050</v>
      </c>
      <c r="AC932">
        <v>1</v>
      </c>
      <c r="AD932">
        <v>2</v>
      </c>
      <c r="AE932">
        <v>-0.51011828243844404</v>
      </c>
      <c r="AF932">
        <v>1.03075990283986</v>
      </c>
      <c r="AG932">
        <v>-0.14017805561021801</v>
      </c>
      <c r="AH932">
        <v>-0.55340883383514605</v>
      </c>
      <c r="AI932">
        <v>-0.46705297619101599</v>
      </c>
      <c r="AJ932">
        <v>0.95011430476916403</v>
      </c>
      <c r="AK932">
        <v>47.023905999999997</v>
      </c>
      <c r="AL932">
        <v>4.8380429999999999</v>
      </c>
      <c r="AM932">
        <v>47.384</v>
      </c>
      <c r="AN932">
        <v>4.9695714285714283</v>
      </c>
    </row>
    <row r="933" spans="1:40" x14ac:dyDescent="0.35">
      <c r="A933">
        <v>1156</v>
      </c>
      <c r="B933">
        <v>72</v>
      </c>
      <c r="C933" t="s">
        <v>40</v>
      </c>
      <c r="D933" t="s">
        <v>41</v>
      </c>
      <c r="E933" t="s">
        <v>42</v>
      </c>
      <c r="F933" t="s">
        <v>49</v>
      </c>
      <c r="G933">
        <v>4</v>
      </c>
      <c r="H933">
        <v>16</v>
      </c>
      <c r="I933">
        <v>5</v>
      </c>
      <c r="J933" t="s">
        <v>56</v>
      </c>
      <c r="K933" t="s">
        <v>46</v>
      </c>
      <c r="L933" t="s">
        <v>47</v>
      </c>
      <c r="M933">
        <v>616.17410665584759</v>
      </c>
      <c r="N933">
        <v>757</v>
      </c>
      <c r="O933">
        <v>474</v>
      </c>
      <c r="P933">
        <v>309</v>
      </c>
      <c r="Q933">
        <v>5.9107966440405271</v>
      </c>
      <c r="R933">
        <v>6.4997870406558542</v>
      </c>
      <c r="S933">
        <v>8.6415324656718457</v>
      </c>
      <c r="T933">
        <v>89.265350482850479</v>
      </c>
      <c r="U933">
        <v>1.4417786561042019</v>
      </c>
      <c r="V933">
        <v>-0.22886708829074301</v>
      </c>
      <c r="W933">
        <v>0.28745285629339301</v>
      </c>
      <c r="X933">
        <v>-0.15627425222847</v>
      </c>
      <c r="Y933">
        <v>1.45226138127617</v>
      </c>
      <c r="Z933">
        <v>0.98247225355557</v>
      </c>
      <c r="AA933">
        <v>0.627775520474398</v>
      </c>
      <c r="AB933">
        <v>3362.2959371744532</v>
      </c>
      <c r="AC933">
        <v>2.8998317172850387</v>
      </c>
      <c r="AD933">
        <v>2.9499158586425196</v>
      </c>
      <c r="AE933">
        <v>1.06273170356322</v>
      </c>
      <c r="AF933">
        <v>1.7546186938422399</v>
      </c>
      <c r="AG933">
        <v>0.31050303567602799</v>
      </c>
      <c r="AH933">
        <v>0.84377052458573498</v>
      </c>
      <c r="AI933">
        <v>1.4836044289928401</v>
      </c>
      <c r="AJ933">
        <v>0.76193534118230599</v>
      </c>
      <c r="AK933">
        <v>43.3535629403058</v>
      </c>
      <c r="AL933">
        <v>3.21615314793977</v>
      </c>
      <c r="AM933">
        <v>48.856372813999997</v>
      </c>
      <c r="AN933">
        <v>2.3525296170000001</v>
      </c>
    </row>
    <row r="934" spans="1:40" x14ac:dyDescent="0.35">
      <c r="A934">
        <v>1157</v>
      </c>
      <c r="B934">
        <v>72</v>
      </c>
      <c r="C934" t="s">
        <v>40</v>
      </c>
      <c r="D934" t="s">
        <v>52</v>
      </c>
      <c r="E934" t="s">
        <v>42</v>
      </c>
      <c r="F934" t="s">
        <v>49</v>
      </c>
      <c r="G934">
        <v>6</v>
      </c>
      <c r="H934">
        <v>36</v>
      </c>
      <c r="I934">
        <v>6</v>
      </c>
      <c r="J934" t="s">
        <v>50</v>
      </c>
      <c r="K934" t="s">
        <v>46</v>
      </c>
      <c r="L934" t="s">
        <v>51</v>
      </c>
      <c r="M934">
        <v>152.41531338623301</v>
      </c>
      <c r="N934">
        <v>152</v>
      </c>
      <c r="O934">
        <v>99</v>
      </c>
      <c r="P934">
        <v>224</v>
      </c>
      <c r="Q934">
        <v>0</v>
      </c>
      <c r="R934">
        <v>1.3862943611198906</v>
      </c>
      <c r="S934">
        <v>4.3438054218536841</v>
      </c>
      <c r="T934">
        <v>91.16</v>
      </c>
      <c r="U934">
        <v>2.3174698847378039</v>
      </c>
      <c r="V934">
        <v>-0.58471966768986094</v>
      </c>
      <c r="W934">
        <v>-0.55557078097057</v>
      </c>
      <c r="X934">
        <v>-0.47566183223429498</v>
      </c>
      <c r="Y934">
        <v>-0.95884680312505799</v>
      </c>
      <c r="Z934">
        <v>-0.76521334103430205</v>
      </c>
      <c r="AA934">
        <v>-0.77245900699560299</v>
      </c>
      <c r="AB934">
        <v>1376</v>
      </c>
      <c r="AC934">
        <v>0</v>
      </c>
      <c r="AD934">
        <v>2</v>
      </c>
      <c r="AE934">
        <v>-1.2769936012368599</v>
      </c>
      <c r="AF934">
        <v>0.30137996233421499</v>
      </c>
      <c r="AG934">
        <v>-0.35423046635398198</v>
      </c>
      <c r="AH934">
        <v>0.67467373063027403</v>
      </c>
      <c r="AI934">
        <v>0.555305154478132</v>
      </c>
      <c r="AJ934">
        <v>0.81465230030167401</v>
      </c>
      <c r="AK934">
        <v>47.815207299999997</v>
      </c>
      <c r="AL934">
        <v>3.8001657</v>
      </c>
      <c r="AM934">
        <v>48.621250000000003</v>
      </c>
      <c r="AN934">
        <v>2.1389999999999998</v>
      </c>
    </row>
    <row r="935" spans="1:40" x14ac:dyDescent="0.35">
      <c r="A935">
        <v>1158</v>
      </c>
      <c r="B935">
        <v>57</v>
      </c>
      <c r="C935" t="s">
        <v>40</v>
      </c>
      <c r="D935" t="s">
        <v>41</v>
      </c>
      <c r="E935" t="s">
        <v>42</v>
      </c>
      <c r="F935" t="s">
        <v>49</v>
      </c>
      <c r="G935">
        <v>6</v>
      </c>
      <c r="H935">
        <v>36</v>
      </c>
      <c r="I935">
        <v>7</v>
      </c>
      <c r="J935" t="s">
        <v>50</v>
      </c>
      <c r="K935" t="s">
        <v>46</v>
      </c>
      <c r="L935" t="s">
        <v>51</v>
      </c>
      <c r="M935">
        <v>142.8272429125916</v>
      </c>
      <c r="N935">
        <v>184</v>
      </c>
      <c r="O935">
        <v>141</v>
      </c>
      <c r="P935">
        <v>188</v>
      </c>
      <c r="Q935">
        <v>0</v>
      </c>
      <c r="R935">
        <v>1.3862943611198906</v>
      </c>
      <c r="S935">
        <v>4.3438054218536841</v>
      </c>
      <c r="T935">
        <v>91.16</v>
      </c>
      <c r="U935">
        <v>2.3174698847378039</v>
      </c>
      <c r="V935">
        <v>-0.58471966768986094</v>
      </c>
      <c r="W935">
        <v>-0.55557078097057</v>
      </c>
      <c r="X935">
        <v>-0.47566183223429498</v>
      </c>
      <c r="Y935">
        <v>-0.95884680312505799</v>
      </c>
      <c r="Z935">
        <v>-0.76521334103430205</v>
      </c>
      <c r="AA935">
        <v>-0.77245900699560299</v>
      </c>
      <c r="AB935">
        <v>1376</v>
      </c>
      <c r="AC935">
        <v>0</v>
      </c>
      <c r="AD935">
        <v>2</v>
      </c>
      <c r="AE935">
        <v>-1.2769936012368599</v>
      </c>
      <c r="AF935">
        <v>0.76906855117232897</v>
      </c>
      <c r="AG935">
        <v>3.2591926579458898E-2</v>
      </c>
      <c r="AH935">
        <v>1.07463963290628</v>
      </c>
      <c r="AI935">
        <v>1.54511696178226</v>
      </c>
      <c r="AJ935">
        <v>-0.35495570278962302</v>
      </c>
      <c r="AK935">
        <v>47.815207299999997</v>
      </c>
      <c r="AL935">
        <v>3.8001657</v>
      </c>
      <c r="AM935">
        <v>48.786000000000001</v>
      </c>
      <c r="AN935">
        <v>2.5390000000000001</v>
      </c>
    </row>
    <row r="936" spans="1:40" x14ac:dyDescent="0.35">
      <c r="A936">
        <v>1159</v>
      </c>
      <c r="B936">
        <v>57</v>
      </c>
      <c r="C936" t="s">
        <v>40</v>
      </c>
      <c r="D936" t="s">
        <v>66</v>
      </c>
      <c r="E936" t="s">
        <v>42</v>
      </c>
      <c r="F936" t="s">
        <v>49</v>
      </c>
      <c r="G936">
        <v>5</v>
      </c>
      <c r="H936">
        <v>25</v>
      </c>
      <c r="I936">
        <v>5</v>
      </c>
      <c r="J936" t="s">
        <v>50</v>
      </c>
      <c r="K936" t="s">
        <v>46</v>
      </c>
      <c r="L936" t="s">
        <v>74</v>
      </c>
      <c r="M936">
        <v>73.749477406255053</v>
      </c>
      <c r="N936">
        <v>87</v>
      </c>
      <c r="O936">
        <v>83</v>
      </c>
      <c r="P936">
        <v>68</v>
      </c>
      <c r="Q936">
        <v>1.6094379124341003</v>
      </c>
      <c r="R936">
        <v>2.5649493574615367</v>
      </c>
      <c r="S936">
        <v>4.8202815656050371</v>
      </c>
      <c r="T936">
        <v>91.984920634920627</v>
      </c>
      <c r="U936">
        <v>1.0351430572167302</v>
      </c>
      <c r="V936">
        <v>-0.45376679124596098</v>
      </c>
      <c r="W936">
        <v>-0.56138574648679695</v>
      </c>
      <c r="X936">
        <v>-0.92192590083580195</v>
      </c>
      <c r="Y936">
        <v>-1.17232967929859</v>
      </c>
      <c r="Z936">
        <v>-0.98267194414701198</v>
      </c>
      <c r="AA936">
        <v>-0.89586780259421905</v>
      </c>
      <c r="AB936">
        <v>1270</v>
      </c>
      <c r="AC936">
        <v>3</v>
      </c>
      <c r="AD936">
        <v>1</v>
      </c>
      <c r="AE936">
        <v>-1.1438350904766701</v>
      </c>
      <c r="AF936">
        <v>-0.50220776245100196</v>
      </c>
      <c r="AG936">
        <v>-1.3868775245126099</v>
      </c>
      <c r="AH936">
        <v>0.91326380143047503</v>
      </c>
      <c r="AI936">
        <v>-0.237046924821913</v>
      </c>
      <c r="AJ936">
        <v>-1.55312518036546</v>
      </c>
      <c r="AK936">
        <v>46.672161000000003</v>
      </c>
      <c r="AL936">
        <v>5.558465</v>
      </c>
      <c r="AM936">
        <v>47.255000000000003</v>
      </c>
      <c r="AN936">
        <v>6.02</v>
      </c>
    </row>
    <row r="937" spans="1:40" x14ac:dyDescent="0.35">
      <c r="A937">
        <v>1160</v>
      </c>
      <c r="B937">
        <v>57</v>
      </c>
      <c r="C937" t="s">
        <v>40</v>
      </c>
      <c r="D937" t="s">
        <v>41</v>
      </c>
      <c r="E937" t="s">
        <v>42</v>
      </c>
      <c r="F937" t="s">
        <v>43</v>
      </c>
      <c r="G937">
        <v>7</v>
      </c>
      <c r="H937">
        <v>49</v>
      </c>
      <c r="I937">
        <v>3</v>
      </c>
      <c r="J937" t="s">
        <v>50</v>
      </c>
      <c r="K937" t="s">
        <v>46</v>
      </c>
      <c r="L937" t="s">
        <v>70</v>
      </c>
      <c r="M937">
        <v>362.28351225091473</v>
      </c>
      <c r="N937">
        <v>427</v>
      </c>
      <c r="O937">
        <v>220</v>
      </c>
      <c r="P937">
        <v>237</v>
      </c>
      <c r="Q937">
        <v>0</v>
      </c>
      <c r="R937">
        <v>0</v>
      </c>
      <c r="S937">
        <v>5.3230099791384085</v>
      </c>
      <c r="T937">
        <v>90.615999999999985</v>
      </c>
      <c r="U937">
        <v>1.11573792223403</v>
      </c>
      <c r="V937">
        <v>0.80288722813325297</v>
      </c>
      <c r="W937">
        <v>0.52082154240315903</v>
      </c>
      <c r="X937">
        <v>0.61908815691345198</v>
      </c>
      <c r="Y937">
        <v>1.5007680231051199</v>
      </c>
      <c r="Z937">
        <v>0.24292628533916899</v>
      </c>
      <c r="AA937">
        <v>8.5217386942517098E-2</v>
      </c>
      <c r="AB937">
        <v>3943</v>
      </c>
      <c r="AC937">
        <v>0</v>
      </c>
      <c r="AD937">
        <v>1</v>
      </c>
      <c r="AE937">
        <v>1.1088815174583</v>
      </c>
      <c r="AF937">
        <v>-2.0817023573724098</v>
      </c>
      <c r="AG937">
        <v>-2.4699522787259398</v>
      </c>
      <c r="AH937">
        <v>0.70249420688501696</v>
      </c>
      <c r="AI937">
        <v>-0.141627689671981</v>
      </c>
      <c r="AJ937">
        <v>-1.8321887461869399</v>
      </c>
      <c r="AK937">
        <v>46.098678999999997</v>
      </c>
      <c r="AL937">
        <v>4.7359530000000003</v>
      </c>
      <c r="AM937">
        <v>48.807000000000002</v>
      </c>
      <c r="AN937">
        <v>2.0659999999999998</v>
      </c>
    </row>
    <row r="938" spans="1:40" x14ac:dyDescent="0.35">
      <c r="A938">
        <v>1161</v>
      </c>
      <c r="B938">
        <v>42</v>
      </c>
      <c r="C938" t="s">
        <v>40</v>
      </c>
      <c r="D938" t="s">
        <v>41</v>
      </c>
      <c r="E938" t="s">
        <v>42</v>
      </c>
      <c r="F938" t="s">
        <v>49</v>
      </c>
      <c r="G938">
        <v>5</v>
      </c>
      <c r="H938">
        <v>25</v>
      </c>
      <c r="I938">
        <v>4</v>
      </c>
      <c r="J938" t="s">
        <v>56</v>
      </c>
      <c r="K938" t="s">
        <v>46</v>
      </c>
      <c r="L938" t="s">
        <v>51</v>
      </c>
      <c r="M938">
        <v>167.87769882744419</v>
      </c>
      <c r="N938">
        <v>200</v>
      </c>
      <c r="O938">
        <v>156</v>
      </c>
      <c r="P938">
        <v>190</v>
      </c>
      <c r="Q938">
        <v>0</v>
      </c>
      <c r="R938">
        <v>1.3862943611198906</v>
      </c>
      <c r="S938">
        <v>4.3438054218536841</v>
      </c>
      <c r="T938">
        <v>91.16</v>
      </c>
      <c r="U938">
        <v>2.3174698847378039</v>
      </c>
      <c r="V938">
        <v>-0.58471966768986094</v>
      </c>
      <c r="W938">
        <v>-0.55557078097057</v>
      </c>
      <c r="X938">
        <v>-0.47566183223429498</v>
      </c>
      <c r="Y938">
        <v>-0.95884680312505799</v>
      </c>
      <c r="Z938">
        <v>-0.76521334103430205</v>
      </c>
      <c r="AA938">
        <v>-0.77245900699560299</v>
      </c>
      <c r="AB938">
        <v>1376</v>
      </c>
      <c r="AC938">
        <v>0</v>
      </c>
      <c r="AD938">
        <v>2</v>
      </c>
      <c r="AE938">
        <v>-1.2769936012368599</v>
      </c>
      <c r="AF938">
        <v>0.95904112846947698</v>
      </c>
      <c r="AG938">
        <v>0.48549005221202202</v>
      </c>
      <c r="AH938">
        <v>0.57199791336530204</v>
      </c>
      <c r="AI938">
        <v>0.903634575727434</v>
      </c>
      <c r="AJ938">
        <v>1.03214997192701</v>
      </c>
      <c r="AK938">
        <v>47.815207299999997</v>
      </c>
      <c r="AL938">
        <v>3.8001657</v>
      </c>
      <c r="AM938">
        <v>48.869000000000014</v>
      </c>
      <c r="AN938">
        <v>2.177</v>
      </c>
    </row>
    <row r="939" spans="1:40" x14ac:dyDescent="0.35">
      <c r="A939">
        <v>1162</v>
      </c>
      <c r="B939">
        <v>57</v>
      </c>
      <c r="C939" t="s">
        <v>40</v>
      </c>
      <c r="D939" t="s">
        <v>41</v>
      </c>
      <c r="E939" t="s">
        <v>42</v>
      </c>
      <c r="F939" t="s">
        <v>49</v>
      </c>
      <c r="G939">
        <v>5</v>
      </c>
      <c r="H939">
        <v>25</v>
      </c>
      <c r="I939">
        <v>4</v>
      </c>
      <c r="J939" t="s">
        <v>56</v>
      </c>
      <c r="K939" t="s">
        <v>46</v>
      </c>
      <c r="L939" t="s">
        <v>74</v>
      </c>
      <c r="M939">
        <v>331.16428961819742</v>
      </c>
      <c r="N939">
        <v>388</v>
      </c>
      <c r="O939">
        <v>234</v>
      </c>
      <c r="P939">
        <v>223</v>
      </c>
      <c r="Q939">
        <v>1.6094379124341003</v>
      </c>
      <c r="R939">
        <v>2.5649493574615367</v>
      </c>
      <c r="S939">
        <v>4.8202815656050371</v>
      </c>
      <c r="T939">
        <v>91.984920634920627</v>
      </c>
      <c r="U939">
        <v>1.0351430572167302</v>
      </c>
      <c r="V939">
        <v>-0.45376679124596098</v>
      </c>
      <c r="W939">
        <v>-0.56138574648679695</v>
      </c>
      <c r="X939">
        <v>-0.92192590083580195</v>
      </c>
      <c r="Y939">
        <v>-1.17232967929859</v>
      </c>
      <c r="Z939">
        <v>-0.98267194414701198</v>
      </c>
      <c r="AA939">
        <v>-0.89586780259421905</v>
      </c>
      <c r="AB939">
        <v>1270</v>
      </c>
      <c r="AC939">
        <v>3</v>
      </c>
      <c r="AD939">
        <v>1</v>
      </c>
      <c r="AE939">
        <v>-1.1438350904766701</v>
      </c>
      <c r="AF939">
        <v>0.349999370431755</v>
      </c>
      <c r="AG939">
        <v>-0.54621749740109804</v>
      </c>
      <c r="AH939">
        <v>-2.7124881719387002</v>
      </c>
      <c r="AI939">
        <v>-0.98420507177213901</v>
      </c>
      <c r="AJ939">
        <v>-0.36715107524364599</v>
      </c>
      <c r="AK939">
        <v>46.672161000000003</v>
      </c>
      <c r="AL939">
        <v>5.558465</v>
      </c>
      <c r="AM939">
        <v>48.884</v>
      </c>
      <c r="AN939">
        <v>2.597</v>
      </c>
    </row>
    <row r="940" spans="1:40" x14ac:dyDescent="0.35">
      <c r="A940">
        <v>1163</v>
      </c>
      <c r="B940">
        <v>72</v>
      </c>
      <c r="C940" t="s">
        <v>40</v>
      </c>
      <c r="D940" t="s">
        <v>52</v>
      </c>
      <c r="E940" t="s">
        <v>42</v>
      </c>
      <c r="F940" t="s">
        <v>49</v>
      </c>
      <c r="G940">
        <v>5</v>
      </c>
      <c r="H940">
        <v>25</v>
      </c>
      <c r="I940">
        <v>5</v>
      </c>
      <c r="J940" t="s">
        <v>56</v>
      </c>
      <c r="K940" t="s">
        <v>46</v>
      </c>
      <c r="L940" t="s">
        <v>75</v>
      </c>
      <c r="M940">
        <v>334.79039592227753</v>
      </c>
      <c r="N940">
        <v>405</v>
      </c>
      <c r="O940">
        <v>256</v>
      </c>
      <c r="P940">
        <v>185</v>
      </c>
      <c r="Q940">
        <v>0</v>
      </c>
      <c r="R940">
        <v>0</v>
      </c>
      <c r="S940">
        <v>3.5553480614894135</v>
      </c>
      <c r="T940">
        <v>87.721111111111114</v>
      </c>
      <c r="U940">
        <v>1.8185946276597997</v>
      </c>
      <c r="V940">
        <v>-1.01058566247205</v>
      </c>
      <c r="W940">
        <v>-0.72487722485772399</v>
      </c>
      <c r="X940">
        <v>-0.83814251792544203</v>
      </c>
      <c r="Y940">
        <v>0.643019057251217</v>
      </c>
      <c r="Z940">
        <v>0.97010361819212798</v>
      </c>
      <c r="AA940">
        <v>-1.0557286875948499</v>
      </c>
      <c r="AB940">
        <v>4179</v>
      </c>
      <c r="AC940">
        <v>0</v>
      </c>
      <c r="AD940">
        <v>0</v>
      </c>
      <c r="AE940">
        <v>0.59808311135132897</v>
      </c>
      <c r="AF940">
        <v>-3.2594544443595801</v>
      </c>
      <c r="AG940">
        <v>0.72028930141556102</v>
      </c>
      <c r="AH940">
        <v>-0.23688208414877601</v>
      </c>
      <c r="AI940">
        <v>-1.63361993826789</v>
      </c>
      <c r="AJ940">
        <v>1.29817515238452</v>
      </c>
      <c r="AK940">
        <v>47.087721999999999</v>
      </c>
      <c r="AL940">
        <v>-1.2817419999999999</v>
      </c>
      <c r="AM940">
        <v>48.856372813999997</v>
      </c>
      <c r="AN940">
        <v>2.3525296170000001</v>
      </c>
    </row>
    <row r="941" spans="1:40" x14ac:dyDescent="0.35">
      <c r="A941">
        <v>1164</v>
      </c>
      <c r="B941">
        <v>57</v>
      </c>
      <c r="C941" t="s">
        <v>48</v>
      </c>
      <c r="D941" t="s">
        <v>41</v>
      </c>
      <c r="E941" t="s">
        <v>42</v>
      </c>
      <c r="F941" t="s">
        <v>43</v>
      </c>
      <c r="G941">
        <v>6</v>
      </c>
      <c r="H941">
        <v>36</v>
      </c>
      <c r="I941">
        <v>6</v>
      </c>
      <c r="J941" t="s">
        <v>50</v>
      </c>
      <c r="K941" t="s">
        <v>46</v>
      </c>
      <c r="L941" t="s">
        <v>71</v>
      </c>
      <c r="M941">
        <v>41.75078706831053</v>
      </c>
      <c r="N941">
        <v>146</v>
      </c>
      <c r="O941">
        <v>90</v>
      </c>
      <c r="P941">
        <v>130</v>
      </c>
      <c r="Q941">
        <v>4.5747109785033828</v>
      </c>
      <c r="R941">
        <v>3.5263605246161616</v>
      </c>
      <c r="S941">
        <v>5.1416635565026603</v>
      </c>
      <c r="T941">
        <v>92.265120976563693</v>
      </c>
      <c r="U941">
        <v>2.9351954657362995</v>
      </c>
      <c r="V941">
        <v>-8.3509539921858403E-2</v>
      </c>
      <c r="W941">
        <v>-8.6188355584626702E-2</v>
      </c>
      <c r="X941">
        <v>-6.2117403422328299E-2</v>
      </c>
      <c r="Y941">
        <v>-0.51135009403950604</v>
      </c>
      <c r="Z941">
        <v>-0.669554030021006</v>
      </c>
      <c r="AA941">
        <v>-1.4915282051312999</v>
      </c>
      <c r="AB941">
        <v>1813.5248996931791</v>
      </c>
      <c r="AC941">
        <v>1.6535284399339156</v>
      </c>
      <c r="AD941">
        <v>0.49421760679726223</v>
      </c>
      <c r="AE941">
        <v>-0.18520258641298501</v>
      </c>
      <c r="AF941">
        <v>-2.09917721407035</v>
      </c>
      <c r="AG941">
        <v>-2.4347909879856799</v>
      </c>
      <c r="AH941">
        <v>0.31576503674892897</v>
      </c>
      <c r="AI941">
        <v>-0.45631341095329597</v>
      </c>
      <c r="AJ941">
        <v>0.51671186026028204</v>
      </c>
      <c r="AK941">
        <v>45.071283999999999</v>
      </c>
      <c r="AL941">
        <v>4.8370730000000002</v>
      </c>
      <c r="AM941">
        <v>44.730708333333318</v>
      </c>
      <c r="AN941">
        <v>5.0588333333333324</v>
      </c>
    </row>
    <row r="942" spans="1:40" x14ac:dyDescent="0.35">
      <c r="A942">
        <v>1165</v>
      </c>
      <c r="B942">
        <v>72</v>
      </c>
      <c r="C942" t="s">
        <v>40</v>
      </c>
      <c r="D942" t="s">
        <v>52</v>
      </c>
      <c r="E942" t="s">
        <v>42</v>
      </c>
      <c r="F942" t="s">
        <v>49</v>
      </c>
      <c r="G942">
        <v>4</v>
      </c>
      <c r="H942">
        <v>16</v>
      </c>
      <c r="I942">
        <v>4</v>
      </c>
      <c r="J942" t="s">
        <v>50</v>
      </c>
      <c r="K942" t="s">
        <v>46</v>
      </c>
      <c r="L942" t="s">
        <v>76</v>
      </c>
      <c r="M942">
        <v>184.7382246566504</v>
      </c>
      <c r="N942">
        <v>200</v>
      </c>
      <c r="O942">
        <v>138</v>
      </c>
      <c r="P942">
        <v>168</v>
      </c>
      <c r="Q942">
        <v>0</v>
      </c>
      <c r="R942">
        <v>1.0986122886681098</v>
      </c>
      <c r="S942">
        <v>4.1588830833596715</v>
      </c>
      <c r="T942">
        <v>91.226666666666674</v>
      </c>
      <c r="U942">
        <v>1.418823059726001</v>
      </c>
      <c r="V942">
        <v>-0.39095273818515502</v>
      </c>
      <c r="W942">
        <v>-0.53446083104759001</v>
      </c>
      <c r="X942">
        <v>-0.40804429067029002</v>
      </c>
      <c r="Y942">
        <v>-0.56789545922357498</v>
      </c>
      <c r="Z942">
        <v>-0.94760790482486201</v>
      </c>
      <c r="AA942">
        <v>-1.0848673571571601</v>
      </c>
      <c r="AB942">
        <v>1770.5103102717287</v>
      </c>
      <c r="AC942">
        <v>0.28213528618230871</v>
      </c>
      <c r="AD942">
        <v>1.7130468298323378</v>
      </c>
      <c r="AE942">
        <v>-1.13486126839574</v>
      </c>
      <c r="AF942">
        <v>2.3562390797770498</v>
      </c>
      <c r="AG942">
        <v>-2.0816711748397898</v>
      </c>
      <c r="AH942">
        <v>0.96692380436028103</v>
      </c>
      <c r="AI942">
        <v>-0.94251561277039198</v>
      </c>
      <c r="AJ942">
        <v>0.91294706890792299</v>
      </c>
      <c r="AK942">
        <v>47.330690599999997</v>
      </c>
      <c r="AL942">
        <v>2.8390453999999998</v>
      </c>
      <c r="AM942">
        <v>48.898499999999999</v>
      </c>
      <c r="AN942">
        <v>2.024</v>
      </c>
    </row>
    <row r="943" spans="1:40" x14ac:dyDescent="0.35">
      <c r="A943">
        <v>1166</v>
      </c>
      <c r="B943">
        <v>29.5</v>
      </c>
      <c r="C943" t="s">
        <v>48</v>
      </c>
      <c r="D943" t="s">
        <v>66</v>
      </c>
      <c r="E943" t="s">
        <v>42</v>
      </c>
      <c r="F943" t="s">
        <v>49</v>
      </c>
      <c r="G943">
        <v>4</v>
      </c>
      <c r="H943">
        <v>16</v>
      </c>
      <c r="I943">
        <v>5</v>
      </c>
      <c r="J943" t="s">
        <v>50</v>
      </c>
      <c r="K943" t="s">
        <v>46</v>
      </c>
      <c r="L943" t="s">
        <v>47</v>
      </c>
      <c r="M943">
        <v>598.22671557523233</v>
      </c>
      <c r="N943">
        <v>725</v>
      </c>
      <c r="O943">
        <v>438</v>
      </c>
      <c r="P943">
        <v>332</v>
      </c>
      <c r="Q943">
        <v>5.9107966440405271</v>
      </c>
      <c r="R943">
        <v>6.4997870406558542</v>
      </c>
      <c r="S943">
        <v>8.6415324656718457</v>
      </c>
      <c r="T943">
        <v>89.265350482850479</v>
      </c>
      <c r="U943">
        <v>1.4417786561042019</v>
      </c>
      <c r="V943">
        <v>-0.22886708829074301</v>
      </c>
      <c r="W943">
        <v>0.28745285629339301</v>
      </c>
      <c r="X943">
        <v>-0.15627425222847</v>
      </c>
      <c r="Y943">
        <v>1.45226138127617</v>
      </c>
      <c r="Z943">
        <v>0.98247225355557</v>
      </c>
      <c r="AA943">
        <v>0.627775520474398</v>
      </c>
      <c r="AB943">
        <v>3362.2959371744532</v>
      </c>
      <c r="AC943">
        <v>2.8998317172850387</v>
      </c>
      <c r="AD943">
        <v>2.9499158586425196</v>
      </c>
      <c r="AE943">
        <v>1.06273170356322</v>
      </c>
      <c r="AF943">
        <v>1.86390293523836</v>
      </c>
      <c r="AG943">
        <v>-0.413960878163741</v>
      </c>
      <c r="AH943">
        <v>0.14976290135659601</v>
      </c>
      <c r="AI943">
        <v>1.4836044289928401</v>
      </c>
      <c r="AJ943">
        <v>0.76193534118230599</v>
      </c>
      <c r="AK943">
        <v>43.3535629403058</v>
      </c>
      <c r="AL943">
        <v>3.21615314793977</v>
      </c>
      <c r="AM943">
        <v>48.688499999999991</v>
      </c>
      <c r="AN943">
        <v>2.2837499999999995</v>
      </c>
    </row>
    <row r="944" spans="1:40" x14ac:dyDescent="0.35">
      <c r="A944">
        <v>1168</v>
      </c>
      <c r="B944">
        <v>57</v>
      </c>
      <c r="C944" t="s">
        <v>48</v>
      </c>
      <c r="D944" t="s">
        <v>41</v>
      </c>
      <c r="E944" t="s">
        <v>42</v>
      </c>
      <c r="F944" t="s">
        <v>49</v>
      </c>
      <c r="G944">
        <v>5</v>
      </c>
      <c r="H944">
        <v>25</v>
      </c>
      <c r="I944">
        <v>3</v>
      </c>
      <c r="J944" t="s">
        <v>56</v>
      </c>
      <c r="K944" t="s">
        <v>46</v>
      </c>
      <c r="L944" t="s">
        <v>60</v>
      </c>
      <c r="M944">
        <v>46.677664762979248</v>
      </c>
      <c r="N944">
        <v>60</v>
      </c>
      <c r="O944">
        <v>45</v>
      </c>
      <c r="P944">
        <v>128</v>
      </c>
      <c r="Q944">
        <v>3.8501476017100584</v>
      </c>
      <c r="R944">
        <v>2.9957322735539909</v>
      </c>
      <c r="S944">
        <v>5.4424177105217932</v>
      </c>
      <c r="T944">
        <v>88.975873222691746</v>
      </c>
      <c r="U944">
        <v>2.5514539469641888</v>
      </c>
      <c r="V944">
        <v>2.9336799326863701</v>
      </c>
      <c r="W944">
        <v>3.3730943146768602</v>
      </c>
      <c r="X944">
        <v>3.6072071704345601</v>
      </c>
      <c r="Y944">
        <v>-0.19189497559235799</v>
      </c>
      <c r="Z944">
        <v>0.17569111512999699</v>
      </c>
      <c r="AA944">
        <v>-0.304970615080496</v>
      </c>
      <c r="AB944">
        <v>1906.836709612184</v>
      </c>
      <c r="AC944">
        <v>0.7978420820676605</v>
      </c>
      <c r="AD944">
        <v>2.1056638128240834</v>
      </c>
      <c r="AE944">
        <v>-0.25037207080954499</v>
      </c>
      <c r="AF944">
        <v>0.215043937374572</v>
      </c>
      <c r="AG944">
        <v>0.229837271840445</v>
      </c>
      <c r="AH944">
        <v>-3.3646526406024703E-2</v>
      </c>
      <c r="AI944">
        <v>-0.43992908498697197</v>
      </c>
      <c r="AJ944">
        <v>0.86621575489259095</v>
      </c>
      <c r="AK944">
        <v>44.055988999999997</v>
      </c>
      <c r="AL944">
        <v>4.8317350000000001</v>
      </c>
      <c r="AM944">
        <v>43.969294117647053</v>
      </c>
      <c r="AN944">
        <v>4.2612941176470578</v>
      </c>
    </row>
    <row r="945" spans="1:40" x14ac:dyDescent="0.35">
      <c r="A945">
        <v>1169</v>
      </c>
      <c r="B945">
        <v>29.5</v>
      </c>
      <c r="C945" t="s">
        <v>48</v>
      </c>
      <c r="D945" t="s">
        <v>41</v>
      </c>
      <c r="E945" t="s">
        <v>42</v>
      </c>
      <c r="F945" t="s">
        <v>43</v>
      </c>
      <c r="G945">
        <v>5</v>
      </c>
      <c r="H945">
        <v>25</v>
      </c>
      <c r="I945">
        <v>4</v>
      </c>
      <c r="J945" t="s">
        <v>50</v>
      </c>
      <c r="K945" t="s">
        <v>46</v>
      </c>
      <c r="L945" t="s">
        <v>58</v>
      </c>
      <c r="M945">
        <v>479.04984544766688</v>
      </c>
      <c r="N945">
        <v>720</v>
      </c>
      <c r="O945">
        <v>448</v>
      </c>
      <c r="P945">
        <v>715</v>
      </c>
      <c r="Q945">
        <v>3.2580965380214821</v>
      </c>
      <c r="R945">
        <v>2.8903717578961645</v>
      </c>
      <c r="S945">
        <v>4.7535901911063645</v>
      </c>
      <c r="T945">
        <v>90.794285714285706</v>
      </c>
      <c r="U945">
        <v>0</v>
      </c>
      <c r="V945">
        <v>0.63905639120027702</v>
      </c>
      <c r="W945">
        <v>0.692565001186083</v>
      </c>
      <c r="X945">
        <v>0.56469097254324596</v>
      </c>
      <c r="Y945">
        <v>1.4483117406157899</v>
      </c>
      <c r="Z945">
        <v>1.7680602694732599</v>
      </c>
      <c r="AA945">
        <v>0.26366440732357699</v>
      </c>
      <c r="AB945">
        <v>4236</v>
      </c>
      <c r="AC945">
        <v>0</v>
      </c>
      <c r="AD945">
        <v>4</v>
      </c>
      <c r="AE945">
        <v>1.6751267091712101</v>
      </c>
      <c r="AF945">
        <v>0.80245218916496897</v>
      </c>
      <c r="AG945">
        <v>-0.62412098752921097</v>
      </c>
      <c r="AH945">
        <v>-0.46186877454912101</v>
      </c>
      <c r="AI945">
        <v>1.7963615084925799</v>
      </c>
      <c r="AJ945">
        <v>-0.84187742765479001</v>
      </c>
      <c r="AK945">
        <v>45.198478000000001</v>
      </c>
      <c r="AL945">
        <v>-0.74874399999999997</v>
      </c>
      <c r="AM945">
        <v>47.005000000000003</v>
      </c>
      <c r="AN945">
        <v>4.8864615384615382</v>
      </c>
    </row>
    <row r="946" spans="1:40" x14ac:dyDescent="0.35">
      <c r="A946">
        <v>1170</v>
      </c>
      <c r="B946">
        <v>72</v>
      </c>
      <c r="C946" t="s">
        <v>40</v>
      </c>
      <c r="D946" t="s">
        <v>52</v>
      </c>
      <c r="E946" t="s">
        <v>42</v>
      </c>
      <c r="F946" t="s">
        <v>49</v>
      </c>
      <c r="G946">
        <v>4</v>
      </c>
      <c r="H946">
        <v>16</v>
      </c>
      <c r="I946">
        <v>7</v>
      </c>
      <c r="J946" t="s">
        <v>50</v>
      </c>
      <c r="K946" t="s">
        <v>46</v>
      </c>
      <c r="L946" t="s">
        <v>72</v>
      </c>
      <c r="M946">
        <v>481.02587534224409</v>
      </c>
      <c r="N946">
        <v>574</v>
      </c>
      <c r="O946">
        <v>350</v>
      </c>
      <c r="P946">
        <v>374</v>
      </c>
      <c r="Q946">
        <v>0.69314718055994529</v>
      </c>
      <c r="R946">
        <v>1.3862943611198906</v>
      </c>
      <c r="S946">
        <v>4.5538768916005408</v>
      </c>
      <c r="T946">
        <v>89.340161030595823</v>
      </c>
      <c r="U946">
        <v>1.4712304197281412</v>
      </c>
      <c r="V946">
        <v>0.59716251398508702</v>
      </c>
      <c r="W946">
        <v>0.91068296986709796</v>
      </c>
      <c r="X946">
        <v>1.2273243988355</v>
      </c>
      <c r="Y946">
        <v>-0.4121809470949</v>
      </c>
      <c r="Z946">
        <v>-0.86472582726521097</v>
      </c>
      <c r="AA946">
        <v>-1.0172779374790899</v>
      </c>
      <c r="AB946">
        <v>1828.1689246701658</v>
      </c>
      <c r="AC946">
        <v>1.1127464888636687</v>
      </c>
      <c r="AD946">
        <v>1.8630656830756136</v>
      </c>
      <c r="AE946">
        <v>-0.53926882203722504</v>
      </c>
      <c r="AF946">
        <v>-3.6624603307742601E-2</v>
      </c>
      <c r="AG946">
        <v>-2.1598384655072599E-2</v>
      </c>
      <c r="AH946">
        <v>0.70865625301206803</v>
      </c>
      <c r="AI946">
        <v>0.81511793029794799</v>
      </c>
      <c r="AJ946">
        <v>-0.81499825168075302</v>
      </c>
      <c r="AK946">
        <v>44.503641999999999</v>
      </c>
      <c r="AL946">
        <v>1.1863669999999999</v>
      </c>
      <c r="AM946">
        <v>48.75</v>
      </c>
      <c r="AN946">
        <v>2.3530000000000002</v>
      </c>
    </row>
    <row r="947" spans="1:40" x14ac:dyDescent="0.35">
      <c r="A947">
        <v>1171</v>
      </c>
      <c r="B947">
        <v>72</v>
      </c>
      <c r="C947" t="s">
        <v>40</v>
      </c>
      <c r="D947" t="s">
        <v>52</v>
      </c>
      <c r="E947" t="s">
        <v>42</v>
      </c>
      <c r="F947" t="s">
        <v>49</v>
      </c>
      <c r="G947">
        <v>5</v>
      </c>
      <c r="H947">
        <v>25</v>
      </c>
      <c r="I947">
        <v>5</v>
      </c>
      <c r="J947" t="s">
        <v>56</v>
      </c>
      <c r="K947" t="s">
        <v>46</v>
      </c>
      <c r="L947" t="s">
        <v>78</v>
      </c>
      <c r="M947">
        <v>884.80479736550149</v>
      </c>
      <c r="N947">
        <v>1150</v>
      </c>
      <c r="O947">
        <v>924</v>
      </c>
      <c r="P947">
        <v>1620</v>
      </c>
      <c r="Q947">
        <v>0</v>
      </c>
      <c r="R947">
        <v>0</v>
      </c>
      <c r="S947">
        <v>3.784189633918261</v>
      </c>
      <c r="T947">
        <v>88.642856449106446</v>
      </c>
      <c r="U947">
        <v>1.0940428522509147</v>
      </c>
      <c r="V947">
        <v>8.5508000285955607E-3</v>
      </c>
      <c r="W947">
        <v>-0.51120442009665101</v>
      </c>
      <c r="X947">
        <v>-0.50395056569549701</v>
      </c>
      <c r="Y947">
        <v>-1.08176131679965</v>
      </c>
      <c r="Z947">
        <v>-1.2254354371323599</v>
      </c>
      <c r="AA947">
        <v>-2.1159072764009799</v>
      </c>
      <c r="AB947">
        <v>465.17385257301805</v>
      </c>
      <c r="AC947">
        <v>0.43254520166898469</v>
      </c>
      <c r="AD947">
        <v>0.43254520166898469</v>
      </c>
      <c r="AE947">
        <v>7.7424783941295205E-2</v>
      </c>
      <c r="AF947">
        <v>1.0578435695844299</v>
      </c>
      <c r="AG947">
        <v>-1.21648291155136</v>
      </c>
      <c r="AH947">
        <v>-6.4287358959805802E-3</v>
      </c>
      <c r="AI947">
        <v>0.34747274939996498</v>
      </c>
      <c r="AJ947">
        <v>0.154647624443046</v>
      </c>
      <c r="AK947">
        <v>42.680641999999999</v>
      </c>
      <c r="AL947">
        <v>9.3018979999999996</v>
      </c>
      <c r="AM947">
        <v>48.817999999999998</v>
      </c>
      <c r="AN947">
        <v>2.0470000000000002</v>
      </c>
    </row>
    <row r="948" spans="1:40" x14ac:dyDescent="0.35">
      <c r="A948">
        <v>1172</v>
      </c>
      <c r="B948">
        <v>42</v>
      </c>
      <c r="C948" t="s">
        <v>48</v>
      </c>
      <c r="D948" t="s">
        <v>41</v>
      </c>
      <c r="E948" t="s">
        <v>42</v>
      </c>
      <c r="F948" t="s">
        <v>49</v>
      </c>
      <c r="G948">
        <v>4</v>
      </c>
      <c r="H948">
        <v>16</v>
      </c>
      <c r="I948">
        <v>3</v>
      </c>
      <c r="J948" t="s">
        <v>56</v>
      </c>
      <c r="K948" t="s">
        <v>46</v>
      </c>
      <c r="L948" t="s">
        <v>77</v>
      </c>
      <c r="M948">
        <v>438.78119066577369</v>
      </c>
      <c r="N948">
        <v>537</v>
      </c>
      <c r="O948">
        <v>332</v>
      </c>
      <c r="P948">
        <v>239</v>
      </c>
      <c r="Q948">
        <v>0</v>
      </c>
      <c r="R948">
        <v>2.3978952727983707</v>
      </c>
      <c r="S948">
        <v>5.1416635565026603</v>
      </c>
      <c r="T948">
        <v>90.472417453603512</v>
      </c>
      <c r="U948">
        <v>2.7735735584863375</v>
      </c>
      <c r="V948">
        <v>-0.15231437986527399</v>
      </c>
      <c r="W948">
        <v>3.49635939345109E-2</v>
      </c>
      <c r="X948">
        <v>-0.19627808847033801</v>
      </c>
      <c r="Y948">
        <v>-0.57382446736590997</v>
      </c>
      <c r="Z948">
        <v>-0.74335605457542497</v>
      </c>
      <c r="AA948">
        <v>-0.53588051656191904</v>
      </c>
      <c r="AB948">
        <v>3937</v>
      </c>
      <c r="AC948">
        <v>0</v>
      </c>
      <c r="AD948">
        <v>1</v>
      </c>
      <c r="AE948">
        <v>-0.72244456620022002</v>
      </c>
      <c r="AF948">
        <v>1.26129069017059</v>
      </c>
      <c r="AG948">
        <v>0.72950922592773204</v>
      </c>
      <c r="AH948">
        <v>-0.23735906928707801</v>
      </c>
      <c r="AI948">
        <v>1.2593439413933101</v>
      </c>
      <c r="AJ948">
        <v>-0.34729753839875799</v>
      </c>
      <c r="AK948">
        <v>47.259622</v>
      </c>
      <c r="AL948">
        <v>-7.8518000000000004E-2</v>
      </c>
      <c r="AM948">
        <v>50.635049500000001</v>
      </c>
      <c r="AN948">
        <v>3.0231666000000001</v>
      </c>
    </row>
    <row r="949" spans="1:40" x14ac:dyDescent="0.35">
      <c r="A949">
        <v>1173</v>
      </c>
      <c r="B949">
        <v>57</v>
      </c>
      <c r="C949" t="s">
        <v>48</v>
      </c>
      <c r="D949" t="s">
        <v>66</v>
      </c>
      <c r="E949" t="s">
        <v>42</v>
      </c>
      <c r="F949" t="s">
        <v>49</v>
      </c>
      <c r="G949">
        <v>3</v>
      </c>
      <c r="H949">
        <v>9</v>
      </c>
      <c r="I949">
        <v>5</v>
      </c>
      <c r="J949" t="s">
        <v>56</v>
      </c>
      <c r="K949" t="s">
        <v>44</v>
      </c>
      <c r="L949" t="s">
        <v>54</v>
      </c>
      <c r="M949">
        <v>480.15798946796377</v>
      </c>
      <c r="N949">
        <v>577</v>
      </c>
      <c r="O949">
        <v>376</v>
      </c>
      <c r="P949">
        <v>162</v>
      </c>
      <c r="Q949">
        <v>3.9889840465642745</v>
      </c>
      <c r="R949">
        <v>3.0910424533583161</v>
      </c>
      <c r="S949">
        <v>4.1271343850450917</v>
      </c>
      <c r="T949">
        <v>92.826666666666668</v>
      </c>
      <c r="U949">
        <v>2.9827057067926286</v>
      </c>
      <c r="V949">
        <v>-0.16604708794949699</v>
      </c>
      <c r="W949">
        <v>-0.150727876652859</v>
      </c>
      <c r="X949">
        <v>-0.19602043866096</v>
      </c>
      <c r="Y949">
        <v>1.4483117406157899</v>
      </c>
      <c r="Z949">
        <v>1.7680602694732599</v>
      </c>
      <c r="AA949">
        <v>0.26366440732357699</v>
      </c>
      <c r="AB949">
        <v>4236</v>
      </c>
      <c r="AC949">
        <v>0</v>
      </c>
      <c r="AD949">
        <v>4</v>
      </c>
      <c r="AE949">
        <v>1.6751267091712101</v>
      </c>
      <c r="AF949">
        <v>1.5032100687498107</v>
      </c>
      <c r="AG949">
        <v>0.5185389391732671</v>
      </c>
      <c r="AH949">
        <v>0.22894129829563459</v>
      </c>
      <c r="AI949">
        <v>6.578564489314026E-2</v>
      </c>
      <c r="AJ949">
        <v>-1.0380202841034842</v>
      </c>
      <c r="AK949">
        <v>44.917983300000003</v>
      </c>
      <c r="AL949">
        <v>-0.22352169999999999</v>
      </c>
      <c r="AM949">
        <v>48.856372813999997</v>
      </c>
      <c r="AN949">
        <v>2.3525296170000001</v>
      </c>
    </row>
    <row r="950" spans="1:40" x14ac:dyDescent="0.35">
      <c r="A950">
        <v>1174</v>
      </c>
      <c r="B950">
        <v>42</v>
      </c>
      <c r="C950" t="s">
        <v>40</v>
      </c>
      <c r="D950" t="s">
        <v>41</v>
      </c>
      <c r="E950" t="s">
        <v>42</v>
      </c>
      <c r="F950" t="s">
        <v>49</v>
      </c>
      <c r="G950">
        <v>5</v>
      </c>
      <c r="H950">
        <v>25</v>
      </c>
      <c r="I950">
        <v>4</v>
      </c>
      <c r="J950" t="s">
        <v>45</v>
      </c>
      <c r="K950" t="s">
        <v>46</v>
      </c>
      <c r="L950" t="s">
        <v>76</v>
      </c>
      <c r="M950">
        <v>170.2953368663139</v>
      </c>
      <c r="N950">
        <v>214</v>
      </c>
      <c r="O950">
        <v>150</v>
      </c>
      <c r="P950">
        <v>145</v>
      </c>
      <c r="Q950">
        <v>0</v>
      </c>
      <c r="R950">
        <v>1.0986122886681098</v>
      </c>
      <c r="S950">
        <v>4.1588830833596715</v>
      </c>
      <c r="T950">
        <v>91.226666666666674</v>
      </c>
      <c r="U950">
        <v>1.418823059726001</v>
      </c>
      <c r="V950">
        <v>-0.39095273818515502</v>
      </c>
      <c r="W950">
        <v>-0.53446083104759001</v>
      </c>
      <c r="X950">
        <v>-0.40804429067029002</v>
      </c>
      <c r="Y950">
        <v>-0.56789545922357498</v>
      </c>
      <c r="Z950">
        <v>-0.94760790482486201</v>
      </c>
      <c r="AA950">
        <v>-1.0848673571571601</v>
      </c>
      <c r="AB950">
        <v>1770.5103102717287</v>
      </c>
      <c r="AC950">
        <v>0.28213528618230871</v>
      </c>
      <c r="AD950">
        <v>1.7130468298323378</v>
      </c>
      <c r="AE950">
        <v>-1.13486126839574</v>
      </c>
      <c r="AF950">
        <v>1.0954777459712299</v>
      </c>
      <c r="AG950">
        <v>0.94961164830538403</v>
      </c>
      <c r="AH950">
        <v>0.81563332466705796</v>
      </c>
      <c r="AI950">
        <v>0.65668255628996497</v>
      </c>
      <c r="AJ950">
        <v>0.542503366811526</v>
      </c>
      <c r="AK950">
        <v>47.330690599999997</v>
      </c>
      <c r="AL950">
        <v>2.8390453999999998</v>
      </c>
      <c r="AM950">
        <v>48.817</v>
      </c>
      <c r="AN950">
        <v>2.2970000000000002</v>
      </c>
    </row>
    <row r="951" spans="1:40" x14ac:dyDescent="0.35">
      <c r="A951">
        <v>1175</v>
      </c>
      <c r="B951">
        <v>57</v>
      </c>
      <c r="C951" t="s">
        <v>40</v>
      </c>
      <c r="D951" t="s">
        <v>41</v>
      </c>
      <c r="E951" t="s">
        <v>42</v>
      </c>
      <c r="F951" t="s">
        <v>49</v>
      </c>
      <c r="G951">
        <v>6</v>
      </c>
      <c r="H951">
        <v>36</v>
      </c>
      <c r="I951">
        <v>6</v>
      </c>
      <c r="J951" t="s">
        <v>50</v>
      </c>
      <c r="K951" t="s">
        <v>46</v>
      </c>
      <c r="L951" t="s">
        <v>55</v>
      </c>
      <c r="M951">
        <v>43.913699276256438</v>
      </c>
      <c r="N951">
        <v>73</v>
      </c>
      <c r="O951">
        <v>61</v>
      </c>
      <c r="P951">
        <v>30</v>
      </c>
      <c r="Q951">
        <v>2.0794415416798357</v>
      </c>
      <c r="R951">
        <v>2.3025850929940459</v>
      </c>
      <c r="S951">
        <v>3.2580965380214821</v>
      </c>
      <c r="T951">
        <v>95.12</v>
      </c>
      <c r="U951">
        <v>0</v>
      </c>
      <c r="V951">
        <v>1.89305099905856</v>
      </c>
      <c r="W951">
        <v>0.59880690621441701</v>
      </c>
      <c r="X951">
        <v>1.1856460040685599</v>
      </c>
      <c r="Y951">
        <v>-0.15565097555555901</v>
      </c>
      <c r="Z951">
        <v>-0.22748295097212001</v>
      </c>
      <c r="AA951">
        <v>1.0415013010201299</v>
      </c>
      <c r="AB951">
        <v>2939.9504036908884</v>
      </c>
      <c r="AC951">
        <v>2</v>
      </c>
      <c r="AD951">
        <v>0.42868127643214149</v>
      </c>
      <c r="AE951">
        <v>-2.40641039566141E-2</v>
      </c>
      <c r="AF951">
        <v>-0.58781846049312902</v>
      </c>
      <c r="AG951">
        <v>0.29229464706875302</v>
      </c>
      <c r="AH951">
        <v>1.15920229071327</v>
      </c>
      <c r="AI951">
        <v>-7.5790244298576906E-2</v>
      </c>
      <c r="AJ951">
        <v>4.4536348505215997E-2</v>
      </c>
      <c r="AK951">
        <v>48.0777517</v>
      </c>
      <c r="AL951">
        <v>7.3579641000000002</v>
      </c>
      <c r="AM951">
        <v>48.419833333333337</v>
      </c>
      <c r="AN951">
        <v>7.6530000000000022</v>
      </c>
    </row>
    <row r="952" spans="1:40" x14ac:dyDescent="0.35">
      <c r="A952">
        <v>1176</v>
      </c>
      <c r="B952">
        <v>72</v>
      </c>
      <c r="C952" t="s">
        <v>40</v>
      </c>
      <c r="D952" t="s">
        <v>52</v>
      </c>
      <c r="E952" t="s">
        <v>42</v>
      </c>
      <c r="F952" t="s">
        <v>49</v>
      </c>
      <c r="G952">
        <v>5</v>
      </c>
      <c r="H952">
        <v>25</v>
      </c>
      <c r="I952">
        <v>5</v>
      </c>
      <c r="J952" t="s">
        <v>56</v>
      </c>
      <c r="K952" t="s">
        <v>46</v>
      </c>
      <c r="L952" t="s">
        <v>65</v>
      </c>
      <c r="M952">
        <v>615.8424469170335</v>
      </c>
      <c r="N952">
        <v>841</v>
      </c>
      <c r="O952">
        <v>430</v>
      </c>
      <c r="P952">
        <v>373</v>
      </c>
      <c r="Q952">
        <v>0</v>
      </c>
      <c r="R952">
        <v>0</v>
      </c>
      <c r="S952">
        <v>4.4543472962535073</v>
      </c>
      <c r="T952">
        <v>89.333044733044744</v>
      </c>
      <c r="U952">
        <v>1.2554235437523662</v>
      </c>
      <c r="V952">
        <v>1.64975517953679</v>
      </c>
      <c r="W952">
        <v>2.4220969657957299</v>
      </c>
      <c r="X952">
        <v>1.68128863126442</v>
      </c>
      <c r="Y952">
        <v>2.0553398017137301</v>
      </c>
      <c r="Z952">
        <v>2.0921400018840099</v>
      </c>
      <c r="AA952">
        <v>2.0596698968962701</v>
      </c>
      <c r="AB952">
        <v>3262.71</v>
      </c>
      <c r="AC952">
        <v>0.33</v>
      </c>
      <c r="AD952">
        <v>0.66</v>
      </c>
      <c r="AE952">
        <v>1.9221838973381</v>
      </c>
      <c r="AF952">
        <v>-0.49011871419183001</v>
      </c>
      <c r="AG952">
        <v>-0.54099839506924197</v>
      </c>
      <c r="AH952">
        <v>0.16037035527028501</v>
      </c>
      <c r="AI952">
        <v>-0.47630791088311603</v>
      </c>
      <c r="AJ952">
        <v>7.4528854178565307E-2</v>
      </c>
      <c r="AK952">
        <v>43.537466000000002</v>
      </c>
      <c r="AL952">
        <v>6.4627330000000001</v>
      </c>
      <c r="AM952">
        <v>48.406999999999996</v>
      </c>
      <c r="AN952">
        <v>2.68</v>
      </c>
    </row>
    <row r="953" spans="1:40" x14ac:dyDescent="0.35">
      <c r="A953">
        <v>1178</v>
      </c>
      <c r="B953">
        <v>72</v>
      </c>
      <c r="C953" t="s">
        <v>40</v>
      </c>
      <c r="D953" t="s">
        <v>52</v>
      </c>
      <c r="E953" t="s">
        <v>42</v>
      </c>
      <c r="F953" t="s">
        <v>61</v>
      </c>
      <c r="G953">
        <v>3</v>
      </c>
      <c r="H953">
        <v>9</v>
      </c>
      <c r="I953">
        <v>5</v>
      </c>
      <c r="J953" t="s">
        <v>56</v>
      </c>
      <c r="K953" t="s">
        <v>46</v>
      </c>
      <c r="L953" t="s">
        <v>55</v>
      </c>
      <c r="M953">
        <v>390.16531323455717</v>
      </c>
      <c r="N953">
        <v>554</v>
      </c>
      <c r="O953">
        <v>374</v>
      </c>
      <c r="P953">
        <v>249</v>
      </c>
      <c r="Q953">
        <v>2.0794415416798357</v>
      </c>
      <c r="R953">
        <v>2.3025850929940459</v>
      </c>
      <c r="S953">
        <v>3.2580965380214821</v>
      </c>
      <c r="T953">
        <v>95.12</v>
      </c>
      <c r="U953">
        <v>0</v>
      </c>
      <c r="V953">
        <v>1.89305099905856</v>
      </c>
      <c r="W953">
        <v>0.59880690621441701</v>
      </c>
      <c r="X953">
        <v>1.1856460040685599</v>
      </c>
      <c r="Y953">
        <v>-0.15565097555555901</v>
      </c>
      <c r="Z953">
        <v>-0.22748295097212001</v>
      </c>
      <c r="AA953">
        <v>1.0415013010201299</v>
      </c>
      <c r="AB953">
        <v>2939.9504036908884</v>
      </c>
      <c r="AC953">
        <v>2</v>
      </c>
      <c r="AD953">
        <v>0.42868127643214149</v>
      </c>
      <c r="AE953">
        <v>-2.40641039566141E-2</v>
      </c>
      <c r="AF953">
        <v>0.839393326715276</v>
      </c>
      <c r="AG953">
        <v>0.691727280090492</v>
      </c>
      <c r="AH953">
        <v>-1.21299658877957</v>
      </c>
      <c r="AI953">
        <v>-4.9722552947324E-2</v>
      </c>
      <c r="AJ953">
        <v>-0.79139967797830801</v>
      </c>
      <c r="AK953">
        <v>48.0777517</v>
      </c>
      <c r="AL953">
        <v>7.3579641000000002</v>
      </c>
      <c r="AM953">
        <v>50.458600000000004</v>
      </c>
      <c r="AN953">
        <v>3.4141999999999997</v>
      </c>
    </row>
    <row r="954" spans="1:40" x14ac:dyDescent="0.35">
      <c r="A954">
        <v>1179</v>
      </c>
      <c r="B954">
        <v>57</v>
      </c>
      <c r="C954" t="s">
        <v>40</v>
      </c>
      <c r="D954" t="s">
        <v>41</v>
      </c>
      <c r="E954" t="s">
        <v>42</v>
      </c>
      <c r="F954" t="s">
        <v>49</v>
      </c>
      <c r="G954">
        <v>4</v>
      </c>
      <c r="H954">
        <v>16</v>
      </c>
      <c r="I954">
        <v>5</v>
      </c>
      <c r="J954" t="s">
        <v>56</v>
      </c>
      <c r="K954" t="s">
        <v>46</v>
      </c>
      <c r="L954" t="s">
        <v>57</v>
      </c>
      <c r="M954">
        <v>26.024873818418101</v>
      </c>
      <c r="N954">
        <v>86</v>
      </c>
      <c r="O954">
        <v>63</v>
      </c>
      <c r="P954">
        <v>47</v>
      </c>
      <c r="Q954">
        <v>0.69314718055994529</v>
      </c>
      <c r="R954">
        <v>3.6109179126442243</v>
      </c>
      <c r="S954">
        <v>5.8833223884882786</v>
      </c>
      <c r="T954">
        <v>90.922105263157903</v>
      </c>
      <c r="U954">
        <v>2.3923758041545438</v>
      </c>
      <c r="V954">
        <v>-0.399596989308249</v>
      </c>
      <c r="W954">
        <v>-0.58810405700346202</v>
      </c>
      <c r="X954">
        <v>-0.29041857108635599</v>
      </c>
      <c r="Y954">
        <v>-0.846122564821426</v>
      </c>
      <c r="Z954">
        <v>-0.92679578564836795</v>
      </c>
      <c r="AA954">
        <v>0.86332342905974202</v>
      </c>
      <c r="AB954">
        <v>2050</v>
      </c>
      <c r="AC954">
        <v>1</v>
      </c>
      <c r="AD954">
        <v>2</v>
      </c>
      <c r="AE954">
        <v>-0.51011828243844404</v>
      </c>
      <c r="AF954">
        <v>0.58440490605596795</v>
      </c>
      <c r="AG954">
        <v>0.41630943081436</v>
      </c>
      <c r="AH954">
        <v>-0.100286721442543</v>
      </c>
      <c r="AI954">
        <v>0.99314021594552304</v>
      </c>
      <c r="AJ954">
        <v>0.248902033820841</v>
      </c>
      <c r="AK954">
        <v>47.023905999999997</v>
      </c>
      <c r="AL954">
        <v>4.8380429999999999</v>
      </c>
      <c r="AM954">
        <v>46.838500000000003</v>
      </c>
      <c r="AN954">
        <v>4.6294999999999993</v>
      </c>
    </row>
    <row r="955" spans="1:40" x14ac:dyDescent="0.35">
      <c r="A955">
        <v>1180</v>
      </c>
      <c r="B955">
        <v>42</v>
      </c>
      <c r="C955" t="s">
        <v>40</v>
      </c>
      <c r="D955" t="s">
        <v>41</v>
      </c>
      <c r="E955" t="s">
        <v>42</v>
      </c>
      <c r="F955" t="s">
        <v>49</v>
      </c>
      <c r="G955">
        <v>5</v>
      </c>
      <c r="H955">
        <v>25</v>
      </c>
      <c r="I955">
        <v>5</v>
      </c>
      <c r="J955" t="s">
        <v>50</v>
      </c>
      <c r="K955" t="s">
        <v>46</v>
      </c>
      <c r="L955" t="s">
        <v>60</v>
      </c>
      <c r="M955">
        <v>179.56113406797721</v>
      </c>
      <c r="N955">
        <v>272</v>
      </c>
      <c r="O955">
        <v>150</v>
      </c>
      <c r="P955">
        <v>242</v>
      </c>
      <c r="Q955">
        <v>3.8501476017100584</v>
      </c>
      <c r="R955">
        <v>2.9957322735539909</v>
      </c>
      <c r="S955">
        <v>5.4424177105217932</v>
      </c>
      <c r="T955">
        <v>88.975873222691746</v>
      </c>
      <c r="U955">
        <v>2.5514539469641888</v>
      </c>
      <c r="V955">
        <v>2.9336799326863701</v>
      </c>
      <c r="W955">
        <v>3.3730943146768602</v>
      </c>
      <c r="X955">
        <v>3.6072071704345601</v>
      </c>
      <c r="Y955">
        <v>-0.19189497559235799</v>
      </c>
      <c r="Z955">
        <v>0.17569111512999699</v>
      </c>
      <c r="AA955">
        <v>-0.304970615080496</v>
      </c>
      <c r="AB955">
        <v>1906.836709612184</v>
      </c>
      <c r="AC955">
        <v>0.7978420820676605</v>
      </c>
      <c r="AD955">
        <v>2.1056638128240834</v>
      </c>
      <c r="AE955">
        <v>-0.25037207080954499</v>
      </c>
      <c r="AF955">
        <v>0.81322174290403704</v>
      </c>
      <c r="AG955">
        <v>-0.78463185881703501</v>
      </c>
      <c r="AH955">
        <v>0.65762416352311903</v>
      </c>
      <c r="AI955">
        <v>-0.46543434536285599</v>
      </c>
      <c r="AJ955">
        <v>-0.29646636882628002</v>
      </c>
      <c r="AK955">
        <v>44.055988999999997</v>
      </c>
      <c r="AL955">
        <v>4.8317350000000001</v>
      </c>
      <c r="AM955">
        <v>45.548000000000002</v>
      </c>
      <c r="AN955">
        <v>5.6957500000000003</v>
      </c>
    </row>
    <row r="956" spans="1:40" x14ac:dyDescent="0.35">
      <c r="A956">
        <v>1182</v>
      </c>
      <c r="B956">
        <v>57</v>
      </c>
      <c r="C956" t="s">
        <v>48</v>
      </c>
      <c r="D956" t="s">
        <v>41</v>
      </c>
      <c r="E956" t="s">
        <v>42</v>
      </c>
      <c r="F956" t="s">
        <v>49</v>
      </c>
      <c r="G956">
        <v>6</v>
      </c>
      <c r="H956">
        <v>36</v>
      </c>
      <c r="I956">
        <v>5</v>
      </c>
      <c r="J956" t="s">
        <v>56</v>
      </c>
      <c r="K956" t="s">
        <v>46</v>
      </c>
      <c r="L956" t="s">
        <v>65</v>
      </c>
      <c r="M956">
        <v>279.7078506219151</v>
      </c>
      <c r="N956">
        <v>408</v>
      </c>
      <c r="O956">
        <v>220</v>
      </c>
      <c r="P956">
        <v>232</v>
      </c>
      <c r="Q956">
        <v>0</v>
      </c>
      <c r="R956">
        <v>0</v>
      </c>
      <c r="S956">
        <v>4.4543472962535073</v>
      </c>
      <c r="T956">
        <v>89.333044733044744</v>
      </c>
      <c r="U956">
        <v>1.2554235437523662</v>
      </c>
      <c r="V956">
        <v>1.64975517953679</v>
      </c>
      <c r="W956">
        <v>2.4220969657957299</v>
      </c>
      <c r="X956">
        <v>1.68128863126442</v>
      </c>
      <c r="Y956">
        <v>2.0553398017137301</v>
      </c>
      <c r="Z956">
        <v>2.0921400018840099</v>
      </c>
      <c r="AA956">
        <v>2.0596698968962701</v>
      </c>
      <c r="AB956">
        <v>3262.71</v>
      </c>
      <c r="AC956">
        <v>0.33</v>
      </c>
      <c r="AD956">
        <v>0.66</v>
      </c>
      <c r="AE956">
        <v>1.9221838973381</v>
      </c>
      <c r="AF956">
        <v>0.84507530252583396</v>
      </c>
      <c r="AG956">
        <v>0.98924240752314996</v>
      </c>
      <c r="AH956">
        <v>-0.920908796736576</v>
      </c>
      <c r="AI956">
        <v>-0.82107758397081798</v>
      </c>
      <c r="AJ956">
        <v>1.25266179419506</v>
      </c>
      <c r="AK956">
        <v>43.537466000000002</v>
      </c>
      <c r="AL956">
        <v>6.4627330000000001</v>
      </c>
      <c r="AM956">
        <v>45.767306300000001</v>
      </c>
      <c r="AN956">
        <v>4.8343065000000003</v>
      </c>
    </row>
    <row r="957" spans="1:40" x14ac:dyDescent="0.35">
      <c r="A957">
        <v>1183</v>
      </c>
      <c r="B957">
        <v>72</v>
      </c>
      <c r="C957" t="s">
        <v>40</v>
      </c>
      <c r="D957" t="s">
        <v>52</v>
      </c>
      <c r="E957" t="s">
        <v>42</v>
      </c>
      <c r="F957" t="s">
        <v>49</v>
      </c>
      <c r="G957">
        <v>5</v>
      </c>
      <c r="H957">
        <v>25</v>
      </c>
      <c r="I957">
        <v>7</v>
      </c>
      <c r="J957" t="s">
        <v>56</v>
      </c>
      <c r="K957" t="s">
        <v>46</v>
      </c>
      <c r="L957" t="s">
        <v>72</v>
      </c>
      <c r="M957">
        <v>182.77611800124481</v>
      </c>
      <c r="N957">
        <v>234</v>
      </c>
      <c r="O957">
        <v>186</v>
      </c>
      <c r="P957">
        <v>194</v>
      </c>
      <c r="Q957">
        <v>0.69314718055994529</v>
      </c>
      <c r="R957">
        <v>1.3862943611198906</v>
      </c>
      <c r="S957">
        <v>4.5538768916005408</v>
      </c>
      <c r="T957">
        <v>89.340161030595823</v>
      </c>
      <c r="U957">
        <v>1.4712304197281412</v>
      </c>
      <c r="V957">
        <v>0.59716251398508702</v>
      </c>
      <c r="W957">
        <v>0.91068296986709796</v>
      </c>
      <c r="X957">
        <v>1.2273243988355</v>
      </c>
      <c r="Y957">
        <v>-0.4121809470949</v>
      </c>
      <c r="Z957">
        <v>-0.86472582726521097</v>
      </c>
      <c r="AA957">
        <v>-1.0172779374790899</v>
      </c>
      <c r="AB957">
        <v>1828.1689246701658</v>
      </c>
      <c r="AC957">
        <v>1.1127464888636687</v>
      </c>
      <c r="AD957">
        <v>1.8630656830756136</v>
      </c>
      <c r="AE957">
        <v>-0.53926882203722504</v>
      </c>
      <c r="AF957">
        <v>0.50660669462410501</v>
      </c>
      <c r="AG957">
        <v>0.25129943093273499</v>
      </c>
      <c r="AH957">
        <v>-6.6253811140465801E-2</v>
      </c>
      <c r="AI957">
        <v>0.27053683013381302</v>
      </c>
      <c r="AJ957">
        <v>-0.33545354413339601</v>
      </c>
      <c r="AK957">
        <v>44.503641999999999</v>
      </c>
      <c r="AL957">
        <v>1.1863669999999999</v>
      </c>
      <c r="AM957">
        <v>44.906499999999994</v>
      </c>
      <c r="AN957">
        <v>-1.05325</v>
      </c>
    </row>
    <row r="958" spans="1:40" x14ac:dyDescent="0.35">
      <c r="A958">
        <v>1185</v>
      </c>
      <c r="B958">
        <v>72</v>
      </c>
      <c r="C958" t="s">
        <v>40</v>
      </c>
      <c r="D958" t="s">
        <v>52</v>
      </c>
      <c r="E958" t="s">
        <v>42</v>
      </c>
      <c r="F958" t="s">
        <v>49</v>
      </c>
      <c r="G958">
        <v>5</v>
      </c>
      <c r="H958">
        <v>25</v>
      </c>
      <c r="I958">
        <v>3</v>
      </c>
      <c r="J958" t="s">
        <v>50</v>
      </c>
      <c r="K958" t="s">
        <v>46</v>
      </c>
      <c r="L958" t="s">
        <v>70</v>
      </c>
      <c r="M958">
        <v>460.96112154409519</v>
      </c>
      <c r="N958">
        <v>551</v>
      </c>
      <c r="O958">
        <v>280</v>
      </c>
      <c r="P958">
        <v>275</v>
      </c>
      <c r="Q958">
        <v>0</v>
      </c>
      <c r="R958">
        <v>0</v>
      </c>
      <c r="S958">
        <v>5.3230099791384085</v>
      </c>
      <c r="T958">
        <v>90.615999999999985</v>
      </c>
      <c r="U958">
        <v>1.11573792223403</v>
      </c>
      <c r="V958">
        <v>0.80288722813325297</v>
      </c>
      <c r="W958">
        <v>0.52082154240315903</v>
      </c>
      <c r="X958">
        <v>0.61908815691345198</v>
      </c>
      <c r="Y958">
        <v>1.5007680231051199</v>
      </c>
      <c r="Z958">
        <v>0.24292628533916899</v>
      </c>
      <c r="AA958">
        <v>8.5217386942517098E-2</v>
      </c>
      <c r="AB958">
        <v>3943</v>
      </c>
      <c r="AC958">
        <v>0</v>
      </c>
      <c r="AD958">
        <v>1</v>
      </c>
      <c r="AE958">
        <v>1.1088815174583</v>
      </c>
      <c r="AF958">
        <v>-0.23490791414575601</v>
      </c>
      <c r="AG958">
        <v>-1.0725357693163799</v>
      </c>
      <c r="AH958">
        <v>-0.66955152149408104</v>
      </c>
      <c r="AI958">
        <v>-0.155412391791276</v>
      </c>
      <c r="AJ958">
        <v>-0.12556776030483299</v>
      </c>
      <c r="AK958">
        <v>46.098678999999997</v>
      </c>
      <c r="AL958">
        <v>4.7359530000000003</v>
      </c>
      <c r="AM958">
        <v>49.442206599999999</v>
      </c>
      <c r="AN958">
        <v>1.0985132</v>
      </c>
    </row>
    <row r="959" spans="1:40" x14ac:dyDescent="0.35">
      <c r="A959">
        <v>1186</v>
      </c>
      <c r="B959">
        <v>57</v>
      </c>
      <c r="C959" t="s">
        <v>40</v>
      </c>
      <c r="D959" t="s">
        <v>66</v>
      </c>
      <c r="E959" t="s">
        <v>68</v>
      </c>
      <c r="F959" t="s">
        <v>49</v>
      </c>
      <c r="G959">
        <v>5</v>
      </c>
      <c r="H959">
        <v>25</v>
      </c>
      <c r="I959">
        <v>7</v>
      </c>
      <c r="J959" t="s">
        <v>56</v>
      </c>
      <c r="K959" t="s">
        <v>46</v>
      </c>
      <c r="L959" t="s">
        <v>67</v>
      </c>
      <c r="M959">
        <v>482.95913589856337</v>
      </c>
      <c r="N959">
        <v>645</v>
      </c>
      <c r="O959">
        <v>340</v>
      </c>
      <c r="P959">
        <v>256</v>
      </c>
      <c r="Q959">
        <v>0</v>
      </c>
      <c r="R959">
        <v>1.0986122886681098</v>
      </c>
      <c r="S959">
        <v>4.499809670330265</v>
      </c>
      <c r="T959">
        <v>90.053710317460329</v>
      </c>
      <c r="U959">
        <v>1.5728028449904734</v>
      </c>
      <c r="V959">
        <v>-0.577850340007529</v>
      </c>
      <c r="W959">
        <v>-0.32460727773589898</v>
      </c>
      <c r="X959">
        <v>-0.54369568891204501</v>
      </c>
      <c r="Y959">
        <v>-0.77598924050104101</v>
      </c>
      <c r="Z959">
        <v>0.47668876811384397</v>
      </c>
      <c r="AA959">
        <v>0.85617757356637403</v>
      </c>
      <c r="AB959">
        <v>2565</v>
      </c>
      <c r="AC959">
        <v>1</v>
      </c>
      <c r="AD959">
        <v>0</v>
      </c>
      <c r="AE959">
        <v>-0.72514205471140702</v>
      </c>
      <c r="AF959">
        <v>-0.47926543450702203</v>
      </c>
      <c r="AG959">
        <v>-1.02035593537091</v>
      </c>
      <c r="AH959">
        <v>-1.68746627676969</v>
      </c>
      <c r="AI959">
        <v>-2.3210867474281498</v>
      </c>
      <c r="AJ959">
        <v>-0.34558236293054101</v>
      </c>
      <c r="AK959">
        <v>46.303668000000002</v>
      </c>
      <c r="AL959">
        <v>4.8322269999999996</v>
      </c>
      <c r="AM959">
        <v>50.640682937000001</v>
      </c>
      <c r="AN959">
        <v>4.6610704270000003</v>
      </c>
    </row>
    <row r="960" spans="1:40" x14ac:dyDescent="0.35">
      <c r="A960">
        <v>1187</v>
      </c>
      <c r="B960">
        <v>57</v>
      </c>
      <c r="C960" t="s">
        <v>40</v>
      </c>
      <c r="D960" t="s">
        <v>41</v>
      </c>
      <c r="E960" t="s">
        <v>42</v>
      </c>
      <c r="F960" t="s">
        <v>49</v>
      </c>
      <c r="G960">
        <v>5</v>
      </c>
      <c r="H960">
        <v>25</v>
      </c>
      <c r="I960">
        <v>4</v>
      </c>
      <c r="J960" t="s">
        <v>56</v>
      </c>
      <c r="K960" t="s">
        <v>46</v>
      </c>
      <c r="L960" t="s">
        <v>69</v>
      </c>
      <c r="M960">
        <v>261.86729666281559</v>
      </c>
      <c r="N960">
        <v>346</v>
      </c>
      <c r="O960">
        <v>190</v>
      </c>
      <c r="P960">
        <v>163</v>
      </c>
      <c r="Q960">
        <v>2.3978952727983707</v>
      </c>
      <c r="R960">
        <v>4.5538768916005408</v>
      </c>
      <c r="S960">
        <v>5.4847969334906548</v>
      </c>
      <c r="T960">
        <v>93.296000000000006</v>
      </c>
      <c r="U960">
        <v>2.2325431437911538</v>
      </c>
      <c r="V960">
        <v>-0.44922684044461197</v>
      </c>
      <c r="W960">
        <v>-0.76855194782346203</v>
      </c>
      <c r="X960">
        <v>-0.44700324392789598</v>
      </c>
      <c r="Y960">
        <v>-0.846122564821426</v>
      </c>
      <c r="Z960">
        <v>-0.92679578564836795</v>
      </c>
      <c r="AA960">
        <v>0.86332342905974202</v>
      </c>
      <c r="AB960">
        <v>2050</v>
      </c>
      <c r="AC960">
        <v>1</v>
      </c>
      <c r="AD960">
        <v>2</v>
      </c>
      <c r="AE960">
        <v>-0.51011828243844404</v>
      </c>
      <c r="AF960">
        <v>0.88745975830205304</v>
      </c>
      <c r="AG960">
        <v>0.153999930595971</v>
      </c>
      <c r="AH960">
        <v>-0.907727584096514</v>
      </c>
      <c r="AI960">
        <v>-0.19567087175346301</v>
      </c>
      <c r="AJ960">
        <v>0.50296467059596095</v>
      </c>
      <c r="AK960">
        <v>47.177235000000003</v>
      </c>
      <c r="AL960">
        <v>4.964315</v>
      </c>
      <c r="AM960">
        <v>48.647500000000001</v>
      </c>
      <c r="AN960">
        <v>7.7044999999999995</v>
      </c>
    </row>
    <row r="961" spans="1:40" x14ac:dyDescent="0.35">
      <c r="A961">
        <v>1189</v>
      </c>
      <c r="B961">
        <v>42</v>
      </c>
      <c r="C961" t="s">
        <v>40</v>
      </c>
      <c r="D961" t="s">
        <v>66</v>
      </c>
      <c r="E961" t="s">
        <v>42</v>
      </c>
      <c r="F961" t="s">
        <v>43</v>
      </c>
      <c r="G961">
        <v>2</v>
      </c>
      <c r="H961">
        <v>4</v>
      </c>
      <c r="I961">
        <v>4</v>
      </c>
      <c r="J961" t="s">
        <v>56</v>
      </c>
      <c r="K961" t="s">
        <v>46</v>
      </c>
      <c r="L961" t="s">
        <v>47</v>
      </c>
      <c r="M961">
        <v>616.17410665584759</v>
      </c>
      <c r="N961">
        <v>757</v>
      </c>
      <c r="O961">
        <v>474</v>
      </c>
      <c r="P961">
        <v>309</v>
      </c>
      <c r="Q961">
        <v>5.9107966440405271</v>
      </c>
      <c r="R961">
        <v>6.4997870406558542</v>
      </c>
      <c r="S961">
        <v>8.6415324656718457</v>
      </c>
      <c r="T961">
        <v>89.265350482850479</v>
      </c>
      <c r="U961">
        <v>1.4417786561042019</v>
      </c>
      <c r="V961">
        <v>-0.22886708829074301</v>
      </c>
      <c r="W961">
        <v>0.28745285629339301</v>
      </c>
      <c r="X961">
        <v>-0.15627425222847</v>
      </c>
      <c r="Y961">
        <v>1.45226138127617</v>
      </c>
      <c r="Z961">
        <v>0.98247225355557</v>
      </c>
      <c r="AA961">
        <v>0.627775520474398</v>
      </c>
      <c r="AB961">
        <v>3362.2959371744532</v>
      </c>
      <c r="AC961">
        <v>2.8998317172850387</v>
      </c>
      <c r="AD961">
        <v>2.9499158586425196</v>
      </c>
      <c r="AE961">
        <v>1.06273170356322</v>
      </c>
      <c r="AF961">
        <v>-1.11209614512577</v>
      </c>
      <c r="AG961">
        <v>0.60700326165654395</v>
      </c>
      <c r="AH961">
        <v>-0.33610666830618102</v>
      </c>
      <c r="AI961">
        <v>4.7019136453782001E-2</v>
      </c>
      <c r="AJ961">
        <v>8.3342759702343699E-2</v>
      </c>
      <c r="AK961">
        <v>43.3535629403058</v>
      </c>
      <c r="AL961">
        <v>3.21615314793977</v>
      </c>
      <c r="AM961">
        <v>48.856372813999997</v>
      </c>
      <c r="AN961">
        <v>2.3525296170000001</v>
      </c>
    </row>
    <row r="962" spans="1:40" x14ac:dyDescent="0.35">
      <c r="A962">
        <v>1191</v>
      </c>
      <c r="B962">
        <v>72</v>
      </c>
      <c r="C962" t="s">
        <v>40</v>
      </c>
      <c r="D962" t="s">
        <v>52</v>
      </c>
      <c r="E962" t="s">
        <v>42</v>
      </c>
      <c r="F962" t="s">
        <v>49</v>
      </c>
      <c r="G962">
        <v>4</v>
      </c>
      <c r="H962">
        <v>16</v>
      </c>
      <c r="I962">
        <v>5</v>
      </c>
      <c r="J962" t="s">
        <v>56</v>
      </c>
      <c r="K962" t="s">
        <v>46</v>
      </c>
      <c r="L962" t="s">
        <v>72</v>
      </c>
      <c r="M962">
        <v>669.85703915216106</v>
      </c>
      <c r="N962">
        <v>790</v>
      </c>
      <c r="O962">
        <v>490</v>
      </c>
      <c r="P962">
        <v>471</v>
      </c>
      <c r="Q962">
        <v>0.69314718055994529</v>
      </c>
      <c r="R962">
        <v>1.3862943611198906</v>
      </c>
      <c r="S962">
        <v>4.5538768916005408</v>
      </c>
      <c r="T962">
        <v>89.340161030595823</v>
      </c>
      <c r="U962">
        <v>1.4712304197281412</v>
      </c>
      <c r="V962">
        <v>0.59716251398508702</v>
      </c>
      <c r="W962">
        <v>0.91068296986709796</v>
      </c>
      <c r="X962">
        <v>1.2273243988355</v>
      </c>
      <c r="Y962">
        <v>-0.4121809470949</v>
      </c>
      <c r="Z962">
        <v>-0.86472582726521097</v>
      </c>
      <c r="AA962">
        <v>-1.0172779374790899</v>
      </c>
      <c r="AB962">
        <v>1828.1689246701658</v>
      </c>
      <c r="AC962">
        <v>1.1127464888636687</v>
      </c>
      <c r="AD962">
        <v>1.8630656830756136</v>
      </c>
      <c r="AE962">
        <v>-0.53926882203722504</v>
      </c>
      <c r="AF962">
        <v>1.10108063509048</v>
      </c>
      <c r="AG962">
        <v>0.590006005035979</v>
      </c>
      <c r="AH962">
        <v>-0.58179692059013499</v>
      </c>
      <c r="AI962">
        <v>1.0749483228162</v>
      </c>
      <c r="AJ962">
        <v>-0.61178830749804203</v>
      </c>
      <c r="AK962">
        <v>44.503641999999999</v>
      </c>
      <c r="AL962">
        <v>1.1863669999999999</v>
      </c>
      <c r="AM962">
        <v>50.381999999999998</v>
      </c>
      <c r="AN962">
        <v>3.0920000000000001</v>
      </c>
    </row>
    <row r="963" spans="1:40" x14ac:dyDescent="0.35">
      <c r="A963">
        <v>1192</v>
      </c>
      <c r="B963">
        <v>57</v>
      </c>
      <c r="C963" t="s">
        <v>40</v>
      </c>
      <c r="D963" t="s">
        <v>52</v>
      </c>
      <c r="E963" t="s">
        <v>42</v>
      </c>
      <c r="F963" t="s">
        <v>49</v>
      </c>
      <c r="G963">
        <v>5</v>
      </c>
      <c r="H963">
        <v>25</v>
      </c>
      <c r="I963">
        <v>6</v>
      </c>
      <c r="J963" t="s">
        <v>50</v>
      </c>
      <c r="K963" t="s">
        <v>46</v>
      </c>
      <c r="L963" t="s">
        <v>72</v>
      </c>
      <c r="M963">
        <v>477.95972215716608</v>
      </c>
      <c r="N963">
        <v>671</v>
      </c>
      <c r="O963">
        <v>408</v>
      </c>
      <c r="P963">
        <v>514</v>
      </c>
      <c r="Q963">
        <v>0.69314718055994529</v>
      </c>
      <c r="R963">
        <v>1.3862943611198906</v>
      </c>
      <c r="S963">
        <v>4.5538768916005408</v>
      </c>
      <c r="T963">
        <v>89.340161030595823</v>
      </c>
      <c r="U963">
        <v>1.4712304197281412</v>
      </c>
      <c r="V963">
        <v>0.59716251398508702</v>
      </c>
      <c r="W963">
        <v>0.91068296986709796</v>
      </c>
      <c r="X963">
        <v>1.2273243988355</v>
      </c>
      <c r="Y963">
        <v>-0.4121809470949</v>
      </c>
      <c r="Z963">
        <v>-0.86472582726521097</v>
      </c>
      <c r="AA963">
        <v>-1.0172779374790899</v>
      </c>
      <c r="AB963">
        <v>1828.1689246701658</v>
      </c>
      <c r="AC963">
        <v>1.1127464888636687</v>
      </c>
      <c r="AD963">
        <v>1.8630656830756136</v>
      </c>
      <c r="AE963">
        <v>-0.53926882203722504</v>
      </c>
      <c r="AF963">
        <v>-0.47870981839054499</v>
      </c>
      <c r="AG963">
        <v>0.50348308429917699</v>
      </c>
      <c r="AH963">
        <v>-1.3222091539343701</v>
      </c>
      <c r="AI963">
        <v>0.15053628034494501</v>
      </c>
      <c r="AJ963">
        <v>-0.80639593081498195</v>
      </c>
      <c r="AK963">
        <v>44.503641999999999</v>
      </c>
      <c r="AL963">
        <v>1.1863669999999999</v>
      </c>
      <c r="AM963">
        <v>43.551072400000002</v>
      </c>
      <c r="AN963">
        <v>7.0105560000000002</v>
      </c>
    </row>
    <row r="964" spans="1:40" x14ac:dyDescent="0.35">
      <c r="A964">
        <v>1193</v>
      </c>
      <c r="B964">
        <v>57</v>
      </c>
      <c r="C964" t="s">
        <v>48</v>
      </c>
      <c r="D964" t="s">
        <v>66</v>
      </c>
      <c r="E964" t="s">
        <v>42</v>
      </c>
      <c r="F964" t="s">
        <v>49</v>
      </c>
      <c r="G964">
        <v>4</v>
      </c>
      <c r="H964">
        <v>16</v>
      </c>
      <c r="I964">
        <v>5</v>
      </c>
      <c r="J964" t="s">
        <v>56</v>
      </c>
      <c r="K964" t="s">
        <v>46</v>
      </c>
      <c r="L964" t="s">
        <v>59</v>
      </c>
      <c r="M964">
        <v>190.33174110274479</v>
      </c>
      <c r="N964">
        <v>224</v>
      </c>
      <c r="O964">
        <v>178</v>
      </c>
      <c r="P964">
        <v>97</v>
      </c>
      <c r="Q964">
        <v>1.3862943611198906</v>
      </c>
      <c r="R964">
        <v>1.3862943611198906</v>
      </c>
      <c r="S964">
        <v>4.9972122737641147</v>
      </c>
      <c r="T964">
        <v>90.035146103896111</v>
      </c>
      <c r="U964">
        <v>1.418823059726001</v>
      </c>
      <c r="V964">
        <v>-0.52223564926899602</v>
      </c>
      <c r="W964">
        <v>-0.46072710968150399</v>
      </c>
      <c r="X964">
        <v>-0.361786268345754</v>
      </c>
      <c r="Y964">
        <v>-0.552694479448822</v>
      </c>
      <c r="Z964">
        <v>2.1676297177028899E-2</v>
      </c>
      <c r="AA964">
        <v>0.625223797005378</v>
      </c>
      <c r="AB964">
        <v>2234.6992515788952</v>
      </c>
      <c r="AC964">
        <v>0</v>
      </c>
      <c r="AD964">
        <v>0.12112735591028891</v>
      </c>
      <c r="AE964">
        <v>-0.60610368582010199</v>
      </c>
      <c r="AF964">
        <v>-0.113689993695992</v>
      </c>
      <c r="AG964">
        <v>-0.76343137170186703</v>
      </c>
      <c r="AH964">
        <v>1.1661615934475</v>
      </c>
      <c r="AI964">
        <v>0.10746896941926699</v>
      </c>
      <c r="AJ964">
        <v>0.25427247557027</v>
      </c>
      <c r="AK964">
        <v>47.411035099999999</v>
      </c>
      <c r="AL964">
        <v>0.98369799999999996</v>
      </c>
      <c r="AM964">
        <v>48.856372813999997</v>
      </c>
      <c r="AN964">
        <v>2.3525296170000001</v>
      </c>
    </row>
    <row r="965" spans="1:40" x14ac:dyDescent="0.35">
      <c r="A965">
        <v>1194</v>
      </c>
      <c r="B965">
        <v>72</v>
      </c>
      <c r="C965" t="s">
        <v>48</v>
      </c>
      <c r="D965" t="s">
        <v>52</v>
      </c>
      <c r="E965" t="s">
        <v>42</v>
      </c>
      <c r="F965" t="s">
        <v>49</v>
      </c>
      <c r="G965">
        <v>5</v>
      </c>
      <c r="H965">
        <v>25</v>
      </c>
      <c r="I965">
        <v>4</v>
      </c>
      <c r="J965" t="s">
        <v>50</v>
      </c>
      <c r="K965" t="s">
        <v>46</v>
      </c>
      <c r="L965" t="s">
        <v>71</v>
      </c>
      <c r="M965">
        <v>461.99800786934787</v>
      </c>
      <c r="N965">
        <v>427</v>
      </c>
      <c r="O965">
        <v>220</v>
      </c>
      <c r="P965">
        <v>238</v>
      </c>
      <c r="Q965">
        <v>4.5747109785033828</v>
      </c>
      <c r="R965">
        <v>3.5263605246161616</v>
      </c>
      <c r="S965">
        <v>5.1416635565026603</v>
      </c>
      <c r="T965">
        <v>92.265120976563693</v>
      </c>
      <c r="U965">
        <v>2.9351954657362995</v>
      </c>
      <c r="V965">
        <v>-8.3509539921858403E-2</v>
      </c>
      <c r="W965">
        <v>-8.6188355584626702E-2</v>
      </c>
      <c r="X965">
        <v>-6.2117403422328299E-2</v>
      </c>
      <c r="Y965">
        <v>-0.51135009403950604</v>
      </c>
      <c r="Z965">
        <v>-0.669554030021006</v>
      </c>
      <c r="AA965">
        <v>-1.4915282051312999</v>
      </c>
      <c r="AB965">
        <v>1813.5248996931791</v>
      </c>
      <c r="AC965">
        <v>1.6535284399339156</v>
      </c>
      <c r="AD965">
        <v>0.49421760679726223</v>
      </c>
      <c r="AE965">
        <v>-0.18520258641298501</v>
      </c>
      <c r="AF965">
        <v>0.83418311757004804</v>
      </c>
      <c r="AG965">
        <v>0.63711534920393098</v>
      </c>
      <c r="AH965">
        <v>-0.56521538365734003</v>
      </c>
      <c r="AI965">
        <v>0.81713031583588502</v>
      </c>
      <c r="AJ965">
        <v>0.442455059569827</v>
      </c>
      <c r="AK965">
        <v>45.071283999999999</v>
      </c>
      <c r="AL965">
        <v>4.8370730000000002</v>
      </c>
      <c r="AM965">
        <v>48.802</v>
      </c>
      <c r="AN965">
        <v>2.1720000000000002</v>
      </c>
    </row>
    <row r="966" spans="1:40" x14ac:dyDescent="0.35">
      <c r="A966">
        <v>1195</v>
      </c>
      <c r="B966">
        <v>57</v>
      </c>
      <c r="C966" t="s">
        <v>40</v>
      </c>
      <c r="D966" t="s">
        <v>41</v>
      </c>
      <c r="E966" t="s">
        <v>42</v>
      </c>
      <c r="F966" t="s">
        <v>49</v>
      </c>
      <c r="G966">
        <v>5</v>
      </c>
      <c r="H966">
        <v>25</v>
      </c>
      <c r="I966">
        <v>6</v>
      </c>
      <c r="J966" t="s">
        <v>56</v>
      </c>
      <c r="K966" t="s">
        <v>46</v>
      </c>
      <c r="L966" t="s">
        <v>75</v>
      </c>
      <c r="M966">
        <v>334.79039592227753</v>
      </c>
      <c r="N966">
        <v>405</v>
      </c>
      <c r="O966">
        <v>256</v>
      </c>
      <c r="P966">
        <v>185</v>
      </c>
      <c r="Q966">
        <v>0</v>
      </c>
      <c r="R966">
        <v>0</v>
      </c>
      <c r="S966">
        <v>3.5553480614894135</v>
      </c>
      <c r="T966">
        <v>87.721111111111114</v>
      </c>
      <c r="U966">
        <v>1.8185946276597997</v>
      </c>
      <c r="V966">
        <v>-1.01058566247205</v>
      </c>
      <c r="W966">
        <v>-0.72487722485772399</v>
      </c>
      <c r="X966">
        <v>-0.83814251792544203</v>
      </c>
      <c r="Y966">
        <v>0.643019057251217</v>
      </c>
      <c r="Z966">
        <v>0.97010361819212798</v>
      </c>
      <c r="AA966">
        <v>-1.0557286875948499</v>
      </c>
      <c r="AB966">
        <v>4179</v>
      </c>
      <c r="AC966">
        <v>0</v>
      </c>
      <c r="AD966">
        <v>0</v>
      </c>
      <c r="AE966">
        <v>0.59808311135132897</v>
      </c>
      <c r="AF966">
        <v>0.13584787342875701</v>
      </c>
      <c r="AG966">
        <v>-0.50513927721640195</v>
      </c>
      <c r="AH966">
        <v>1.0959268803286899</v>
      </c>
      <c r="AI966">
        <v>0.57498189620140705</v>
      </c>
      <c r="AJ966">
        <v>-1.0547347059446699</v>
      </c>
      <c r="AK966">
        <v>47.087721999999999</v>
      </c>
      <c r="AL966">
        <v>-1.2817419999999999</v>
      </c>
      <c r="AM966">
        <v>48.856372813999997</v>
      </c>
      <c r="AN966">
        <v>2.3525296170000001</v>
      </c>
    </row>
    <row r="967" spans="1:40" x14ac:dyDescent="0.35">
      <c r="A967">
        <v>1196</v>
      </c>
      <c r="B967">
        <v>42</v>
      </c>
      <c r="C967" t="s">
        <v>40</v>
      </c>
      <c r="D967" t="s">
        <v>41</v>
      </c>
      <c r="E967" t="s">
        <v>42</v>
      </c>
      <c r="F967" t="s">
        <v>61</v>
      </c>
      <c r="G967">
        <v>6</v>
      </c>
      <c r="H967">
        <v>36</v>
      </c>
      <c r="I967">
        <v>5</v>
      </c>
      <c r="J967" t="s">
        <v>50</v>
      </c>
      <c r="K967" t="s">
        <v>46</v>
      </c>
      <c r="L967" t="s">
        <v>47</v>
      </c>
      <c r="M967">
        <v>657.40153345286467</v>
      </c>
      <c r="N967">
        <v>811</v>
      </c>
      <c r="O967">
        <v>486</v>
      </c>
      <c r="P967">
        <v>496</v>
      </c>
      <c r="Q967">
        <v>5.9107966440405271</v>
      </c>
      <c r="R967">
        <v>6.4997870406558542</v>
      </c>
      <c r="S967">
        <v>8.6415324656718457</v>
      </c>
      <c r="T967">
        <v>89.265350482850479</v>
      </c>
      <c r="U967">
        <v>1.4417786561042019</v>
      </c>
      <c r="V967">
        <v>-0.22886708829074301</v>
      </c>
      <c r="W967">
        <v>0.28745285629339301</v>
      </c>
      <c r="X967">
        <v>-0.15627425222847</v>
      </c>
      <c r="Y967">
        <v>1.45226138127617</v>
      </c>
      <c r="Z967">
        <v>0.98247225355557</v>
      </c>
      <c r="AA967">
        <v>0.627775520474398</v>
      </c>
      <c r="AB967">
        <v>3362.2959371744532</v>
      </c>
      <c r="AC967">
        <v>2.8998317172850387</v>
      </c>
      <c r="AD967">
        <v>2.9499158586425196</v>
      </c>
      <c r="AE967">
        <v>1.06273170356322</v>
      </c>
      <c r="AF967">
        <v>-0.65793719386168403</v>
      </c>
      <c r="AG967">
        <v>-0.62176585871069501</v>
      </c>
      <c r="AH967">
        <v>1.15766087247764</v>
      </c>
      <c r="AI967">
        <v>-1.2267850270907099</v>
      </c>
      <c r="AJ967">
        <v>0.95905822459991896</v>
      </c>
      <c r="AK967">
        <v>43.3535629403058</v>
      </c>
      <c r="AL967">
        <v>3.21615314793977</v>
      </c>
      <c r="AM967">
        <v>49.234999999999999</v>
      </c>
      <c r="AN967">
        <v>3.9889999999999999</v>
      </c>
    </row>
    <row r="968" spans="1:40" x14ac:dyDescent="0.35">
      <c r="A968">
        <v>1197</v>
      </c>
      <c r="B968">
        <v>72</v>
      </c>
      <c r="C968" t="s">
        <v>40</v>
      </c>
      <c r="D968" t="s">
        <v>52</v>
      </c>
      <c r="E968" t="s">
        <v>42</v>
      </c>
      <c r="F968" t="s">
        <v>43</v>
      </c>
      <c r="G968">
        <v>7</v>
      </c>
      <c r="H968">
        <v>49</v>
      </c>
      <c r="I968">
        <v>6</v>
      </c>
      <c r="J968" t="s">
        <v>50</v>
      </c>
      <c r="K968" t="s">
        <v>46</v>
      </c>
      <c r="L968" t="s">
        <v>55</v>
      </c>
      <c r="M968">
        <v>55.854394084243417</v>
      </c>
      <c r="N968">
        <v>90</v>
      </c>
      <c r="O968">
        <v>106</v>
      </c>
      <c r="P968">
        <v>173</v>
      </c>
      <c r="Q968">
        <v>2.0794415416798357</v>
      </c>
      <c r="R968">
        <v>2.3025850929940459</v>
      </c>
      <c r="S968">
        <v>3.2580965380214821</v>
      </c>
      <c r="T968">
        <v>95.12</v>
      </c>
      <c r="U968">
        <v>0</v>
      </c>
      <c r="V968">
        <v>1.89305099905856</v>
      </c>
      <c r="W968">
        <v>0.59880690621441701</v>
      </c>
      <c r="X968">
        <v>1.1856460040685599</v>
      </c>
      <c r="Y968">
        <v>-0.15565097555555901</v>
      </c>
      <c r="Z968">
        <v>-0.22748295097212001</v>
      </c>
      <c r="AA968">
        <v>1.0415013010201299</v>
      </c>
      <c r="AB968">
        <v>2939.9504036908884</v>
      </c>
      <c r="AC968">
        <v>2</v>
      </c>
      <c r="AD968">
        <v>0.42868127643214149</v>
      </c>
      <c r="AE968">
        <v>-2.40641039566141E-2</v>
      </c>
      <c r="AF968">
        <v>0.712256767178853</v>
      </c>
      <c r="AG968">
        <v>-0.63402922346884905</v>
      </c>
      <c r="AH968">
        <v>1.0736860486422399</v>
      </c>
      <c r="AI968">
        <v>0.74318681618151405</v>
      </c>
      <c r="AJ968">
        <v>1.13219827916871</v>
      </c>
      <c r="AK968">
        <v>48.0777517</v>
      </c>
      <c r="AL968">
        <v>7.3579641000000002</v>
      </c>
      <c r="AM968">
        <v>48.008799999999994</v>
      </c>
      <c r="AN968">
        <v>6.6146000000000003</v>
      </c>
    </row>
    <row r="969" spans="1:40" x14ac:dyDescent="0.35">
      <c r="A969">
        <v>1200</v>
      </c>
      <c r="B969">
        <v>72</v>
      </c>
      <c r="C969" t="s">
        <v>40</v>
      </c>
      <c r="D969" t="s">
        <v>52</v>
      </c>
      <c r="E969" t="s">
        <v>42</v>
      </c>
      <c r="F969" t="s">
        <v>49</v>
      </c>
      <c r="G969">
        <v>5</v>
      </c>
      <c r="H969">
        <v>25</v>
      </c>
      <c r="I969">
        <v>6</v>
      </c>
      <c r="J969" t="s">
        <v>50</v>
      </c>
      <c r="K969" t="s">
        <v>46</v>
      </c>
      <c r="L969" t="s">
        <v>67</v>
      </c>
      <c r="M969">
        <v>434.46879897627502</v>
      </c>
      <c r="N969">
        <v>520</v>
      </c>
      <c r="O969">
        <v>270</v>
      </c>
      <c r="P969">
        <v>312</v>
      </c>
      <c r="Q969">
        <v>0</v>
      </c>
      <c r="R969">
        <v>1.0986122886681098</v>
      </c>
      <c r="S969">
        <v>4.499809670330265</v>
      </c>
      <c r="T969">
        <v>90.053710317460329</v>
      </c>
      <c r="U969">
        <v>1.5728028449904734</v>
      </c>
      <c r="V969">
        <v>-0.577850340007529</v>
      </c>
      <c r="W969">
        <v>-0.32460727773589898</v>
      </c>
      <c r="X969">
        <v>-0.54369568891204501</v>
      </c>
      <c r="Y969">
        <v>-0.77598924050104101</v>
      </c>
      <c r="Z969">
        <v>0.47668876811384397</v>
      </c>
      <c r="AA969">
        <v>0.85617757356637403</v>
      </c>
      <c r="AB969">
        <v>2565</v>
      </c>
      <c r="AC969">
        <v>1</v>
      </c>
      <c r="AD969">
        <v>0</v>
      </c>
      <c r="AE969">
        <v>-0.72514205471140702</v>
      </c>
      <c r="AF969">
        <v>0.17336022632335099</v>
      </c>
      <c r="AG969">
        <v>0.80408867725619504</v>
      </c>
      <c r="AH969">
        <v>-0.52616140049348104</v>
      </c>
      <c r="AI969">
        <v>-1.28278029946292</v>
      </c>
      <c r="AJ969">
        <v>0.75659014976219596</v>
      </c>
      <c r="AK969">
        <v>46.303668000000002</v>
      </c>
      <c r="AL969">
        <v>4.8322269999999996</v>
      </c>
      <c r="AM969">
        <v>42.622</v>
      </c>
      <c r="AN969">
        <v>3.016</v>
      </c>
    </row>
    <row r="970" spans="1:40" x14ac:dyDescent="0.35">
      <c r="A970">
        <v>1201</v>
      </c>
      <c r="B970">
        <v>57</v>
      </c>
      <c r="C970" t="s">
        <v>40</v>
      </c>
      <c r="D970" t="s">
        <v>41</v>
      </c>
      <c r="E970" t="s">
        <v>42</v>
      </c>
      <c r="F970" t="s">
        <v>49</v>
      </c>
      <c r="G970">
        <v>3</v>
      </c>
      <c r="H970">
        <v>9</v>
      </c>
      <c r="I970">
        <v>7</v>
      </c>
      <c r="J970" t="s">
        <v>56</v>
      </c>
      <c r="K970" t="s">
        <v>46</v>
      </c>
      <c r="L970" t="s">
        <v>65</v>
      </c>
      <c r="M970">
        <v>663.44489209647952</v>
      </c>
      <c r="N970">
        <v>909</v>
      </c>
      <c r="O970">
        <v>470</v>
      </c>
      <c r="P970">
        <v>477</v>
      </c>
      <c r="Q970">
        <v>0</v>
      </c>
      <c r="R970">
        <v>0</v>
      </c>
      <c r="S970">
        <v>4.4543472962535073</v>
      </c>
      <c r="T970">
        <v>89.333044733044744</v>
      </c>
      <c r="U970">
        <v>1.2554235437523662</v>
      </c>
      <c r="V970">
        <v>1.64975517953679</v>
      </c>
      <c r="W970">
        <v>2.4220969657957299</v>
      </c>
      <c r="X970">
        <v>1.68128863126442</v>
      </c>
      <c r="Y970">
        <v>2.0553398017137301</v>
      </c>
      <c r="Z970">
        <v>2.0921400018840099</v>
      </c>
      <c r="AA970">
        <v>2.0596698968962701</v>
      </c>
      <c r="AB970">
        <v>3262.71</v>
      </c>
      <c r="AC970">
        <v>0.33</v>
      </c>
      <c r="AD970">
        <v>0.66</v>
      </c>
      <c r="AE970">
        <v>1.9221838973381</v>
      </c>
      <c r="AF970">
        <v>-0.66335242569438502</v>
      </c>
      <c r="AG970">
        <v>-0.204991256302305</v>
      </c>
      <c r="AH970">
        <v>-1.34645419507047</v>
      </c>
      <c r="AI970">
        <v>-3.2013606558711798</v>
      </c>
      <c r="AJ970">
        <v>-2.5889417487630899</v>
      </c>
      <c r="AK970">
        <v>43.537466000000002</v>
      </c>
      <c r="AL970">
        <v>6.4627330000000001</v>
      </c>
      <c r="AM970">
        <v>48.212000000000003</v>
      </c>
      <c r="AN970">
        <v>1.1454444444444447</v>
      </c>
    </row>
    <row r="971" spans="1:40" x14ac:dyDescent="0.35">
      <c r="A971">
        <v>1202</v>
      </c>
      <c r="B971">
        <v>72</v>
      </c>
      <c r="C971" t="s">
        <v>40</v>
      </c>
      <c r="D971" t="s">
        <v>52</v>
      </c>
      <c r="E971" t="s">
        <v>42</v>
      </c>
      <c r="F971" t="s">
        <v>49</v>
      </c>
      <c r="G971">
        <v>4</v>
      </c>
      <c r="H971">
        <v>16</v>
      </c>
      <c r="I971">
        <v>5</v>
      </c>
      <c r="J971" t="s">
        <v>45</v>
      </c>
      <c r="K971" t="s">
        <v>46</v>
      </c>
      <c r="L971" t="s">
        <v>65</v>
      </c>
      <c r="M971">
        <v>385.42009733699132</v>
      </c>
      <c r="N971">
        <v>492</v>
      </c>
      <c r="O971">
        <v>290</v>
      </c>
      <c r="P971">
        <v>466</v>
      </c>
      <c r="Q971">
        <v>0</v>
      </c>
      <c r="R971">
        <v>0</v>
      </c>
      <c r="S971">
        <v>4.4543472962535073</v>
      </c>
      <c r="T971">
        <v>89.333044733044744</v>
      </c>
      <c r="U971">
        <v>1.2554235437523662</v>
      </c>
      <c r="V971">
        <v>1.64975517953679</v>
      </c>
      <c r="W971">
        <v>2.4220969657957299</v>
      </c>
      <c r="X971">
        <v>1.68128863126442</v>
      </c>
      <c r="Y971">
        <v>2.0553398017137301</v>
      </c>
      <c r="Z971">
        <v>2.0921400018840099</v>
      </c>
      <c r="AA971">
        <v>2.0596698968962701</v>
      </c>
      <c r="AB971">
        <v>3262.71</v>
      </c>
      <c r="AC971">
        <v>0.33</v>
      </c>
      <c r="AD971">
        <v>0.66</v>
      </c>
      <c r="AE971">
        <v>1.9221838973381</v>
      </c>
      <c r="AF971">
        <v>0.46217292857252701</v>
      </c>
      <c r="AG971">
        <v>8.5899304126945894E-2</v>
      </c>
      <c r="AH971">
        <v>0.73823971135907795</v>
      </c>
      <c r="AI971">
        <v>-1.49885859091531</v>
      </c>
      <c r="AJ971">
        <v>1.15079773362495</v>
      </c>
      <c r="AK971">
        <v>43.537466000000002</v>
      </c>
      <c r="AL971">
        <v>6.4627330000000001</v>
      </c>
      <c r="AM971">
        <v>43.759</v>
      </c>
      <c r="AN971">
        <v>1.6870000000000001</v>
      </c>
    </row>
    <row r="972" spans="1:40" x14ac:dyDescent="0.35">
      <c r="A972">
        <v>1203</v>
      </c>
      <c r="B972">
        <v>72</v>
      </c>
      <c r="C972" t="s">
        <v>40</v>
      </c>
      <c r="D972" t="s">
        <v>52</v>
      </c>
      <c r="E972" t="s">
        <v>42</v>
      </c>
      <c r="F972" t="s">
        <v>49</v>
      </c>
      <c r="G972">
        <v>5</v>
      </c>
      <c r="H972">
        <v>25</v>
      </c>
      <c r="I972">
        <v>6</v>
      </c>
      <c r="J972" t="s">
        <v>50</v>
      </c>
      <c r="K972" t="s">
        <v>46</v>
      </c>
      <c r="L972" t="s">
        <v>76</v>
      </c>
      <c r="M972">
        <v>370.44420077856972</v>
      </c>
      <c r="N972">
        <v>415</v>
      </c>
      <c r="O972">
        <v>276</v>
      </c>
      <c r="P972">
        <v>262</v>
      </c>
      <c r="Q972">
        <v>0</v>
      </c>
      <c r="R972">
        <v>1.0986122886681098</v>
      </c>
      <c r="S972">
        <v>4.1588830833596715</v>
      </c>
      <c r="T972">
        <v>91.226666666666674</v>
      </c>
      <c r="U972">
        <v>1.418823059726001</v>
      </c>
      <c r="V972">
        <v>-0.39095273818515502</v>
      </c>
      <c r="W972">
        <v>-0.53446083104759001</v>
      </c>
      <c r="X972">
        <v>-0.40804429067029002</v>
      </c>
      <c r="Y972">
        <v>-0.56789545922357498</v>
      </c>
      <c r="Z972">
        <v>-0.94760790482486201</v>
      </c>
      <c r="AA972">
        <v>-1.0848673571571601</v>
      </c>
      <c r="AB972">
        <v>1770.5103102717287</v>
      </c>
      <c r="AC972">
        <v>0.28213528618230871</v>
      </c>
      <c r="AD972">
        <v>1.7130468298323378</v>
      </c>
      <c r="AE972">
        <v>-1.13486126839574</v>
      </c>
      <c r="AF972">
        <v>-0.45772316067270002</v>
      </c>
      <c r="AG972">
        <v>0.84612749294137701</v>
      </c>
      <c r="AH972">
        <v>0.93413212806478896</v>
      </c>
      <c r="AI972">
        <v>-0.59575439654735496</v>
      </c>
      <c r="AJ972">
        <v>1.0740739139362701</v>
      </c>
      <c r="AK972">
        <v>47.330690599999997</v>
      </c>
      <c r="AL972">
        <v>2.8390453999999998</v>
      </c>
      <c r="AM972">
        <v>50.655000000000001</v>
      </c>
      <c r="AN972">
        <v>3.07</v>
      </c>
    </row>
    <row r="973" spans="1:40" x14ac:dyDescent="0.35">
      <c r="A973">
        <v>1205</v>
      </c>
      <c r="B973">
        <v>57</v>
      </c>
      <c r="C973" t="s">
        <v>40</v>
      </c>
      <c r="D973" t="s">
        <v>41</v>
      </c>
      <c r="E973" t="s">
        <v>42</v>
      </c>
      <c r="F973" t="s">
        <v>49</v>
      </c>
      <c r="G973">
        <v>5</v>
      </c>
      <c r="H973">
        <v>25</v>
      </c>
      <c r="I973">
        <v>5</v>
      </c>
      <c r="J973" t="s">
        <v>56</v>
      </c>
      <c r="K973" t="s">
        <v>46</v>
      </c>
      <c r="L973" t="s">
        <v>62</v>
      </c>
      <c r="M973">
        <v>136.83197892668721</v>
      </c>
      <c r="N973">
        <v>166</v>
      </c>
      <c r="O973">
        <v>140</v>
      </c>
      <c r="P973">
        <v>165</v>
      </c>
      <c r="Q973">
        <v>0.69314718055994529</v>
      </c>
      <c r="R973">
        <v>3.2580965380214821</v>
      </c>
      <c r="S973">
        <v>3.2580965380214821</v>
      </c>
      <c r="T973">
        <v>95.68</v>
      </c>
      <c r="U973">
        <v>0</v>
      </c>
      <c r="V973">
        <v>1.82802042479695</v>
      </c>
      <c r="W973">
        <v>0.99424279543483596</v>
      </c>
      <c r="X973">
        <v>0.99177342203587404</v>
      </c>
      <c r="Y973">
        <v>-0.96278755162326501</v>
      </c>
      <c r="Z973">
        <v>-0.75605764486205096</v>
      </c>
      <c r="AA973">
        <v>-0.80037586101695801</v>
      </c>
      <c r="AB973">
        <v>2092.91</v>
      </c>
      <c r="AC973">
        <v>0</v>
      </c>
      <c r="AD973">
        <v>2.1</v>
      </c>
      <c r="AE973">
        <v>-1.0768626388726401</v>
      </c>
      <c r="AF973">
        <v>-0.31335908053789102</v>
      </c>
      <c r="AG973">
        <v>-1.10794849332398</v>
      </c>
      <c r="AH973">
        <v>-0.99238982222938499</v>
      </c>
      <c r="AI973">
        <v>-0.162741910405962</v>
      </c>
      <c r="AJ973">
        <v>0.16842592145384799</v>
      </c>
      <c r="AK973">
        <v>49.042560999999999</v>
      </c>
      <c r="AL973">
        <v>3.9528660000000002</v>
      </c>
      <c r="AM973">
        <v>48.802999999999997</v>
      </c>
      <c r="AN973">
        <v>2.1179999999999999</v>
      </c>
    </row>
    <row r="974" spans="1:40" x14ac:dyDescent="0.35">
      <c r="A974">
        <v>1206</v>
      </c>
      <c r="B974">
        <v>72</v>
      </c>
      <c r="C974" t="s">
        <v>40</v>
      </c>
      <c r="D974" t="s">
        <v>52</v>
      </c>
      <c r="E974" t="s">
        <v>42</v>
      </c>
      <c r="F974" t="s">
        <v>49</v>
      </c>
      <c r="G974">
        <v>4</v>
      </c>
      <c r="H974">
        <v>16</v>
      </c>
      <c r="I974">
        <v>5</v>
      </c>
      <c r="J974" t="s">
        <v>56</v>
      </c>
      <c r="K974" t="s">
        <v>46</v>
      </c>
      <c r="L974" t="s">
        <v>71</v>
      </c>
      <c r="M974">
        <v>54.851261507745583</v>
      </c>
      <c r="N974">
        <v>107</v>
      </c>
      <c r="O974">
        <v>80</v>
      </c>
      <c r="P974">
        <v>88</v>
      </c>
      <c r="Q974">
        <v>4.5747109785033828</v>
      </c>
      <c r="R974">
        <v>3.5263605246161616</v>
      </c>
      <c r="S974">
        <v>5.1416635565026603</v>
      </c>
      <c r="T974">
        <v>92.265120976563693</v>
      </c>
      <c r="U974">
        <v>2.9351954657362995</v>
      </c>
      <c r="V974">
        <v>-8.3509539921858403E-2</v>
      </c>
      <c r="W974">
        <v>-8.6188355584626702E-2</v>
      </c>
      <c r="X974">
        <v>-6.2117403422328299E-2</v>
      </c>
      <c r="Y974">
        <v>-0.51135009403950604</v>
      </c>
      <c r="Z974">
        <v>-0.669554030021006</v>
      </c>
      <c r="AA974">
        <v>-1.4915282051312999</v>
      </c>
      <c r="AB974">
        <v>1813.5248996931791</v>
      </c>
      <c r="AC974">
        <v>1.6535284399339156</v>
      </c>
      <c r="AD974">
        <v>0.49421760679726223</v>
      </c>
      <c r="AE974">
        <v>-0.18520258641298501</v>
      </c>
      <c r="AF974">
        <v>0.70978411663863605</v>
      </c>
      <c r="AG974">
        <v>-0.143813275513514</v>
      </c>
      <c r="AH974">
        <v>1.04933822283992E-2</v>
      </c>
      <c r="AI974">
        <v>0.127844748507002</v>
      </c>
      <c r="AJ974">
        <v>-0.186809656349405</v>
      </c>
      <c r="AK974">
        <v>45.071283999999999</v>
      </c>
      <c r="AL974">
        <v>4.8370730000000002</v>
      </c>
      <c r="AM974">
        <v>45.537300000000002</v>
      </c>
      <c r="AN974">
        <v>4.6095000000000006</v>
      </c>
    </row>
    <row r="975" spans="1:40" x14ac:dyDescent="0.35">
      <c r="A975">
        <v>1209</v>
      </c>
      <c r="B975">
        <v>72</v>
      </c>
      <c r="C975" t="s">
        <v>40</v>
      </c>
      <c r="D975" t="s">
        <v>52</v>
      </c>
      <c r="E975" t="s">
        <v>42</v>
      </c>
      <c r="F975" t="s">
        <v>49</v>
      </c>
      <c r="G975">
        <v>5</v>
      </c>
      <c r="H975">
        <v>25</v>
      </c>
      <c r="I975">
        <v>4</v>
      </c>
      <c r="J975" t="s">
        <v>56</v>
      </c>
      <c r="K975" t="s">
        <v>46</v>
      </c>
      <c r="L975" t="s">
        <v>54</v>
      </c>
      <c r="M975">
        <v>453.13892030586601</v>
      </c>
      <c r="N975">
        <v>572</v>
      </c>
      <c r="O975">
        <v>360</v>
      </c>
      <c r="P975">
        <v>535</v>
      </c>
      <c r="Q975">
        <v>3.9889840465642745</v>
      </c>
      <c r="R975">
        <v>3.0910424533583161</v>
      </c>
      <c r="S975">
        <v>4.1271343850450917</v>
      </c>
      <c r="T975">
        <v>92.826666666666668</v>
      </c>
      <c r="U975">
        <v>2.9827057067926286</v>
      </c>
      <c r="V975">
        <v>-0.16604708794949699</v>
      </c>
      <c r="W975">
        <v>-0.150727876652859</v>
      </c>
      <c r="X975">
        <v>-0.19602043866096</v>
      </c>
      <c r="Y975">
        <v>1.4483117406157899</v>
      </c>
      <c r="Z975">
        <v>1.7680602694732599</v>
      </c>
      <c r="AA975">
        <v>0.26366440732357699</v>
      </c>
      <c r="AB975">
        <v>4236</v>
      </c>
      <c r="AC975">
        <v>0</v>
      </c>
      <c r="AD975">
        <v>4</v>
      </c>
      <c r="AE975">
        <v>1.6751267091712101</v>
      </c>
      <c r="AF975">
        <v>3.7854766151098798E-2</v>
      </c>
      <c r="AG975">
        <v>0.61945630547771702</v>
      </c>
      <c r="AH975">
        <v>-0.58297848534248198</v>
      </c>
      <c r="AI975">
        <v>0.190467276425276</v>
      </c>
      <c r="AJ975">
        <v>0.20802683236237199</v>
      </c>
      <c r="AK975">
        <v>44.917983300000003</v>
      </c>
      <c r="AL975">
        <v>-0.22352169999999999</v>
      </c>
      <c r="AM975">
        <v>47.997</v>
      </c>
      <c r="AN975">
        <v>-4.0910000000000002</v>
      </c>
    </row>
    <row r="976" spans="1:40" x14ac:dyDescent="0.35">
      <c r="A976">
        <v>1210</v>
      </c>
      <c r="B976">
        <v>72</v>
      </c>
      <c r="C976" t="s">
        <v>40</v>
      </c>
      <c r="D976" t="s">
        <v>52</v>
      </c>
      <c r="E976" t="s">
        <v>42</v>
      </c>
      <c r="F976" t="s">
        <v>49</v>
      </c>
      <c r="G976">
        <v>5</v>
      </c>
      <c r="H976">
        <v>25</v>
      </c>
      <c r="I976">
        <v>7</v>
      </c>
      <c r="J976" t="s">
        <v>56</v>
      </c>
      <c r="K976" t="s">
        <v>46</v>
      </c>
      <c r="L976" t="s">
        <v>72</v>
      </c>
      <c r="M976">
        <v>644.29297216880332</v>
      </c>
      <c r="N976">
        <v>816</v>
      </c>
      <c r="O976">
        <v>499</v>
      </c>
      <c r="P976">
        <v>338</v>
      </c>
      <c r="Q976">
        <v>0.69314718055994529</v>
      </c>
      <c r="R976">
        <v>1.3862943611198906</v>
      </c>
      <c r="S976">
        <v>4.5538768916005408</v>
      </c>
      <c r="T976">
        <v>89.340161030595823</v>
      </c>
      <c r="U976">
        <v>1.4712304197281412</v>
      </c>
      <c r="V976">
        <v>0.59716251398508702</v>
      </c>
      <c r="W976">
        <v>0.91068296986709796</v>
      </c>
      <c r="X976">
        <v>1.2273243988355</v>
      </c>
      <c r="Y976">
        <v>-0.4121809470949</v>
      </c>
      <c r="Z976">
        <v>-0.86472582726521097</v>
      </c>
      <c r="AA976">
        <v>-1.0172779374790899</v>
      </c>
      <c r="AB976">
        <v>1828.1689246701658</v>
      </c>
      <c r="AC976">
        <v>1.1127464888636687</v>
      </c>
      <c r="AD976">
        <v>1.8630656830756136</v>
      </c>
      <c r="AE976">
        <v>-0.53926882203722504</v>
      </c>
      <c r="AF976">
        <v>-0.268506652665014</v>
      </c>
      <c r="AG976">
        <v>0.59326362982233505</v>
      </c>
      <c r="AH976">
        <v>-1.4990681936388899E-2</v>
      </c>
      <c r="AI976">
        <v>0.19841208864806301</v>
      </c>
      <c r="AJ976">
        <v>-0.66020312393034497</v>
      </c>
      <c r="AK976">
        <v>44.853456999999999</v>
      </c>
      <c r="AL976">
        <v>0.48753099999999999</v>
      </c>
      <c r="AM976">
        <v>50.344499999999996</v>
      </c>
      <c r="AN976">
        <v>3.2054999999999998</v>
      </c>
    </row>
    <row r="977" spans="1:40" x14ac:dyDescent="0.35">
      <c r="A977">
        <v>1211</v>
      </c>
      <c r="B977">
        <v>57</v>
      </c>
      <c r="C977" t="s">
        <v>48</v>
      </c>
      <c r="D977" t="s">
        <v>41</v>
      </c>
      <c r="E977" t="s">
        <v>42</v>
      </c>
      <c r="F977" t="s">
        <v>49</v>
      </c>
      <c r="G977">
        <v>5</v>
      </c>
      <c r="H977">
        <v>25</v>
      </c>
      <c r="I977">
        <v>4</v>
      </c>
      <c r="J977" t="s">
        <v>50</v>
      </c>
      <c r="K977" t="s">
        <v>46</v>
      </c>
      <c r="L977" t="s">
        <v>54</v>
      </c>
      <c r="M977">
        <v>480.15798946796377</v>
      </c>
      <c r="N977">
        <v>577</v>
      </c>
      <c r="O977">
        <v>376</v>
      </c>
      <c r="P977">
        <v>162</v>
      </c>
      <c r="Q977">
        <v>3.9889840465642745</v>
      </c>
      <c r="R977">
        <v>3.0910424533583161</v>
      </c>
      <c r="S977">
        <v>4.1271343850450917</v>
      </c>
      <c r="T977">
        <v>92.826666666666668</v>
      </c>
      <c r="U977">
        <v>2.9827057067926286</v>
      </c>
      <c r="V977">
        <v>-0.16604708794949699</v>
      </c>
      <c r="W977">
        <v>-0.150727876652859</v>
      </c>
      <c r="X977">
        <v>-0.19602043866096</v>
      </c>
      <c r="Y977">
        <v>1.4483117406157899</v>
      </c>
      <c r="Z977">
        <v>1.7680602694732599</v>
      </c>
      <c r="AA977">
        <v>0.26366440732357699</v>
      </c>
      <c r="AB977">
        <v>4236</v>
      </c>
      <c r="AC977">
        <v>0</v>
      </c>
      <c r="AD977">
        <v>4</v>
      </c>
      <c r="AE977">
        <v>1.6751267091712101</v>
      </c>
      <c r="AF977">
        <v>0.76947190440150404</v>
      </c>
      <c r="AG977">
        <v>1.7849210366368051</v>
      </c>
      <c r="AH977">
        <v>0.97493364630412316</v>
      </c>
      <c r="AI977">
        <v>0.214796414614388</v>
      </c>
      <c r="AJ977">
        <v>-0.31069922929803701</v>
      </c>
      <c r="AK977">
        <v>44.917983300000003</v>
      </c>
      <c r="AL977">
        <v>-0.22352169999999999</v>
      </c>
      <c r="AM977">
        <v>48.856372813999997</v>
      </c>
      <c r="AN977">
        <v>2.3525296170000001</v>
      </c>
    </row>
    <row r="978" spans="1:40" x14ac:dyDescent="0.35">
      <c r="A978">
        <v>1212</v>
      </c>
      <c r="B978">
        <v>57</v>
      </c>
      <c r="C978" t="s">
        <v>48</v>
      </c>
      <c r="D978" t="s">
        <v>52</v>
      </c>
      <c r="E978" t="s">
        <v>42</v>
      </c>
      <c r="F978" t="s">
        <v>49</v>
      </c>
      <c r="G978">
        <v>5</v>
      </c>
      <c r="H978">
        <v>25</v>
      </c>
      <c r="I978">
        <v>5</v>
      </c>
      <c r="J978" t="s">
        <v>50</v>
      </c>
      <c r="K978" t="s">
        <v>46</v>
      </c>
      <c r="L978" t="s">
        <v>57</v>
      </c>
      <c r="M978">
        <v>273.23601885987279</v>
      </c>
      <c r="N978">
        <v>279</v>
      </c>
      <c r="O978">
        <v>171</v>
      </c>
      <c r="P978">
        <v>171</v>
      </c>
      <c r="Q978">
        <v>0.69314718055994529</v>
      </c>
      <c r="R978">
        <v>3.6109179126442243</v>
      </c>
      <c r="S978">
        <v>5.8833223884882786</v>
      </c>
      <c r="T978">
        <v>90.922105263157903</v>
      </c>
      <c r="U978">
        <v>2.3923758041545438</v>
      </c>
      <c r="V978">
        <v>-0.399596989308249</v>
      </c>
      <c r="W978">
        <v>-0.58810405700346202</v>
      </c>
      <c r="X978">
        <v>-0.29041857108635599</v>
      </c>
      <c r="Y978">
        <v>-0.846122564821426</v>
      </c>
      <c r="Z978">
        <v>-0.92679578564836795</v>
      </c>
      <c r="AA978">
        <v>0.86332342905974202</v>
      </c>
      <c r="AB978">
        <v>2050</v>
      </c>
      <c r="AC978">
        <v>1</v>
      </c>
      <c r="AD978">
        <v>2</v>
      </c>
      <c r="AE978">
        <v>-0.51011828243844404</v>
      </c>
      <c r="AF978">
        <v>-1.04247007950183</v>
      </c>
      <c r="AG978">
        <v>-0.83455808861653502</v>
      </c>
      <c r="AH978">
        <v>1.3117629403081399</v>
      </c>
      <c r="AI978">
        <v>0.30854322366009901</v>
      </c>
      <c r="AJ978">
        <v>-0.10287217760083101</v>
      </c>
      <c r="AK978">
        <v>47.023905999999997</v>
      </c>
      <c r="AL978">
        <v>4.8380429999999999</v>
      </c>
      <c r="AM978">
        <v>48.733499999999999</v>
      </c>
      <c r="AN978">
        <v>2.2115</v>
      </c>
    </row>
    <row r="979" spans="1:40" x14ac:dyDescent="0.35">
      <c r="A979">
        <v>1213</v>
      </c>
      <c r="B979">
        <v>42</v>
      </c>
      <c r="C979" t="s">
        <v>40</v>
      </c>
      <c r="D979" t="s">
        <v>41</v>
      </c>
      <c r="E979" t="s">
        <v>42</v>
      </c>
      <c r="F979" t="s">
        <v>43</v>
      </c>
      <c r="G979">
        <v>4</v>
      </c>
      <c r="H979">
        <v>16</v>
      </c>
      <c r="I979">
        <v>4</v>
      </c>
      <c r="J979" t="s">
        <v>45</v>
      </c>
      <c r="K979" t="s">
        <v>46</v>
      </c>
      <c r="L979" t="s">
        <v>47</v>
      </c>
      <c r="M979">
        <v>524.25022989915237</v>
      </c>
      <c r="N979">
        <v>692</v>
      </c>
      <c r="O979">
        <v>558</v>
      </c>
      <c r="P979">
        <v>836</v>
      </c>
      <c r="Q979">
        <v>5.9107966440405271</v>
      </c>
      <c r="R979">
        <v>6.4997870406558542</v>
      </c>
      <c r="S979">
        <v>8.6415324656718457</v>
      </c>
      <c r="T979">
        <v>89.265350482850479</v>
      </c>
      <c r="U979">
        <v>1.4417786561042019</v>
      </c>
      <c r="V979">
        <v>-0.22886708829074301</v>
      </c>
      <c r="W979">
        <v>0.28745285629339301</v>
      </c>
      <c r="X979">
        <v>-0.15627425222847</v>
      </c>
      <c r="Y979">
        <v>1.45226138127617</v>
      </c>
      <c r="Z979">
        <v>0.98247225355557</v>
      </c>
      <c r="AA979">
        <v>0.627775520474398</v>
      </c>
      <c r="AB979">
        <v>3362.2959371744532</v>
      </c>
      <c r="AC979">
        <v>2.8998317172850387</v>
      </c>
      <c r="AD979">
        <v>2.9499158586425196</v>
      </c>
      <c r="AE979">
        <v>1.06273170356322</v>
      </c>
      <c r="AF979">
        <v>-0.43597953194516498</v>
      </c>
      <c r="AG979">
        <v>1.0396511079151001</v>
      </c>
      <c r="AH979">
        <v>-1.8315371794992401</v>
      </c>
      <c r="AI979">
        <v>-0.90770176619634801</v>
      </c>
      <c r="AJ979">
        <v>-0.26640382693445103</v>
      </c>
      <c r="AK979">
        <v>43.3535629403058</v>
      </c>
      <c r="AL979">
        <v>3.21615314793977</v>
      </c>
      <c r="AM979">
        <v>46.964857142857149</v>
      </c>
      <c r="AN979">
        <v>-1.0740000000000001</v>
      </c>
    </row>
    <row r="980" spans="1:40" x14ac:dyDescent="0.35">
      <c r="A980">
        <v>1215</v>
      </c>
      <c r="B980">
        <v>57</v>
      </c>
      <c r="C980" t="s">
        <v>40</v>
      </c>
      <c r="D980" t="s">
        <v>41</v>
      </c>
      <c r="E980" t="s">
        <v>42</v>
      </c>
      <c r="F980" t="s">
        <v>61</v>
      </c>
      <c r="G980">
        <v>5</v>
      </c>
      <c r="H980">
        <v>25</v>
      </c>
      <c r="I980">
        <v>6</v>
      </c>
      <c r="J980" t="s">
        <v>50</v>
      </c>
      <c r="K980" t="s">
        <v>46</v>
      </c>
      <c r="L980" t="s">
        <v>54</v>
      </c>
      <c r="M980">
        <v>41.85326335204708</v>
      </c>
      <c r="N980">
        <v>36</v>
      </c>
      <c r="O980">
        <v>49</v>
      </c>
      <c r="P980">
        <v>22</v>
      </c>
      <c r="Q980">
        <v>3.9889840465642745</v>
      </c>
      <c r="R980">
        <v>3.0910424533583161</v>
      </c>
      <c r="S980">
        <v>4.1271343850450917</v>
      </c>
      <c r="T980">
        <v>92.826666666666668</v>
      </c>
      <c r="U980">
        <v>2.9827057067926286</v>
      </c>
      <c r="V980">
        <v>-0.16604708794949699</v>
      </c>
      <c r="W980">
        <v>-0.150727876652859</v>
      </c>
      <c r="X980">
        <v>-0.19602043866096</v>
      </c>
      <c r="Y980">
        <v>1.4483117406157899</v>
      </c>
      <c r="Z980">
        <v>1.7680602694732599</v>
      </c>
      <c r="AA980">
        <v>0.26366440732357699</v>
      </c>
      <c r="AB980">
        <v>4236</v>
      </c>
      <c r="AC980">
        <v>0</v>
      </c>
      <c r="AD980">
        <v>4</v>
      </c>
      <c r="AE980">
        <v>1.6751267091712101</v>
      </c>
      <c r="AF980">
        <v>0.67778440944971496</v>
      </c>
      <c r="AG980">
        <v>0.242348433207836</v>
      </c>
      <c r="AH980">
        <v>-1.13030490201105</v>
      </c>
      <c r="AI980">
        <v>-0.54018676599464299</v>
      </c>
      <c r="AJ980">
        <v>-1.30443298533977</v>
      </c>
      <c r="AK980">
        <v>44.917983300000003</v>
      </c>
      <c r="AL980">
        <v>-0.22352169999999999</v>
      </c>
      <c r="AM980">
        <v>44.741999999999997</v>
      </c>
      <c r="AN980">
        <v>-0.69200000000000006</v>
      </c>
    </row>
    <row r="981" spans="1:40" x14ac:dyDescent="0.35">
      <c r="A981">
        <v>1216</v>
      </c>
      <c r="B981">
        <v>42</v>
      </c>
      <c r="C981" t="s">
        <v>40</v>
      </c>
      <c r="D981" t="s">
        <v>41</v>
      </c>
      <c r="E981" t="s">
        <v>42</v>
      </c>
      <c r="F981" t="s">
        <v>43</v>
      </c>
      <c r="G981">
        <v>5</v>
      </c>
      <c r="H981">
        <v>25</v>
      </c>
      <c r="I981">
        <v>4</v>
      </c>
      <c r="J981" t="s">
        <v>50</v>
      </c>
      <c r="K981" t="s">
        <v>46</v>
      </c>
      <c r="L981" t="s">
        <v>55</v>
      </c>
      <c r="M981">
        <v>379.40698391777141</v>
      </c>
      <c r="N981">
        <v>492</v>
      </c>
      <c r="O981">
        <v>357</v>
      </c>
      <c r="P981">
        <v>146</v>
      </c>
      <c r="Q981">
        <v>2.0794415416798357</v>
      </c>
      <c r="R981">
        <v>2.3025850929940459</v>
      </c>
      <c r="S981">
        <v>3.2580965380214821</v>
      </c>
      <c r="T981">
        <v>95.12</v>
      </c>
      <c r="U981">
        <v>0</v>
      </c>
      <c r="V981">
        <v>1.89305099905856</v>
      </c>
      <c r="W981">
        <v>0.59880690621441701</v>
      </c>
      <c r="X981">
        <v>1.1856460040685599</v>
      </c>
      <c r="Y981">
        <v>-0.15565097555555901</v>
      </c>
      <c r="Z981">
        <v>-0.22748295097212001</v>
      </c>
      <c r="AA981">
        <v>1.0415013010201299</v>
      </c>
      <c r="AB981">
        <v>2939.9504036908884</v>
      </c>
      <c r="AC981">
        <v>2</v>
      </c>
      <c r="AD981">
        <v>0.42868127643214149</v>
      </c>
      <c r="AE981">
        <v>-2.40641039566141E-2</v>
      </c>
      <c r="AF981">
        <v>-3.3771362118763801</v>
      </c>
      <c r="AG981">
        <v>1.3008305492729899</v>
      </c>
      <c r="AH981">
        <v>-1.0607184560260801</v>
      </c>
      <c r="AI981">
        <v>-0.67176964434354103</v>
      </c>
      <c r="AJ981">
        <v>1.12184018306303</v>
      </c>
      <c r="AK981">
        <v>48.0777517</v>
      </c>
      <c r="AL981">
        <v>7.3579641000000002</v>
      </c>
      <c r="AM981">
        <v>48.856372813999997</v>
      </c>
      <c r="AN981">
        <v>2.3525296170000001</v>
      </c>
    </row>
    <row r="982" spans="1:40" x14ac:dyDescent="0.35">
      <c r="A982">
        <v>1217</v>
      </c>
      <c r="B982">
        <v>57</v>
      </c>
      <c r="C982" t="s">
        <v>40</v>
      </c>
      <c r="D982" t="s">
        <v>41</v>
      </c>
      <c r="E982" t="s">
        <v>42</v>
      </c>
      <c r="F982" t="s">
        <v>53</v>
      </c>
      <c r="G982">
        <v>5</v>
      </c>
      <c r="H982">
        <v>25</v>
      </c>
      <c r="I982">
        <v>6</v>
      </c>
      <c r="J982" t="s">
        <v>56</v>
      </c>
      <c r="K982" t="s">
        <v>46</v>
      </c>
      <c r="L982" t="s">
        <v>59</v>
      </c>
      <c r="M982">
        <v>22.351979142621971</v>
      </c>
      <c r="N982">
        <v>23</v>
      </c>
      <c r="O982">
        <v>30</v>
      </c>
      <c r="P982">
        <v>21</v>
      </c>
      <c r="Q982">
        <v>1.3862943611198906</v>
      </c>
      <c r="R982">
        <v>1.3862943611198906</v>
      </c>
      <c r="S982">
        <v>4.9972122737641147</v>
      </c>
      <c r="T982">
        <v>90.035146103896111</v>
      </c>
      <c r="U982">
        <v>1.418823059726001</v>
      </c>
      <c r="V982">
        <v>-0.52223564926899602</v>
      </c>
      <c r="W982">
        <v>-0.46072710968150399</v>
      </c>
      <c r="X982">
        <v>-0.361786268345754</v>
      </c>
      <c r="Y982">
        <v>-0.552694479448822</v>
      </c>
      <c r="Z982">
        <v>2.1676297177028899E-2</v>
      </c>
      <c r="AA982">
        <v>0.625223797005378</v>
      </c>
      <c r="AB982">
        <v>2234.6992515788952</v>
      </c>
      <c r="AC982">
        <v>0</v>
      </c>
      <c r="AD982">
        <v>0.12112735591028891</v>
      </c>
      <c r="AE982">
        <v>-0.60610368582010199</v>
      </c>
      <c r="AF982">
        <v>-2.1226317379974602</v>
      </c>
      <c r="AG982">
        <v>0.74523253668677103</v>
      </c>
      <c r="AH982">
        <v>0.23888091781602699</v>
      </c>
      <c r="AI982">
        <v>-1.7630103572676701</v>
      </c>
      <c r="AJ982">
        <v>0.65379563421158904</v>
      </c>
      <c r="AK982">
        <v>47.411035099999999</v>
      </c>
      <c r="AL982">
        <v>0.98369799999999996</v>
      </c>
      <c r="AM982">
        <v>47.3905691</v>
      </c>
      <c r="AN982">
        <v>0.68859420000000005</v>
      </c>
    </row>
    <row r="983" spans="1:40" x14ac:dyDescent="0.35">
      <c r="A983">
        <v>1218</v>
      </c>
      <c r="B983">
        <v>42</v>
      </c>
      <c r="C983" t="s">
        <v>40</v>
      </c>
      <c r="D983" t="s">
        <v>66</v>
      </c>
      <c r="E983" t="s">
        <v>42</v>
      </c>
      <c r="F983" t="s">
        <v>61</v>
      </c>
      <c r="G983">
        <v>3</v>
      </c>
      <c r="H983">
        <v>9</v>
      </c>
      <c r="I983">
        <v>4</v>
      </c>
      <c r="J983" t="s">
        <v>56</v>
      </c>
      <c r="K983" t="s">
        <v>46</v>
      </c>
      <c r="L983" t="s">
        <v>65</v>
      </c>
      <c r="M983">
        <v>653.75995169885982</v>
      </c>
      <c r="N983">
        <v>835</v>
      </c>
      <c r="O983">
        <v>420</v>
      </c>
      <c r="P983">
        <v>374</v>
      </c>
      <c r="Q983">
        <v>0</v>
      </c>
      <c r="R983">
        <v>0</v>
      </c>
      <c r="S983">
        <v>4.4543472962535073</v>
      </c>
      <c r="T983">
        <v>89.333044733044744</v>
      </c>
      <c r="U983">
        <v>1.2554235437523662</v>
      </c>
      <c r="V983">
        <v>1.64975517953679</v>
      </c>
      <c r="W983">
        <v>2.4220969657957299</v>
      </c>
      <c r="X983">
        <v>1.68128863126442</v>
      </c>
      <c r="Y983">
        <v>2.0553398017137301</v>
      </c>
      <c r="Z983">
        <v>2.0921400018840099</v>
      </c>
      <c r="AA983">
        <v>2.0596698968962701</v>
      </c>
      <c r="AB983">
        <v>3262.71</v>
      </c>
      <c r="AC983">
        <v>0.33</v>
      </c>
      <c r="AD983">
        <v>0.66</v>
      </c>
      <c r="AE983">
        <v>1.9221838973381</v>
      </c>
      <c r="AF983">
        <v>1.3444867865512899</v>
      </c>
      <c r="AG983">
        <v>1.28986561784014</v>
      </c>
      <c r="AH983">
        <v>-1.0076535008962599</v>
      </c>
      <c r="AI983">
        <v>1.54511696178226</v>
      </c>
      <c r="AJ983">
        <v>-0.35495570278962302</v>
      </c>
      <c r="AK983">
        <v>43.537466000000002</v>
      </c>
      <c r="AL983">
        <v>6.4627330000000001</v>
      </c>
      <c r="AM983">
        <v>48.704000000000001</v>
      </c>
      <c r="AN983">
        <v>2.4279999999999999</v>
      </c>
    </row>
    <row r="984" spans="1:40" x14ac:dyDescent="0.35">
      <c r="A984">
        <v>1220</v>
      </c>
      <c r="B984">
        <v>57</v>
      </c>
      <c r="C984" t="s">
        <v>48</v>
      </c>
      <c r="D984" t="s">
        <v>52</v>
      </c>
      <c r="E984" t="s">
        <v>42</v>
      </c>
      <c r="F984" t="s">
        <v>49</v>
      </c>
      <c r="G984">
        <v>5</v>
      </c>
      <c r="H984">
        <v>25</v>
      </c>
      <c r="I984">
        <v>4</v>
      </c>
      <c r="J984" t="s">
        <v>56</v>
      </c>
      <c r="K984" t="s">
        <v>46</v>
      </c>
      <c r="L984" t="s">
        <v>79</v>
      </c>
      <c r="M984">
        <v>701.65455064723596</v>
      </c>
      <c r="N984">
        <v>886</v>
      </c>
      <c r="O984">
        <v>525</v>
      </c>
      <c r="P984">
        <v>358</v>
      </c>
      <c r="Q984">
        <v>0</v>
      </c>
      <c r="R984">
        <v>1.0986122886681098</v>
      </c>
      <c r="S984">
        <v>4.4659081186545837</v>
      </c>
      <c r="T984">
        <v>90.88000000000001</v>
      </c>
      <c r="U984">
        <v>0.63076672920079646</v>
      </c>
      <c r="V984">
        <v>-0.66459185691613598</v>
      </c>
      <c r="W984">
        <v>-0.11297510960708999</v>
      </c>
      <c r="X984">
        <v>-0.19037106594949799</v>
      </c>
      <c r="Y984">
        <v>-0.374020329094302</v>
      </c>
      <c r="Z984">
        <v>-0.78642831806525804</v>
      </c>
      <c r="AA984">
        <v>-1.3830773108541501</v>
      </c>
      <c r="AB984">
        <v>1910</v>
      </c>
      <c r="AC984">
        <v>4</v>
      </c>
      <c r="AD984">
        <v>0</v>
      </c>
      <c r="AE984">
        <v>3.4620335695619099E-2</v>
      </c>
      <c r="AF984">
        <v>0.14411991346105199</v>
      </c>
      <c r="AG984">
        <v>-0.177894560004904</v>
      </c>
      <c r="AH984">
        <v>-3.7104064640064598E-2</v>
      </c>
      <c r="AI984">
        <v>0.223851221966026</v>
      </c>
      <c r="AJ984">
        <v>0.33279834709295197</v>
      </c>
      <c r="AK984">
        <v>42.698529999999998</v>
      </c>
      <c r="AL984">
        <v>2.8953120000000001</v>
      </c>
      <c r="AM984">
        <v>48.988</v>
      </c>
      <c r="AN984">
        <v>2.2999999999999998</v>
      </c>
    </row>
    <row r="985" spans="1:40" x14ac:dyDescent="0.35">
      <c r="A985">
        <v>1221</v>
      </c>
      <c r="B985">
        <v>72</v>
      </c>
      <c r="C985" t="s">
        <v>40</v>
      </c>
      <c r="D985" t="s">
        <v>52</v>
      </c>
      <c r="E985" t="s">
        <v>42</v>
      </c>
      <c r="F985" t="s">
        <v>49</v>
      </c>
      <c r="G985">
        <v>4</v>
      </c>
      <c r="H985">
        <v>16</v>
      </c>
      <c r="I985">
        <v>7</v>
      </c>
      <c r="J985" t="s">
        <v>56</v>
      </c>
      <c r="K985" t="s">
        <v>46</v>
      </c>
      <c r="L985" t="s">
        <v>57</v>
      </c>
      <c r="M985">
        <v>271.40599208535178</v>
      </c>
      <c r="N985">
        <v>323</v>
      </c>
      <c r="O985">
        <v>257</v>
      </c>
      <c r="P985">
        <v>177</v>
      </c>
      <c r="Q985">
        <v>0.69314718055994529</v>
      </c>
      <c r="R985">
        <v>3.6109179126442243</v>
      </c>
      <c r="S985">
        <v>5.8833223884882786</v>
      </c>
      <c r="T985">
        <v>90.922105263157903</v>
      </c>
      <c r="U985">
        <v>2.3923758041545438</v>
      </c>
      <c r="V985">
        <v>-0.399596989308249</v>
      </c>
      <c r="W985">
        <v>-0.58810405700346202</v>
      </c>
      <c r="X985">
        <v>-0.29041857108635599</v>
      </c>
      <c r="Y985">
        <v>-0.846122564821426</v>
      </c>
      <c r="Z985">
        <v>-0.92679578564836795</v>
      </c>
      <c r="AA985">
        <v>0.86332342905974202</v>
      </c>
      <c r="AB985">
        <v>2050</v>
      </c>
      <c r="AC985">
        <v>1</v>
      </c>
      <c r="AD985">
        <v>2</v>
      </c>
      <c r="AE985">
        <v>-0.51011828243844404</v>
      </c>
      <c r="AF985">
        <v>-0.14779439784045237</v>
      </c>
      <c r="AG985">
        <v>-0.62406425587538927</v>
      </c>
      <c r="AH985">
        <v>-1.3808333244456212</v>
      </c>
      <c r="AI985">
        <v>0.12365966801627599</v>
      </c>
      <c r="AJ985">
        <v>-1.66816974044383</v>
      </c>
      <c r="AK985">
        <v>47.023905999999997</v>
      </c>
      <c r="AL985">
        <v>4.8380429999999999</v>
      </c>
      <c r="AM985">
        <v>48.863</v>
      </c>
      <c r="AN985">
        <v>2.448</v>
      </c>
    </row>
    <row r="986" spans="1:40" x14ac:dyDescent="0.35">
      <c r="A986">
        <v>1222</v>
      </c>
      <c r="B986">
        <v>42</v>
      </c>
      <c r="C986" t="s">
        <v>40</v>
      </c>
      <c r="D986" t="s">
        <v>41</v>
      </c>
      <c r="E986" t="s">
        <v>42</v>
      </c>
      <c r="F986" t="s">
        <v>61</v>
      </c>
      <c r="G986">
        <v>4</v>
      </c>
      <c r="H986">
        <v>16</v>
      </c>
      <c r="I986">
        <v>5</v>
      </c>
      <c r="J986" t="s">
        <v>56</v>
      </c>
      <c r="K986" t="s">
        <v>46</v>
      </c>
      <c r="L986" t="s">
        <v>55</v>
      </c>
      <c r="M986">
        <v>379.40698391777141</v>
      </c>
      <c r="N986">
        <v>492</v>
      </c>
      <c r="O986">
        <v>357</v>
      </c>
      <c r="P986">
        <v>146</v>
      </c>
      <c r="Q986">
        <v>2.0794415416798357</v>
      </c>
      <c r="R986">
        <v>2.3025850929940459</v>
      </c>
      <c r="S986">
        <v>3.2580965380214821</v>
      </c>
      <c r="T986">
        <v>95.12</v>
      </c>
      <c r="U986">
        <v>0</v>
      </c>
      <c r="V986">
        <v>1.89305099905856</v>
      </c>
      <c r="W986">
        <v>0.59880690621441701</v>
      </c>
      <c r="X986">
        <v>1.1856460040685599</v>
      </c>
      <c r="Y986">
        <v>-0.15565097555555901</v>
      </c>
      <c r="Z986">
        <v>-0.22748295097212001</v>
      </c>
      <c r="AA986">
        <v>1.0415013010201299</v>
      </c>
      <c r="AB986">
        <v>2939.9504036908884</v>
      </c>
      <c r="AC986">
        <v>2</v>
      </c>
      <c r="AD986">
        <v>0.42868127643214149</v>
      </c>
      <c r="AE986">
        <v>-2.40641039566141E-2</v>
      </c>
      <c r="AF986">
        <v>4.4030861869123597E-2</v>
      </c>
      <c r="AG986">
        <v>-0.142372188403562</v>
      </c>
      <c r="AH986">
        <v>-0.60282163210229001</v>
      </c>
      <c r="AI986">
        <v>0.18222139005105401</v>
      </c>
      <c r="AJ986">
        <v>1.2622390920837601</v>
      </c>
      <c r="AK986">
        <v>48.0777517</v>
      </c>
      <c r="AL986">
        <v>7.3579641000000002</v>
      </c>
      <c r="AM986">
        <v>48.856372813999997</v>
      </c>
      <c r="AN986">
        <v>2.3525296170000001</v>
      </c>
    </row>
    <row r="987" spans="1:40" x14ac:dyDescent="0.35">
      <c r="A987">
        <v>1223</v>
      </c>
      <c r="B987">
        <v>72</v>
      </c>
      <c r="C987" t="s">
        <v>40</v>
      </c>
      <c r="D987" t="s">
        <v>52</v>
      </c>
      <c r="E987" t="s">
        <v>42</v>
      </c>
      <c r="F987" t="s">
        <v>49</v>
      </c>
      <c r="G987">
        <v>3</v>
      </c>
      <c r="H987">
        <v>9</v>
      </c>
      <c r="I987">
        <v>5</v>
      </c>
      <c r="J987" t="s">
        <v>56</v>
      </c>
      <c r="K987" t="s">
        <v>46</v>
      </c>
      <c r="L987" t="s">
        <v>70</v>
      </c>
      <c r="M987">
        <v>37.665986380468723</v>
      </c>
      <c r="N987">
        <v>49</v>
      </c>
      <c r="O987">
        <v>40</v>
      </c>
      <c r="P987">
        <v>32</v>
      </c>
      <c r="Q987">
        <v>0</v>
      </c>
      <c r="R987">
        <v>0</v>
      </c>
      <c r="S987">
        <v>5.3230099791384085</v>
      </c>
      <c r="T987">
        <v>90.615999999999985</v>
      </c>
      <c r="U987">
        <v>1.11573792223403</v>
      </c>
      <c r="V987">
        <v>0.80288722813325297</v>
      </c>
      <c r="W987">
        <v>0.52082154240315903</v>
      </c>
      <c r="X987">
        <v>0.61908815691345198</v>
      </c>
      <c r="Y987">
        <v>1.5007680231051199</v>
      </c>
      <c r="Z987">
        <v>0.24292628533916899</v>
      </c>
      <c r="AA987">
        <v>8.5217386942517098E-2</v>
      </c>
      <c r="AB987">
        <v>3943</v>
      </c>
      <c r="AC987">
        <v>0</v>
      </c>
      <c r="AD987">
        <v>1</v>
      </c>
      <c r="AE987">
        <v>1.1088815174583</v>
      </c>
      <c r="AF987">
        <v>0.95505624535462097</v>
      </c>
      <c r="AG987">
        <v>7.4836129307115598E-2</v>
      </c>
      <c r="AH987">
        <v>0.164998053517765</v>
      </c>
      <c r="AI987">
        <v>0.67793660911720199</v>
      </c>
      <c r="AJ987">
        <v>5.4144753740391599E-2</v>
      </c>
      <c r="AK987">
        <v>46.098678999999997</v>
      </c>
      <c r="AL987">
        <v>4.7359530000000003</v>
      </c>
      <c r="AM987">
        <v>45.767306300000001</v>
      </c>
      <c r="AN987">
        <v>4.8343065000000003</v>
      </c>
    </row>
    <row r="988" spans="1:40" x14ac:dyDescent="0.35">
      <c r="A988">
        <v>1224</v>
      </c>
      <c r="B988">
        <v>72</v>
      </c>
      <c r="C988" t="s">
        <v>40</v>
      </c>
      <c r="D988" t="s">
        <v>52</v>
      </c>
      <c r="E988" t="s">
        <v>68</v>
      </c>
      <c r="F988" t="s">
        <v>49</v>
      </c>
      <c r="G988">
        <v>6</v>
      </c>
      <c r="H988">
        <v>36</v>
      </c>
      <c r="I988">
        <v>6</v>
      </c>
      <c r="J988" t="s">
        <v>50</v>
      </c>
      <c r="K988" t="s">
        <v>46</v>
      </c>
      <c r="L988" t="s">
        <v>57</v>
      </c>
      <c r="M988">
        <v>402.82622077649421</v>
      </c>
      <c r="N988">
        <v>571</v>
      </c>
      <c r="O988">
        <v>359</v>
      </c>
      <c r="P988">
        <v>264</v>
      </c>
      <c r="Q988">
        <v>0.69314718055994529</v>
      </c>
      <c r="R988">
        <v>3.6109179126442243</v>
      </c>
      <c r="S988">
        <v>5.8833223884882786</v>
      </c>
      <c r="T988">
        <v>90.922105263157903</v>
      </c>
      <c r="U988">
        <v>2.3923758041545438</v>
      </c>
      <c r="V988">
        <v>-0.399596989308249</v>
      </c>
      <c r="W988">
        <v>-0.58810405700346202</v>
      </c>
      <c r="X988">
        <v>-0.29041857108635599</v>
      </c>
      <c r="Y988">
        <v>-0.846122564821426</v>
      </c>
      <c r="Z988">
        <v>-0.92679578564836795</v>
      </c>
      <c r="AA988">
        <v>0.86332342905974202</v>
      </c>
      <c r="AB988">
        <v>2050</v>
      </c>
      <c r="AC988">
        <v>1</v>
      </c>
      <c r="AD988">
        <v>2</v>
      </c>
      <c r="AE988">
        <v>-0.51011828243844404</v>
      </c>
      <c r="AF988">
        <v>0.55224321247156505</v>
      </c>
      <c r="AG988">
        <v>0.40353386407563502</v>
      </c>
      <c r="AH988">
        <v>-6.9545168786228503E-2</v>
      </c>
      <c r="AI988">
        <v>0.78337916908577898</v>
      </c>
      <c r="AJ988">
        <v>0.33398519557234502</v>
      </c>
      <c r="AK988">
        <v>47.023905999999997</v>
      </c>
      <c r="AL988">
        <v>4.8380429999999999</v>
      </c>
      <c r="AM988">
        <v>50.640682937000001</v>
      </c>
      <c r="AN988">
        <v>4.6610704270000003</v>
      </c>
    </row>
    <row r="989" spans="1:40" x14ac:dyDescent="0.35">
      <c r="A989">
        <v>1225</v>
      </c>
      <c r="B989">
        <v>72</v>
      </c>
      <c r="C989" t="s">
        <v>48</v>
      </c>
      <c r="D989" t="s">
        <v>41</v>
      </c>
      <c r="E989" t="s">
        <v>42</v>
      </c>
      <c r="F989" t="s">
        <v>43</v>
      </c>
      <c r="G989">
        <v>5</v>
      </c>
      <c r="H989">
        <v>25</v>
      </c>
      <c r="I989">
        <v>7</v>
      </c>
      <c r="J989" t="s">
        <v>45</v>
      </c>
      <c r="K989" t="s">
        <v>46</v>
      </c>
      <c r="L989" t="s">
        <v>62</v>
      </c>
      <c r="M989">
        <v>283.14186269769829</v>
      </c>
      <c r="N989">
        <v>356</v>
      </c>
      <c r="O989">
        <v>200</v>
      </c>
      <c r="P989">
        <v>250</v>
      </c>
      <c r="Q989">
        <v>0.69314718055994529</v>
      </c>
      <c r="R989">
        <v>3.2580965380214821</v>
      </c>
      <c r="S989">
        <v>3.2580965380214821</v>
      </c>
      <c r="T989">
        <v>95.68</v>
      </c>
      <c r="U989">
        <v>0</v>
      </c>
      <c r="V989">
        <v>1.82802042479695</v>
      </c>
      <c r="W989">
        <v>0.99424279543483596</v>
      </c>
      <c r="X989">
        <v>0.99177342203587404</v>
      </c>
      <c r="Y989">
        <v>-0.96278755162326501</v>
      </c>
      <c r="Z989">
        <v>-0.75605764486205096</v>
      </c>
      <c r="AA989">
        <v>-0.80037586101695801</v>
      </c>
      <c r="AB989">
        <v>2092.91</v>
      </c>
      <c r="AC989">
        <v>0</v>
      </c>
      <c r="AD989">
        <v>2.1</v>
      </c>
      <c r="AE989">
        <v>-1.0768626388726401</v>
      </c>
      <c r="AF989">
        <v>0.558686634810584</v>
      </c>
      <c r="AG989">
        <v>1.4092728021063201</v>
      </c>
      <c r="AH989">
        <v>-0.17964067377425</v>
      </c>
      <c r="AI989">
        <v>0.245105274793262</v>
      </c>
      <c r="AJ989">
        <v>-0.15556026597818201</v>
      </c>
      <c r="AK989">
        <v>49.042560999999999</v>
      </c>
      <c r="AL989">
        <v>3.9528660000000002</v>
      </c>
      <c r="AM989">
        <v>48.52</v>
      </c>
      <c r="AN989">
        <v>7.7309999999999999</v>
      </c>
    </row>
    <row r="990" spans="1:40" x14ac:dyDescent="0.35">
      <c r="A990">
        <v>1227</v>
      </c>
      <c r="B990">
        <v>72</v>
      </c>
      <c r="C990" t="s">
        <v>40</v>
      </c>
      <c r="D990" t="s">
        <v>52</v>
      </c>
      <c r="E990" t="s">
        <v>42</v>
      </c>
      <c r="F990" t="s">
        <v>49</v>
      </c>
      <c r="G990">
        <v>4</v>
      </c>
      <c r="H990">
        <v>16</v>
      </c>
      <c r="I990">
        <v>5</v>
      </c>
      <c r="J990" t="s">
        <v>50</v>
      </c>
      <c r="K990" t="s">
        <v>46</v>
      </c>
      <c r="L990" t="s">
        <v>47</v>
      </c>
      <c r="M990">
        <v>95.511965641814825</v>
      </c>
      <c r="N990">
        <v>96</v>
      </c>
      <c r="O990">
        <v>72</v>
      </c>
      <c r="P990">
        <v>75</v>
      </c>
      <c r="Q990">
        <v>5.9107966440405271</v>
      </c>
      <c r="R990">
        <v>6.4997870406558542</v>
      </c>
      <c r="S990">
        <v>8.6415324656718457</v>
      </c>
      <c r="T990">
        <v>89.265350482850479</v>
      </c>
      <c r="U990">
        <v>1.4417786561042019</v>
      </c>
      <c r="V990">
        <v>-0.22886708829074301</v>
      </c>
      <c r="W990">
        <v>0.28745285629339301</v>
      </c>
      <c r="X990">
        <v>-0.15627425222847</v>
      </c>
      <c r="Y990">
        <v>1.45226138127617</v>
      </c>
      <c r="Z990">
        <v>0.98247225355557</v>
      </c>
      <c r="AA990">
        <v>0.627775520474398</v>
      </c>
      <c r="AB990">
        <v>3362.2959371744532</v>
      </c>
      <c r="AC990">
        <v>2.8998317172850387</v>
      </c>
      <c r="AD990">
        <v>2.9499158586425196</v>
      </c>
      <c r="AE990">
        <v>1.06273170356322</v>
      </c>
      <c r="AF990">
        <v>-0.90435071089989505</v>
      </c>
      <c r="AG990">
        <v>-0.24252988372318701</v>
      </c>
      <c r="AH990">
        <v>-2.4311295240093198</v>
      </c>
      <c r="AI990">
        <v>-2.0274491198228999</v>
      </c>
      <c r="AJ990">
        <v>-0.52418764904140203</v>
      </c>
      <c r="AK990">
        <v>43.3535629403058</v>
      </c>
      <c r="AL990">
        <v>3.21615314793977</v>
      </c>
      <c r="AM990">
        <v>42.525999999999996</v>
      </c>
      <c r="AN990">
        <v>2.9067500000000002</v>
      </c>
    </row>
    <row r="991" spans="1:40" x14ac:dyDescent="0.35">
      <c r="A991">
        <v>1228</v>
      </c>
      <c r="B991">
        <v>72</v>
      </c>
      <c r="C991" t="s">
        <v>48</v>
      </c>
      <c r="D991" t="s">
        <v>52</v>
      </c>
      <c r="E991" t="s">
        <v>42</v>
      </c>
      <c r="F991" t="s">
        <v>49</v>
      </c>
      <c r="G991">
        <v>1</v>
      </c>
      <c r="H991">
        <v>1</v>
      </c>
      <c r="I991">
        <v>2</v>
      </c>
      <c r="J991" t="s">
        <v>56</v>
      </c>
      <c r="K991" t="s">
        <v>46</v>
      </c>
      <c r="L991" t="s">
        <v>47</v>
      </c>
      <c r="M991">
        <v>96.55775422526176</v>
      </c>
      <c r="N991">
        <v>118</v>
      </c>
      <c r="O991">
        <v>90</v>
      </c>
      <c r="P991">
        <v>84</v>
      </c>
      <c r="Q991">
        <v>5.9107966440405271</v>
      </c>
      <c r="R991">
        <v>6.4997870406558542</v>
      </c>
      <c r="S991">
        <v>8.6415324656718457</v>
      </c>
      <c r="T991">
        <v>89.265350482850479</v>
      </c>
      <c r="U991">
        <v>1.4417786561042019</v>
      </c>
      <c r="V991">
        <v>-0.22886708829074301</v>
      </c>
      <c r="W991">
        <v>0.28745285629339301</v>
      </c>
      <c r="X991">
        <v>-0.15627425222847</v>
      </c>
      <c r="Y991">
        <v>1.45226138127617</v>
      </c>
      <c r="Z991">
        <v>0.98247225355557</v>
      </c>
      <c r="AA991">
        <v>0.627775520474398</v>
      </c>
      <c r="AB991">
        <v>3362.2959371744532</v>
      </c>
      <c r="AC991">
        <v>2.8998317172850387</v>
      </c>
      <c r="AD991">
        <v>2.9499158586425196</v>
      </c>
      <c r="AE991">
        <v>1.06273170356322</v>
      </c>
      <c r="AF991">
        <v>0.26635004142415403</v>
      </c>
      <c r="AG991">
        <v>1.0574969033699819</v>
      </c>
      <c r="AH991">
        <v>0.48158548984856536</v>
      </c>
      <c r="AI991">
        <v>1.7963615084925799</v>
      </c>
      <c r="AJ991">
        <v>-0.84187742765479001</v>
      </c>
      <c r="AK991">
        <v>43.3535629403058</v>
      </c>
      <c r="AL991">
        <v>3.21615314793977</v>
      </c>
      <c r="AM991">
        <v>43.804500000000004</v>
      </c>
      <c r="AN991">
        <v>4.2389999999999999</v>
      </c>
    </row>
    <row r="992" spans="1:40" x14ac:dyDescent="0.35">
      <c r="A992">
        <v>1229</v>
      </c>
      <c r="B992">
        <v>72</v>
      </c>
      <c r="C992" t="s">
        <v>40</v>
      </c>
      <c r="D992" t="s">
        <v>52</v>
      </c>
      <c r="E992" t="s">
        <v>42</v>
      </c>
      <c r="F992" t="s">
        <v>43</v>
      </c>
      <c r="G992">
        <v>4</v>
      </c>
      <c r="H992">
        <v>16</v>
      </c>
      <c r="I992">
        <v>7</v>
      </c>
      <c r="J992" t="s">
        <v>56</v>
      </c>
      <c r="K992" t="s">
        <v>46</v>
      </c>
      <c r="L992" t="s">
        <v>75</v>
      </c>
      <c r="M992">
        <v>139.30365958880651</v>
      </c>
      <c r="N992">
        <v>158</v>
      </c>
      <c r="O992">
        <v>137</v>
      </c>
      <c r="P992">
        <v>151</v>
      </c>
      <c r="Q992">
        <v>0</v>
      </c>
      <c r="R992">
        <v>0</v>
      </c>
      <c r="S992">
        <v>3.5553480614894135</v>
      </c>
      <c r="T992">
        <v>87.721111111111114</v>
      </c>
      <c r="U992">
        <v>1.8185946276597997</v>
      </c>
      <c r="V992">
        <v>-1.01058566247205</v>
      </c>
      <c r="W992">
        <v>-0.72487722485772399</v>
      </c>
      <c r="X992">
        <v>-0.83814251792544203</v>
      </c>
      <c r="Y992">
        <v>0.643019057251217</v>
      </c>
      <c r="Z992">
        <v>0.97010361819212798</v>
      </c>
      <c r="AA992">
        <v>-1.0557286875948499</v>
      </c>
      <c r="AB992">
        <v>4179</v>
      </c>
      <c r="AC992">
        <v>0</v>
      </c>
      <c r="AD992">
        <v>0</v>
      </c>
      <c r="AE992">
        <v>0.59808311135132897</v>
      </c>
      <c r="AF992">
        <v>-0.56492352094564802</v>
      </c>
      <c r="AG992">
        <v>-0.57491862899216595</v>
      </c>
      <c r="AH992">
        <v>-2.1285382990700898</v>
      </c>
      <c r="AI992">
        <v>-0.78737050682146104</v>
      </c>
      <c r="AJ992">
        <v>-3.3530836042904202</v>
      </c>
      <c r="AK992">
        <v>47.087721999999999</v>
      </c>
      <c r="AL992">
        <v>-1.2817419999999999</v>
      </c>
      <c r="AM992">
        <v>48.171166666666657</v>
      </c>
      <c r="AN992">
        <v>-0.35249999999999998</v>
      </c>
    </row>
    <row r="993" spans="1:40" x14ac:dyDescent="0.35">
      <c r="A993">
        <v>1230</v>
      </c>
      <c r="B993">
        <v>72</v>
      </c>
      <c r="C993" t="s">
        <v>40</v>
      </c>
      <c r="D993" t="s">
        <v>52</v>
      </c>
      <c r="E993" t="s">
        <v>42</v>
      </c>
      <c r="F993" t="s">
        <v>49</v>
      </c>
      <c r="G993">
        <v>6</v>
      </c>
      <c r="H993">
        <v>36</v>
      </c>
      <c r="I993">
        <v>5</v>
      </c>
      <c r="J993" t="s">
        <v>56</v>
      </c>
      <c r="K993" t="s">
        <v>46</v>
      </c>
      <c r="L993" t="s">
        <v>57</v>
      </c>
      <c r="M993">
        <v>275.76453026088501</v>
      </c>
      <c r="N993">
        <v>327</v>
      </c>
      <c r="O993">
        <v>246</v>
      </c>
      <c r="P993">
        <v>147</v>
      </c>
      <c r="Q993">
        <v>0.69314718055994529</v>
      </c>
      <c r="R993">
        <v>3.6109179126442243</v>
      </c>
      <c r="S993">
        <v>5.8833223884882786</v>
      </c>
      <c r="T993">
        <v>90.922105263157903</v>
      </c>
      <c r="U993">
        <v>2.3923758041545438</v>
      </c>
      <c r="V993">
        <v>-0.399596989308249</v>
      </c>
      <c r="W993">
        <v>-0.58810405700346202</v>
      </c>
      <c r="X993">
        <v>-0.29041857108635599</v>
      </c>
      <c r="Y993">
        <v>-0.846122564821426</v>
      </c>
      <c r="Z993">
        <v>-0.92679578564836795</v>
      </c>
      <c r="AA993">
        <v>0.86332342905974202</v>
      </c>
      <c r="AB993">
        <v>2050</v>
      </c>
      <c r="AC993">
        <v>1</v>
      </c>
      <c r="AD993">
        <v>2</v>
      </c>
      <c r="AE993">
        <v>-0.51011828243844404</v>
      </c>
      <c r="AF993">
        <v>-9.6254329418959297E-2</v>
      </c>
      <c r="AG993">
        <v>1.44994885261054</v>
      </c>
      <c r="AH993">
        <v>1.0811695540523201</v>
      </c>
      <c r="AI993">
        <v>0.75143270255573602</v>
      </c>
      <c r="AJ993">
        <v>7.7986019447324098E-2</v>
      </c>
      <c r="AK993">
        <v>47.023905999999997</v>
      </c>
      <c r="AL993">
        <v>4.8380429999999999</v>
      </c>
      <c r="AM993">
        <v>48.795999999999999</v>
      </c>
      <c r="AN993">
        <v>2.2549999999999999</v>
      </c>
    </row>
    <row r="994" spans="1:40" x14ac:dyDescent="0.35">
      <c r="A994">
        <v>1231</v>
      </c>
      <c r="B994">
        <v>72</v>
      </c>
      <c r="C994" t="s">
        <v>40</v>
      </c>
      <c r="D994" t="s">
        <v>52</v>
      </c>
      <c r="E994" t="s">
        <v>68</v>
      </c>
      <c r="F994" t="s">
        <v>49</v>
      </c>
      <c r="G994">
        <v>5</v>
      </c>
      <c r="H994">
        <v>25</v>
      </c>
      <c r="I994">
        <v>5</v>
      </c>
      <c r="J994" t="s">
        <v>56</v>
      </c>
      <c r="K994" t="s">
        <v>46</v>
      </c>
      <c r="L994" t="s">
        <v>63</v>
      </c>
      <c r="M994">
        <v>732.39509136202378</v>
      </c>
      <c r="N994">
        <v>858</v>
      </c>
      <c r="O994">
        <v>532</v>
      </c>
      <c r="P994">
        <v>315</v>
      </c>
      <c r="Q994">
        <v>0</v>
      </c>
      <c r="R994">
        <v>0</v>
      </c>
      <c r="S994">
        <v>2.1972245773362196</v>
      </c>
      <c r="T994">
        <v>88.571764705882345</v>
      </c>
      <c r="U994">
        <v>1.0581645007873905</v>
      </c>
      <c r="V994">
        <v>-0.86345913794285001</v>
      </c>
      <c r="W994">
        <v>-0.82100750411685597</v>
      </c>
      <c r="X994">
        <v>-0.74332398245148801</v>
      </c>
      <c r="Y994">
        <v>1.4483117406157899</v>
      </c>
      <c r="Z994">
        <v>1.7680602694732599</v>
      </c>
      <c r="AA994">
        <v>0.26366440732357699</v>
      </c>
      <c r="AB994">
        <v>4236</v>
      </c>
      <c r="AC994">
        <v>0</v>
      </c>
      <c r="AD994">
        <v>4</v>
      </c>
      <c r="AE994">
        <v>1.6751267091712101</v>
      </c>
      <c r="AF994">
        <v>-0.28360610012242199</v>
      </c>
      <c r="AG994">
        <v>0.63743787212148295</v>
      </c>
      <c r="AH994">
        <v>-0.34908511927735503</v>
      </c>
      <c r="AI994">
        <v>-0.221110005071425</v>
      </c>
      <c r="AJ994">
        <v>-0.49003680042733599</v>
      </c>
      <c r="AK994">
        <v>45.086143999999997</v>
      </c>
      <c r="AL994">
        <v>-0.60531999999999997</v>
      </c>
      <c r="AM994">
        <v>50.640682937000001</v>
      </c>
      <c r="AN994">
        <v>4.6610704270000003</v>
      </c>
    </row>
    <row r="995" spans="1:40" x14ac:dyDescent="0.35">
      <c r="A995">
        <v>1232</v>
      </c>
      <c r="B995">
        <v>72</v>
      </c>
      <c r="C995" t="s">
        <v>40</v>
      </c>
      <c r="D995" t="s">
        <v>52</v>
      </c>
      <c r="E995" t="s">
        <v>42</v>
      </c>
      <c r="F995" t="s">
        <v>49</v>
      </c>
      <c r="G995">
        <v>5</v>
      </c>
      <c r="H995">
        <v>25</v>
      </c>
      <c r="I995">
        <v>7</v>
      </c>
      <c r="J995" t="s">
        <v>56</v>
      </c>
      <c r="K995" t="s">
        <v>46</v>
      </c>
      <c r="L995" t="s">
        <v>47</v>
      </c>
      <c r="M995">
        <v>565.42954431589942</v>
      </c>
      <c r="N995">
        <v>775</v>
      </c>
      <c r="O995">
        <v>478</v>
      </c>
      <c r="P995">
        <v>482</v>
      </c>
      <c r="Q995">
        <v>5.9107966440405271</v>
      </c>
      <c r="R995">
        <v>6.4997870406558542</v>
      </c>
      <c r="S995">
        <v>8.6415324656718457</v>
      </c>
      <c r="T995">
        <v>89.265350482850479</v>
      </c>
      <c r="U995">
        <v>1.4417786561042019</v>
      </c>
      <c r="V995">
        <v>-0.22886708829074301</v>
      </c>
      <c r="W995">
        <v>0.28745285629339301</v>
      </c>
      <c r="X995">
        <v>-0.15627425222847</v>
      </c>
      <c r="Y995">
        <v>1.45226138127617</v>
      </c>
      <c r="Z995">
        <v>0.98247225355557</v>
      </c>
      <c r="AA995">
        <v>0.627775520474398</v>
      </c>
      <c r="AB995">
        <v>3362.2959371744532</v>
      </c>
      <c r="AC995">
        <v>2.8998317172850387</v>
      </c>
      <c r="AD995">
        <v>2.9499158586425196</v>
      </c>
      <c r="AE995">
        <v>1.06273170356322</v>
      </c>
      <c r="AF995">
        <v>1.0018141517157499</v>
      </c>
      <c r="AG995">
        <v>1.2214039105100301</v>
      </c>
      <c r="AH995">
        <v>0.81730219188546305</v>
      </c>
      <c r="AI995">
        <v>0.76506620133787695</v>
      </c>
      <c r="AJ995">
        <v>0.72956913855016903</v>
      </c>
      <c r="AK995">
        <v>43.3535629403058</v>
      </c>
      <c r="AL995">
        <v>3.21615314793977</v>
      </c>
      <c r="AM995">
        <v>47.644741935483857</v>
      </c>
      <c r="AN995">
        <v>7.0974838709677428</v>
      </c>
    </row>
    <row r="996" spans="1:40" x14ac:dyDescent="0.35">
      <c r="A996">
        <v>1234</v>
      </c>
      <c r="B996">
        <v>57</v>
      </c>
      <c r="C996" t="s">
        <v>40</v>
      </c>
      <c r="D996" t="s">
        <v>52</v>
      </c>
      <c r="E996" t="s">
        <v>42</v>
      </c>
      <c r="F996" t="s">
        <v>49</v>
      </c>
      <c r="G996">
        <v>6</v>
      </c>
      <c r="H996">
        <v>36</v>
      </c>
      <c r="I996">
        <v>6</v>
      </c>
      <c r="J996" t="s">
        <v>56</v>
      </c>
      <c r="K996" t="s">
        <v>46</v>
      </c>
      <c r="L996" t="s">
        <v>79</v>
      </c>
      <c r="M996">
        <v>679.72653487327102</v>
      </c>
      <c r="N996">
        <v>847</v>
      </c>
      <c r="O996">
        <v>492</v>
      </c>
      <c r="P996">
        <v>320</v>
      </c>
      <c r="Q996">
        <v>0</v>
      </c>
      <c r="R996">
        <v>1.0986122886681098</v>
      </c>
      <c r="S996">
        <v>4.4659081186545837</v>
      </c>
      <c r="T996">
        <v>90.88000000000001</v>
      </c>
      <c r="U996">
        <v>0.63076672920079646</v>
      </c>
      <c r="V996">
        <v>-0.66459185691613598</v>
      </c>
      <c r="W996">
        <v>-0.11297510960708999</v>
      </c>
      <c r="X996">
        <v>-0.19037106594949799</v>
      </c>
      <c r="Y996">
        <v>-0.374020329094302</v>
      </c>
      <c r="Z996">
        <v>-0.78642831806525804</v>
      </c>
      <c r="AA996">
        <v>-1.3830773108541501</v>
      </c>
      <c r="AB996">
        <v>1910</v>
      </c>
      <c r="AC996">
        <v>4</v>
      </c>
      <c r="AD996">
        <v>0</v>
      </c>
      <c r="AE996">
        <v>3.4620335695619099E-2</v>
      </c>
      <c r="AF996">
        <v>0.46755284851879497</v>
      </c>
      <c r="AG996">
        <v>-0.28822335126964299</v>
      </c>
      <c r="AH996">
        <v>0.67946012972061998</v>
      </c>
      <c r="AI996">
        <v>0.64218311555018404</v>
      </c>
      <c r="AJ996">
        <v>-0.65181267452104297</v>
      </c>
      <c r="AK996">
        <v>42.698529999999998</v>
      </c>
      <c r="AL996">
        <v>2.8953120000000001</v>
      </c>
      <c r="AM996">
        <v>48.792000000000002</v>
      </c>
      <c r="AN996">
        <v>2.3319999999999999</v>
      </c>
    </row>
    <row r="997" spans="1:40" x14ac:dyDescent="0.35">
      <c r="A997">
        <v>1235</v>
      </c>
      <c r="B997">
        <v>72</v>
      </c>
      <c r="C997" t="s">
        <v>40</v>
      </c>
      <c r="D997" t="s">
        <v>52</v>
      </c>
      <c r="E997" t="s">
        <v>42</v>
      </c>
      <c r="F997" t="s">
        <v>43</v>
      </c>
      <c r="G997">
        <v>6</v>
      </c>
      <c r="H997">
        <v>36</v>
      </c>
      <c r="I997">
        <v>7</v>
      </c>
      <c r="J997" t="s">
        <v>50</v>
      </c>
      <c r="K997" t="s">
        <v>46</v>
      </c>
      <c r="L997" t="s">
        <v>74</v>
      </c>
      <c r="M997">
        <v>126.1620462119362</v>
      </c>
      <c r="N997">
        <v>146</v>
      </c>
      <c r="O997">
        <v>105</v>
      </c>
      <c r="P997">
        <v>89</v>
      </c>
      <c r="Q997">
        <v>1.6094379124341003</v>
      </c>
      <c r="R997">
        <v>2.5649493574615367</v>
      </c>
      <c r="S997">
        <v>4.8202815656050371</v>
      </c>
      <c r="T997">
        <v>91.984920634920627</v>
      </c>
      <c r="U997">
        <v>1.0351430572167302</v>
      </c>
      <c r="V997">
        <v>-0.45376679124596098</v>
      </c>
      <c r="W997">
        <v>-0.56138574648679695</v>
      </c>
      <c r="X997">
        <v>-0.92192590083580195</v>
      </c>
      <c r="Y997">
        <v>-1.17232967929859</v>
      </c>
      <c r="Z997">
        <v>-0.98267194414701198</v>
      </c>
      <c r="AA997">
        <v>-0.89586780259421905</v>
      </c>
      <c r="AB997">
        <v>1270</v>
      </c>
      <c r="AC997">
        <v>3</v>
      </c>
      <c r="AD997">
        <v>1</v>
      </c>
      <c r="AE997">
        <v>-1.1438350904766701</v>
      </c>
      <c r="AF997">
        <v>-2.4478397625103902E-2</v>
      </c>
      <c r="AG997">
        <v>-0.65479172283699105</v>
      </c>
      <c r="AH997">
        <v>-0.24999792328550499</v>
      </c>
      <c r="AI997">
        <v>-0.70732095372278359</v>
      </c>
      <c r="AJ997">
        <v>-1.1254286439732504</v>
      </c>
      <c r="AK997">
        <v>46.672161000000003</v>
      </c>
      <c r="AL997">
        <v>5.558465</v>
      </c>
      <c r="AM997">
        <v>45.731999999999999</v>
      </c>
      <c r="AN997">
        <v>4.6440000000000001</v>
      </c>
    </row>
    <row r="998" spans="1:40" x14ac:dyDescent="0.35">
      <c r="A998">
        <v>1236</v>
      </c>
      <c r="B998">
        <v>42</v>
      </c>
      <c r="C998" t="s">
        <v>48</v>
      </c>
      <c r="D998" t="s">
        <v>41</v>
      </c>
      <c r="E998" t="s">
        <v>42</v>
      </c>
      <c r="F998" t="s">
        <v>43</v>
      </c>
      <c r="G998">
        <v>4</v>
      </c>
      <c r="H998">
        <v>16</v>
      </c>
      <c r="I998">
        <v>5</v>
      </c>
      <c r="J998" t="s">
        <v>45</v>
      </c>
      <c r="K998" t="s">
        <v>46</v>
      </c>
      <c r="L998" t="s">
        <v>55</v>
      </c>
      <c r="M998">
        <v>379.40698391777141</v>
      </c>
      <c r="N998">
        <v>492</v>
      </c>
      <c r="O998">
        <v>357</v>
      </c>
      <c r="P998">
        <v>146</v>
      </c>
      <c r="Q998">
        <v>2.0794415416798357</v>
      </c>
      <c r="R998">
        <v>2.3025850929940459</v>
      </c>
      <c r="S998">
        <v>3.2580965380214821</v>
      </c>
      <c r="T998">
        <v>95.12</v>
      </c>
      <c r="U998">
        <v>0</v>
      </c>
      <c r="V998">
        <v>1.89305099905856</v>
      </c>
      <c r="W998">
        <v>0.59880690621441701</v>
      </c>
      <c r="X998">
        <v>1.1856460040685599</v>
      </c>
      <c r="Y998">
        <v>-0.15565097555555901</v>
      </c>
      <c r="Z998">
        <v>-0.22748295097212001</v>
      </c>
      <c r="AA998">
        <v>1.0415013010201299</v>
      </c>
      <c r="AB998">
        <v>2939.9504036908884</v>
      </c>
      <c r="AC998">
        <v>2</v>
      </c>
      <c r="AD998">
        <v>0.42868127643214149</v>
      </c>
      <c r="AE998">
        <v>-2.40641039566141E-2</v>
      </c>
      <c r="AF998">
        <v>0.78516756365120799</v>
      </c>
      <c r="AG998">
        <v>0.12588442695618901</v>
      </c>
      <c r="AH998">
        <v>-0.37982077512450302</v>
      </c>
      <c r="AI998">
        <v>1.5316613891134101</v>
      </c>
      <c r="AJ998">
        <v>-0.207224864134058</v>
      </c>
      <c r="AK998">
        <v>48.0777517</v>
      </c>
      <c r="AL998">
        <v>7.3579641000000002</v>
      </c>
      <c r="AM998">
        <v>48.856372813999997</v>
      </c>
      <c r="AN998">
        <v>2.3525296170000001</v>
      </c>
    </row>
    <row r="999" spans="1:40" x14ac:dyDescent="0.35">
      <c r="A999">
        <v>1237</v>
      </c>
      <c r="B999">
        <v>72</v>
      </c>
      <c r="C999" t="s">
        <v>48</v>
      </c>
      <c r="D999" t="s">
        <v>52</v>
      </c>
      <c r="E999" t="s">
        <v>42</v>
      </c>
      <c r="F999" t="s">
        <v>49</v>
      </c>
      <c r="G999">
        <v>4</v>
      </c>
      <c r="H999">
        <v>16</v>
      </c>
      <c r="I999">
        <v>5</v>
      </c>
      <c r="J999" t="s">
        <v>50</v>
      </c>
      <c r="K999" t="s">
        <v>46</v>
      </c>
      <c r="L999" t="s">
        <v>47</v>
      </c>
      <c r="M999">
        <v>300.73307746691398</v>
      </c>
      <c r="N999">
        <v>347</v>
      </c>
      <c r="O999">
        <v>226</v>
      </c>
      <c r="P999">
        <v>347</v>
      </c>
      <c r="Q999">
        <v>5.9107966440405271</v>
      </c>
      <c r="R999">
        <v>6.4997870406558542</v>
      </c>
      <c r="S999">
        <v>8.6415324656718457</v>
      </c>
      <c r="T999">
        <v>89.265350482850479</v>
      </c>
      <c r="U999">
        <v>1.4417786561042019</v>
      </c>
      <c r="V999">
        <v>-0.22886708829074301</v>
      </c>
      <c r="W999">
        <v>0.28745285629339301</v>
      </c>
      <c r="X999">
        <v>-0.15627425222847</v>
      </c>
      <c r="Y999">
        <v>1.45226138127617</v>
      </c>
      <c r="Z999">
        <v>0.98247225355557</v>
      </c>
      <c r="AA999">
        <v>0.627775520474398</v>
      </c>
      <c r="AB999">
        <v>3362.2959371744532</v>
      </c>
      <c r="AC999">
        <v>2.8998317172850387</v>
      </c>
      <c r="AD999">
        <v>2.9499158586425196</v>
      </c>
      <c r="AE999">
        <v>1.06273170356322</v>
      </c>
      <c r="AF999">
        <v>-1.3001157898300699</v>
      </c>
      <c r="AG999">
        <v>1.3536191958997299</v>
      </c>
      <c r="AH999">
        <v>0.21581610861404099</v>
      </c>
      <c r="AI999">
        <v>-1.60486601869009</v>
      </c>
      <c r="AJ999">
        <v>0.14224206613460699</v>
      </c>
      <c r="AK999">
        <v>43.3535629403058</v>
      </c>
      <c r="AL999">
        <v>3.21615314793977</v>
      </c>
      <c r="AM999">
        <v>46.039499999999997</v>
      </c>
      <c r="AN999">
        <v>2.8082500000000001</v>
      </c>
    </row>
    <row r="1000" spans="1:40" x14ac:dyDescent="0.35">
      <c r="A1000">
        <v>1238</v>
      </c>
      <c r="B1000">
        <v>57</v>
      </c>
      <c r="C1000" t="s">
        <v>48</v>
      </c>
      <c r="D1000" t="s">
        <v>66</v>
      </c>
      <c r="E1000" t="s">
        <v>42</v>
      </c>
      <c r="F1000" t="s">
        <v>49</v>
      </c>
      <c r="G1000">
        <v>5</v>
      </c>
      <c r="H1000">
        <v>25</v>
      </c>
      <c r="I1000">
        <v>6</v>
      </c>
      <c r="J1000" t="s">
        <v>50</v>
      </c>
      <c r="K1000" t="s">
        <v>46</v>
      </c>
      <c r="L1000" t="s">
        <v>57</v>
      </c>
      <c r="M1000">
        <v>286.54865431671578</v>
      </c>
      <c r="N1000">
        <v>317</v>
      </c>
      <c r="O1000">
        <v>236</v>
      </c>
      <c r="P1000">
        <v>200</v>
      </c>
      <c r="Q1000">
        <v>0.69314718055994529</v>
      </c>
      <c r="R1000">
        <v>3.6109179126442243</v>
      </c>
      <c r="S1000">
        <v>5.8833223884882786</v>
      </c>
      <c r="T1000">
        <v>90.922105263157903</v>
      </c>
      <c r="U1000">
        <v>2.3923758041545438</v>
      </c>
      <c r="V1000">
        <v>-0.399596989308249</v>
      </c>
      <c r="W1000">
        <v>-0.58810405700346202</v>
      </c>
      <c r="X1000">
        <v>-0.29041857108635599</v>
      </c>
      <c r="Y1000">
        <v>-0.846122564821426</v>
      </c>
      <c r="Z1000">
        <v>-0.92679578564836795</v>
      </c>
      <c r="AA1000">
        <v>0.86332342905974202</v>
      </c>
      <c r="AB1000">
        <v>2050</v>
      </c>
      <c r="AC1000">
        <v>1</v>
      </c>
      <c r="AD1000">
        <v>2</v>
      </c>
      <c r="AE1000">
        <v>-0.51011828243844404</v>
      </c>
      <c r="AF1000">
        <v>0.69722530038505603</v>
      </c>
      <c r="AG1000">
        <v>0.58149116244653598</v>
      </c>
      <c r="AH1000">
        <v>0.21758239839260299</v>
      </c>
      <c r="AI1000">
        <v>0.66618476985744002</v>
      </c>
      <c r="AJ1000">
        <v>0.47241645789669601</v>
      </c>
      <c r="AK1000">
        <v>47.023905999999997</v>
      </c>
      <c r="AL1000">
        <v>4.8380429999999999</v>
      </c>
      <c r="AM1000">
        <v>48.78</v>
      </c>
      <c r="AN1000">
        <v>2.0299999999999998</v>
      </c>
    </row>
    <row r="1001" spans="1:40" x14ac:dyDescent="0.35">
      <c r="A1001">
        <v>1239</v>
      </c>
      <c r="B1001">
        <v>72</v>
      </c>
      <c r="C1001" t="s">
        <v>40</v>
      </c>
      <c r="D1001" t="s">
        <v>52</v>
      </c>
      <c r="E1001" t="s">
        <v>42</v>
      </c>
      <c r="F1001" t="s">
        <v>49</v>
      </c>
      <c r="G1001">
        <v>5</v>
      </c>
      <c r="H1001">
        <v>25</v>
      </c>
      <c r="I1001">
        <v>7</v>
      </c>
      <c r="J1001" t="s">
        <v>56</v>
      </c>
      <c r="K1001" t="s">
        <v>46</v>
      </c>
      <c r="L1001" t="s">
        <v>72</v>
      </c>
      <c r="M1001">
        <v>150.32727693984549</v>
      </c>
      <c r="N1001">
        <v>263</v>
      </c>
      <c r="O1001">
        <v>176</v>
      </c>
      <c r="P1001">
        <v>219</v>
      </c>
      <c r="Q1001">
        <v>0.69314718055994529</v>
      </c>
      <c r="R1001">
        <v>1.3862943611198906</v>
      </c>
      <c r="S1001">
        <v>4.5538768916005408</v>
      </c>
      <c r="T1001">
        <v>89.340161030595823</v>
      </c>
      <c r="U1001">
        <v>1.4712304197281412</v>
      </c>
      <c r="V1001">
        <v>0.59716251398508702</v>
      </c>
      <c r="W1001">
        <v>0.91068296986709796</v>
      </c>
      <c r="X1001">
        <v>1.2273243988355</v>
      </c>
      <c r="Y1001">
        <v>-0.4121809470949</v>
      </c>
      <c r="Z1001">
        <v>-0.86472582726521097</v>
      </c>
      <c r="AA1001">
        <v>-1.0172779374790899</v>
      </c>
      <c r="AB1001">
        <v>1828.1689246701658</v>
      </c>
      <c r="AC1001">
        <v>1.1127464888636687</v>
      </c>
      <c r="AD1001">
        <v>1.8630656830756136</v>
      </c>
      <c r="AE1001">
        <v>-0.53926882203722504</v>
      </c>
      <c r="AF1001">
        <v>1.30119469745972E-2</v>
      </c>
      <c r="AG1001">
        <v>-4.39841086566072E-2</v>
      </c>
      <c r="AH1001">
        <v>1.0646438704918399</v>
      </c>
      <c r="AI1001">
        <v>0.99726714888694101</v>
      </c>
      <c r="AJ1001">
        <v>-2.1169896572994</v>
      </c>
      <c r="AK1001">
        <v>44.503641999999999</v>
      </c>
      <c r="AL1001">
        <v>1.1863669999999999</v>
      </c>
      <c r="AM1001">
        <v>43.373666666666672</v>
      </c>
      <c r="AN1001">
        <v>0.15941666666666668</v>
      </c>
    </row>
    <row r="1002" spans="1:40" x14ac:dyDescent="0.35">
      <c r="A1002">
        <v>1240</v>
      </c>
      <c r="B1002">
        <v>57</v>
      </c>
      <c r="C1002" t="s">
        <v>40</v>
      </c>
      <c r="D1002" t="s">
        <v>41</v>
      </c>
      <c r="E1002" t="s">
        <v>42</v>
      </c>
      <c r="F1002" t="s">
        <v>49</v>
      </c>
      <c r="G1002">
        <v>3</v>
      </c>
      <c r="H1002">
        <v>9</v>
      </c>
      <c r="I1002">
        <v>3</v>
      </c>
      <c r="J1002" t="s">
        <v>45</v>
      </c>
      <c r="K1002" t="s">
        <v>46</v>
      </c>
      <c r="L1002" t="s">
        <v>83</v>
      </c>
      <c r="M1002">
        <v>285.71946628213112</v>
      </c>
      <c r="N1002">
        <v>343</v>
      </c>
      <c r="O1002">
        <v>231</v>
      </c>
      <c r="P1002">
        <v>202</v>
      </c>
      <c r="Q1002">
        <v>0</v>
      </c>
      <c r="R1002">
        <v>0</v>
      </c>
      <c r="S1002">
        <v>4.4886363697321396</v>
      </c>
      <c r="T1002">
        <v>90.115111111111119</v>
      </c>
      <c r="U1002">
        <v>1.2513404171152498</v>
      </c>
      <c r="V1002">
        <v>-0.46152060700845399</v>
      </c>
      <c r="W1002">
        <v>-0.57121975163865102</v>
      </c>
      <c r="X1002">
        <v>-0.33135740862223101</v>
      </c>
      <c r="Y1002">
        <v>-0.77598924050104101</v>
      </c>
      <c r="Z1002">
        <v>0.47668876811384397</v>
      </c>
      <c r="AA1002">
        <v>0.85617757356637403</v>
      </c>
      <c r="AB1002">
        <v>2565</v>
      </c>
      <c r="AC1002">
        <v>1</v>
      </c>
      <c r="AD1002">
        <v>0</v>
      </c>
      <c r="AE1002">
        <v>-0.72514205471140702</v>
      </c>
      <c r="AF1002">
        <v>-1.2799370529758001</v>
      </c>
      <c r="AG1002">
        <v>0.90937861655765595</v>
      </c>
      <c r="AH1002">
        <v>1.3080643109482299</v>
      </c>
      <c r="AI1002">
        <v>0.27008942391797602</v>
      </c>
      <c r="AJ1002">
        <v>0.37813094117242202</v>
      </c>
      <c r="AK1002">
        <v>46.839658</v>
      </c>
      <c r="AL1002">
        <v>4.7189269999999999</v>
      </c>
      <c r="AM1002">
        <v>48.856372813999997</v>
      </c>
      <c r="AN1002">
        <v>2.3525296170000001</v>
      </c>
    </row>
    <row r="1003" spans="1:40" x14ac:dyDescent="0.35">
      <c r="A1003">
        <v>1241</v>
      </c>
      <c r="B1003">
        <v>72</v>
      </c>
      <c r="C1003" t="s">
        <v>48</v>
      </c>
      <c r="D1003" t="s">
        <v>52</v>
      </c>
      <c r="E1003" t="s">
        <v>42</v>
      </c>
      <c r="F1003" t="s">
        <v>53</v>
      </c>
      <c r="G1003">
        <v>1</v>
      </c>
      <c r="H1003">
        <v>1</v>
      </c>
      <c r="I1003">
        <v>2</v>
      </c>
      <c r="J1003" t="s">
        <v>45</v>
      </c>
      <c r="K1003" t="s">
        <v>46</v>
      </c>
      <c r="L1003" t="s">
        <v>47</v>
      </c>
      <c r="M1003">
        <v>616.17410665584759</v>
      </c>
      <c r="N1003">
        <v>757</v>
      </c>
      <c r="O1003">
        <v>474</v>
      </c>
      <c r="P1003">
        <v>309</v>
      </c>
      <c r="Q1003">
        <v>5.9107966440405271</v>
      </c>
      <c r="R1003">
        <v>6.4997870406558542</v>
      </c>
      <c r="S1003">
        <v>8.6415324656718457</v>
      </c>
      <c r="T1003">
        <v>89.265350482850479</v>
      </c>
      <c r="U1003">
        <v>1.4417786561042019</v>
      </c>
      <c r="V1003">
        <v>-0.22886708829074301</v>
      </c>
      <c r="W1003">
        <v>0.28745285629339301</v>
      </c>
      <c r="X1003">
        <v>-0.15627425222847</v>
      </c>
      <c r="Y1003">
        <v>1.45226138127617</v>
      </c>
      <c r="Z1003">
        <v>0.98247225355557</v>
      </c>
      <c r="AA1003">
        <v>0.627775520474398</v>
      </c>
      <c r="AB1003">
        <v>3362.2959371744532</v>
      </c>
      <c r="AC1003">
        <v>2.8998317172850387</v>
      </c>
      <c r="AD1003">
        <v>2.9499158586425196</v>
      </c>
      <c r="AE1003">
        <v>1.06273170356322</v>
      </c>
      <c r="AF1003">
        <v>0.90997917515356097</v>
      </c>
      <c r="AG1003">
        <v>0.81470195189550099</v>
      </c>
      <c r="AH1003">
        <v>-0.20396438087687399</v>
      </c>
      <c r="AI1003">
        <v>0.750322707426885</v>
      </c>
      <c r="AJ1003">
        <v>-1.43374151323638</v>
      </c>
      <c r="AK1003">
        <v>43.3535629403058</v>
      </c>
      <c r="AL1003">
        <v>3.21615314793977</v>
      </c>
      <c r="AM1003">
        <v>48.856372813999997</v>
      </c>
      <c r="AN1003">
        <v>2.3525296170000001</v>
      </c>
    </row>
    <row r="1004" spans="1:40" x14ac:dyDescent="0.35">
      <c r="A1004">
        <v>1242</v>
      </c>
      <c r="B1004">
        <v>57</v>
      </c>
      <c r="C1004" t="s">
        <v>40</v>
      </c>
      <c r="D1004" t="s">
        <v>41</v>
      </c>
      <c r="E1004" t="s">
        <v>68</v>
      </c>
      <c r="F1004" t="s">
        <v>49</v>
      </c>
      <c r="G1004">
        <v>5</v>
      </c>
      <c r="H1004">
        <v>25</v>
      </c>
      <c r="I1004">
        <v>6</v>
      </c>
      <c r="J1004" t="s">
        <v>50</v>
      </c>
      <c r="K1004" t="s">
        <v>46</v>
      </c>
      <c r="L1004" t="s">
        <v>62</v>
      </c>
      <c r="M1004">
        <v>185.02215271766741</v>
      </c>
      <c r="N1004">
        <v>263</v>
      </c>
      <c r="O1004">
        <v>231</v>
      </c>
      <c r="P1004">
        <v>208</v>
      </c>
      <c r="Q1004">
        <v>0.69314718055994529</v>
      </c>
      <c r="R1004">
        <v>3.2580965380214821</v>
      </c>
      <c r="S1004">
        <v>3.2580965380214821</v>
      </c>
      <c r="T1004">
        <v>95.68</v>
      </c>
      <c r="U1004">
        <v>0</v>
      </c>
      <c r="V1004">
        <v>1.82802042479695</v>
      </c>
      <c r="W1004">
        <v>0.99424279543483596</v>
      </c>
      <c r="X1004">
        <v>0.99177342203587404</v>
      </c>
      <c r="Y1004">
        <v>-0.96278755162326501</v>
      </c>
      <c r="Z1004">
        <v>-0.75605764486205096</v>
      </c>
      <c r="AA1004">
        <v>-0.80037586101695801</v>
      </c>
      <c r="AB1004">
        <v>2092.91</v>
      </c>
      <c r="AC1004">
        <v>0</v>
      </c>
      <c r="AD1004">
        <v>2.1</v>
      </c>
      <c r="AE1004">
        <v>-1.0768626388726401</v>
      </c>
      <c r="AF1004">
        <v>0.32621101381282902</v>
      </c>
      <c r="AG1004">
        <v>1.20793051665873</v>
      </c>
      <c r="AH1004">
        <v>-0.47424195065272401</v>
      </c>
      <c r="AI1004">
        <v>0.38954998753077302</v>
      </c>
      <c r="AJ1004">
        <v>-1.48837760585358</v>
      </c>
      <c r="AK1004">
        <v>49.042560999999999</v>
      </c>
      <c r="AL1004">
        <v>3.9528660000000002</v>
      </c>
      <c r="AM1004">
        <v>50.640682937000001</v>
      </c>
      <c r="AN1004">
        <v>4.6610704270000003</v>
      </c>
    </row>
    <row r="1005" spans="1:40" x14ac:dyDescent="0.35">
      <c r="A1005">
        <v>1243</v>
      </c>
      <c r="B1005">
        <v>29.5</v>
      </c>
      <c r="C1005" t="s">
        <v>40</v>
      </c>
      <c r="D1005" t="s">
        <v>41</v>
      </c>
      <c r="E1005" t="s">
        <v>42</v>
      </c>
      <c r="F1005" t="s">
        <v>43</v>
      </c>
      <c r="G1005">
        <v>7</v>
      </c>
      <c r="H1005">
        <v>49</v>
      </c>
      <c r="I1005">
        <v>4</v>
      </c>
      <c r="J1005" t="s">
        <v>50</v>
      </c>
      <c r="K1005" t="s">
        <v>46</v>
      </c>
      <c r="L1005" t="s">
        <v>72</v>
      </c>
      <c r="M1005">
        <v>488.37200468076122</v>
      </c>
      <c r="N1005">
        <v>574</v>
      </c>
      <c r="O1005">
        <v>350</v>
      </c>
      <c r="P1005">
        <v>374</v>
      </c>
      <c r="Q1005">
        <v>0.69314718055994529</v>
      </c>
      <c r="R1005">
        <v>1.3862943611198906</v>
      </c>
      <c r="S1005">
        <v>4.5538768916005408</v>
      </c>
      <c r="T1005">
        <v>89.340161030595823</v>
      </c>
      <c r="U1005">
        <v>1.4712304197281412</v>
      </c>
      <c r="V1005">
        <v>0.59716251398508702</v>
      </c>
      <c r="W1005">
        <v>0.91068296986709796</v>
      </c>
      <c r="X1005">
        <v>1.2273243988355</v>
      </c>
      <c r="Y1005">
        <v>-0.4121809470949</v>
      </c>
      <c r="Z1005">
        <v>-0.86472582726521097</v>
      </c>
      <c r="AA1005">
        <v>-1.0172779374790899</v>
      </c>
      <c r="AB1005">
        <v>1828.1689246701658</v>
      </c>
      <c r="AC1005">
        <v>1.1127464888636687</v>
      </c>
      <c r="AD1005">
        <v>1.8630656830756136</v>
      </c>
      <c r="AE1005">
        <v>-0.53926882203722504</v>
      </c>
      <c r="AF1005">
        <v>-0.85260284243020301</v>
      </c>
      <c r="AG1005">
        <v>-1.75029011943586</v>
      </c>
      <c r="AH1005">
        <v>-0.272166257900398</v>
      </c>
      <c r="AI1005">
        <v>-1.3662997177200999</v>
      </c>
      <c r="AJ1005">
        <v>0.173844876401826</v>
      </c>
      <c r="AK1005">
        <v>44.503641999999999</v>
      </c>
      <c r="AL1005">
        <v>1.1863669999999999</v>
      </c>
      <c r="AM1005">
        <v>48.80599999999999</v>
      </c>
      <c r="AN1005">
        <v>2.4380000000000002</v>
      </c>
    </row>
    <row r="1006" spans="1:40" x14ac:dyDescent="0.35">
      <c r="A1006">
        <v>1244</v>
      </c>
      <c r="B1006">
        <v>72</v>
      </c>
      <c r="C1006" t="s">
        <v>40</v>
      </c>
      <c r="D1006" t="s">
        <v>52</v>
      </c>
      <c r="E1006" t="s">
        <v>42</v>
      </c>
      <c r="F1006" t="s">
        <v>49</v>
      </c>
      <c r="G1006">
        <v>4</v>
      </c>
      <c r="H1006">
        <v>16</v>
      </c>
      <c r="I1006">
        <v>4</v>
      </c>
      <c r="J1006" t="s">
        <v>56</v>
      </c>
      <c r="K1006" t="s">
        <v>46</v>
      </c>
      <c r="L1006" t="s">
        <v>60</v>
      </c>
      <c r="M1006">
        <v>572.33479832382</v>
      </c>
      <c r="N1006">
        <v>704</v>
      </c>
      <c r="O1006">
        <v>480</v>
      </c>
      <c r="P1006">
        <v>291</v>
      </c>
      <c r="Q1006">
        <v>3.8501476017100584</v>
      </c>
      <c r="R1006">
        <v>2.9957322735539909</v>
      </c>
      <c r="S1006">
        <v>5.4424177105217932</v>
      </c>
      <c r="T1006">
        <v>88.975873222691746</v>
      </c>
      <c r="U1006">
        <v>2.5514539469641888</v>
      </c>
      <c r="V1006">
        <v>2.9336799326863701</v>
      </c>
      <c r="W1006">
        <v>3.3730943146768602</v>
      </c>
      <c r="X1006">
        <v>3.6072071704345601</v>
      </c>
      <c r="Y1006">
        <v>-0.19189497559235799</v>
      </c>
      <c r="Z1006">
        <v>0.17569111512999699</v>
      </c>
      <c r="AA1006">
        <v>-0.304970615080496</v>
      </c>
      <c r="AB1006">
        <v>1906.836709612184</v>
      </c>
      <c r="AC1006">
        <v>0.7978420820676605</v>
      </c>
      <c r="AD1006">
        <v>2.1056638128240834</v>
      </c>
      <c r="AE1006">
        <v>-0.25037207080954499</v>
      </c>
      <c r="AF1006">
        <v>0.38643026827219901</v>
      </c>
      <c r="AG1006">
        <v>0.62363628645328595</v>
      </c>
      <c r="AH1006">
        <v>0.98344722516790795</v>
      </c>
      <c r="AI1006">
        <v>-6.1290803558796E-2</v>
      </c>
      <c r="AJ1006">
        <v>1.2388523898377799</v>
      </c>
      <c r="AK1006">
        <v>44.055988999999997</v>
      </c>
      <c r="AL1006">
        <v>4.8317350000000001</v>
      </c>
      <c r="AM1006">
        <v>48.884999999999998</v>
      </c>
      <c r="AN1006">
        <v>2.266</v>
      </c>
    </row>
    <row r="1007" spans="1:40" x14ac:dyDescent="0.35">
      <c r="A1007">
        <v>1245</v>
      </c>
      <c r="B1007">
        <v>57</v>
      </c>
      <c r="C1007" t="s">
        <v>40</v>
      </c>
      <c r="D1007" t="s">
        <v>52</v>
      </c>
      <c r="E1007" t="s">
        <v>42</v>
      </c>
      <c r="F1007" t="s">
        <v>49</v>
      </c>
      <c r="G1007">
        <v>4</v>
      </c>
      <c r="H1007">
        <v>16</v>
      </c>
      <c r="I1007">
        <v>4</v>
      </c>
      <c r="J1007" t="s">
        <v>45</v>
      </c>
      <c r="K1007" t="s">
        <v>46</v>
      </c>
      <c r="L1007" t="s">
        <v>55</v>
      </c>
      <c r="M1007">
        <v>361.52172832131419</v>
      </c>
      <c r="N1007">
        <v>554</v>
      </c>
      <c r="O1007">
        <v>374</v>
      </c>
      <c r="P1007">
        <v>249</v>
      </c>
      <c r="Q1007">
        <v>2.0794415416798357</v>
      </c>
      <c r="R1007">
        <v>2.3025850929940459</v>
      </c>
      <c r="S1007">
        <v>3.2580965380214821</v>
      </c>
      <c r="T1007">
        <v>95.12</v>
      </c>
      <c r="U1007">
        <v>0</v>
      </c>
      <c r="V1007">
        <v>1.89305099905856</v>
      </c>
      <c r="W1007">
        <v>0.59880690621441701</v>
      </c>
      <c r="X1007">
        <v>1.1856460040685599</v>
      </c>
      <c r="Y1007">
        <v>-0.15565097555555901</v>
      </c>
      <c r="Z1007">
        <v>-0.22748295097212001</v>
      </c>
      <c r="AA1007">
        <v>1.0415013010201299</v>
      </c>
      <c r="AB1007">
        <v>2939.9504036908884</v>
      </c>
      <c r="AC1007">
        <v>2</v>
      </c>
      <c r="AD1007">
        <v>0.42868127643214149</v>
      </c>
      <c r="AE1007">
        <v>-2.40641039566141E-2</v>
      </c>
      <c r="AF1007">
        <v>0.79501744678462305</v>
      </c>
      <c r="AG1007">
        <v>0.14079890791744601</v>
      </c>
      <c r="AH1007">
        <v>0.29840835308299302</v>
      </c>
      <c r="AI1007">
        <v>-9.17932911069861E-2</v>
      </c>
      <c r="AJ1007">
        <v>-1.18823268412848</v>
      </c>
      <c r="AK1007">
        <v>48.0777517</v>
      </c>
      <c r="AL1007">
        <v>7.3579641000000002</v>
      </c>
      <c r="AM1007">
        <v>50.234933333333331</v>
      </c>
      <c r="AN1007">
        <v>3.6444666666666667</v>
      </c>
    </row>
    <row r="1008" spans="1:40" x14ac:dyDescent="0.35">
      <c r="A1008">
        <v>1246</v>
      </c>
      <c r="B1008">
        <v>72</v>
      </c>
      <c r="C1008" t="s">
        <v>40</v>
      </c>
      <c r="D1008" t="s">
        <v>41</v>
      </c>
      <c r="E1008" t="s">
        <v>42</v>
      </c>
      <c r="F1008" t="s">
        <v>49</v>
      </c>
      <c r="G1008">
        <v>4</v>
      </c>
      <c r="H1008">
        <v>16</v>
      </c>
      <c r="I1008">
        <v>3</v>
      </c>
      <c r="J1008" t="s">
        <v>56</v>
      </c>
      <c r="K1008" t="s">
        <v>46</v>
      </c>
      <c r="L1008" t="s">
        <v>72</v>
      </c>
      <c r="M1008">
        <v>325.42947991899803</v>
      </c>
      <c r="N1008">
        <v>455</v>
      </c>
      <c r="O1008">
        <v>284</v>
      </c>
      <c r="P1008">
        <v>359</v>
      </c>
      <c r="Q1008">
        <v>0.69314718055994529</v>
      </c>
      <c r="R1008">
        <v>1.3862943611198906</v>
      </c>
      <c r="S1008">
        <v>4.5538768916005408</v>
      </c>
      <c r="T1008">
        <v>89.340161030595823</v>
      </c>
      <c r="U1008">
        <v>1.4712304197281412</v>
      </c>
      <c r="V1008">
        <v>0.59716251398508702</v>
      </c>
      <c r="W1008">
        <v>0.91068296986709796</v>
      </c>
      <c r="X1008">
        <v>1.2273243988355</v>
      </c>
      <c r="Y1008">
        <v>-0.4121809470949</v>
      </c>
      <c r="Z1008">
        <v>-0.86472582726521097</v>
      </c>
      <c r="AA1008">
        <v>-1.0172779374790899</v>
      </c>
      <c r="AB1008">
        <v>1828.1689246701658</v>
      </c>
      <c r="AC1008">
        <v>1.1127464888636687</v>
      </c>
      <c r="AD1008">
        <v>1.8630656830756136</v>
      </c>
      <c r="AE1008">
        <v>-0.53926882203722504</v>
      </c>
      <c r="AF1008">
        <v>1.5460613518814501</v>
      </c>
      <c r="AG1008">
        <v>1.0797383975188599</v>
      </c>
      <c r="AH1008">
        <v>0.82580291285532803</v>
      </c>
      <c r="AI1008">
        <v>1.29159148207479</v>
      </c>
      <c r="AJ1008">
        <v>-0.277280665702408</v>
      </c>
      <c r="AK1008">
        <v>44.503641999999999</v>
      </c>
      <c r="AL1008">
        <v>1.1863669999999999</v>
      </c>
      <c r="AM1008">
        <v>45.833000000000006</v>
      </c>
      <c r="AN1008">
        <v>4.88</v>
      </c>
    </row>
    <row r="1009" spans="1:40" x14ac:dyDescent="0.35">
      <c r="A1009">
        <v>1247</v>
      </c>
      <c r="B1009">
        <v>72</v>
      </c>
      <c r="C1009" t="s">
        <v>48</v>
      </c>
      <c r="D1009" t="s">
        <v>52</v>
      </c>
      <c r="E1009" t="s">
        <v>42</v>
      </c>
      <c r="F1009" t="s">
        <v>49</v>
      </c>
      <c r="G1009">
        <v>4</v>
      </c>
      <c r="H1009">
        <v>16</v>
      </c>
      <c r="I1009">
        <v>4</v>
      </c>
      <c r="J1009" t="s">
        <v>50</v>
      </c>
      <c r="K1009" t="s">
        <v>46</v>
      </c>
      <c r="L1009" t="s">
        <v>77</v>
      </c>
      <c r="M1009">
        <v>253.57285753495381</v>
      </c>
      <c r="N1009">
        <v>321</v>
      </c>
      <c r="O1009">
        <v>204</v>
      </c>
      <c r="P1009">
        <v>127</v>
      </c>
      <c r="Q1009">
        <v>0</v>
      </c>
      <c r="R1009">
        <v>2.3978952727983707</v>
      </c>
      <c r="S1009">
        <v>5.1416635565026603</v>
      </c>
      <c r="T1009">
        <v>90.472417453603512</v>
      </c>
      <c r="U1009">
        <v>2.7735735584863375</v>
      </c>
      <c r="V1009">
        <v>-0.15231437986527399</v>
      </c>
      <c r="W1009">
        <v>3.49635939345109E-2</v>
      </c>
      <c r="X1009">
        <v>-0.19627808847033801</v>
      </c>
      <c r="Y1009">
        <v>-0.57382446736590997</v>
      </c>
      <c r="Z1009">
        <v>-0.74335605457542497</v>
      </c>
      <c r="AA1009">
        <v>-0.53588051656191904</v>
      </c>
      <c r="AB1009">
        <v>3937</v>
      </c>
      <c r="AC1009">
        <v>0</v>
      </c>
      <c r="AD1009">
        <v>1</v>
      </c>
      <c r="AE1009">
        <v>-0.72244456620022002</v>
      </c>
      <c r="AF1009">
        <v>0.63396259992646198</v>
      </c>
      <c r="AG1009">
        <v>0.58105849491964701</v>
      </c>
      <c r="AH1009">
        <v>0.85751063530231997</v>
      </c>
      <c r="AI1009">
        <v>-1.41721755791353</v>
      </c>
      <c r="AJ1009">
        <v>0.53849691723878101</v>
      </c>
      <c r="AK1009">
        <v>47.259622</v>
      </c>
      <c r="AL1009">
        <v>-7.8518000000000004E-2</v>
      </c>
      <c r="AM1009">
        <v>48.856372813999997</v>
      </c>
      <c r="AN1009">
        <v>2.3525296170000001</v>
      </c>
    </row>
    <row r="1010" spans="1:40" x14ac:dyDescent="0.35">
      <c r="A1010">
        <v>1248</v>
      </c>
      <c r="B1010">
        <v>72</v>
      </c>
      <c r="C1010" t="s">
        <v>40</v>
      </c>
      <c r="D1010" t="s">
        <v>52</v>
      </c>
      <c r="E1010" t="s">
        <v>42</v>
      </c>
      <c r="F1010" t="s">
        <v>49</v>
      </c>
      <c r="G1010">
        <v>5</v>
      </c>
      <c r="H1010">
        <v>25</v>
      </c>
      <c r="I1010">
        <v>5</v>
      </c>
      <c r="J1010" t="s">
        <v>50</v>
      </c>
      <c r="K1010" t="s">
        <v>46</v>
      </c>
      <c r="L1010" t="s">
        <v>47</v>
      </c>
      <c r="M1010">
        <v>732.58254849661103</v>
      </c>
      <c r="N1010">
        <v>993</v>
      </c>
      <c r="O1010">
        <v>586</v>
      </c>
      <c r="P1010">
        <v>885</v>
      </c>
      <c r="Q1010">
        <v>5.9107966440405271</v>
      </c>
      <c r="R1010">
        <v>6.4997870406558542</v>
      </c>
      <c r="S1010">
        <v>8.6415324656718457</v>
      </c>
      <c r="T1010">
        <v>89.265350482850479</v>
      </c>
      <c r="U1010">
        <v>1.4417786561042019</v>
      </c>
      <c r="V1010">
        <v>-0.22886708829074301</v>
      </c>
      <c r="W1010">
        <v>0.28745285629339301</v>
      </c>
      <c r="X1010">
        <v>-0.15627425222847</v>
      </c>
      <c r="Y1010">
        <v>1.45226138127617</v>
      </c>
      <c r="Z1010">
        <v>0.98247225355557</v>
      </c>
      <c r="AA1010">
        <v>0.627775520474398</v>
      </c>
      <c r="AB1010">
        <v>3362.2959371744532</v>
      </c>
      <c r="AC1010">
        <v>2.8998317172850387</v>
      </c>
      <c r="AD1010">
        <v>2.9499158586425196</v>
      </c>
      <c r="AE1010">
        <v>1.06273170356322</v>
      </c>
      <c r="AF1010">
        <v>-0.80373861442456096</v>
      </c>
      <c r="AG1010">
        <v>-1.1224187223123701</v>
      </c>
      <c r="AH1010">
        <v>0.56580518296680704</v>
      </c>
      <c r="AI1010">
        <v>-0.83438682457526803</v>
      </c>
      <c r="AJ1010">
        <v>0.87279045097348296</v>
      </c>
      <c r="AK1010">
        <v>43.3535629403058</v>
      </c>
      <c r="AL1010">
        <v>3.21615314793977</v>
      </c>
      <c r="AM1010">
        <v>49.039000000000001</v>
      </c>
      <c r="AN1010">
        <v>-1.581</v>
      </c>
    </row>
    <row r="1011" spans="1:40" x14ac:dyDescent="0.35">
      <c r="A1011">
        <v>1249</v>
      </c>
      <c r="B1011">
        <v>42</v>
      </c>
      <c r="C1011" t="s">
        <v>40</v>
      </c>
      <c r="D1011" t="s">
        <v>41</v>
      </c>
      <c r="E1011" t="s">
        <v>42</v>
      </c>
      <c r="F1011" t="s">
        <v>49</v>
      </c>
      <c r="G1011">
        <v>5</v>
      </c>
      <c r="H1011">
        <v>25</v>
      </c>
      <c r="I1011">
        <v>5</v>
      </c>
      <c r="J1011" t="s">
        <v>56</v>
      </c>
      <c r="K1011" t="s">
        <v>46</v>
      </c>
      <c r="L1011" t="s">
        <v>62</v>
      </c>
      <c r="M1011">
        <v>559.04466261164191</v>
      </c>
      <c r="N1011">
        <v>715</v>
      </c>
      <c r="O1011">
        <v>380</v>
      </c>
      <c r="P1011">
        <v>277</v>
      </c>
      <c r="Q1011">
        <v>0.69314718055994529</v>
      </c>
      <c r="R1011">
        <v>3.2580965380214821</v>
      </c>
      <c r="S1011">
        <v>3.2580965380214821</v>
      </c>
      <c r="T1011">
        <v>95.68</v>
      </c>
      <c r="U1011">
        <v>0</v>
      </c>
      <c r="V1011">
        <v>1.82802042479695</v>
      </c>
      <c r="W1011">
        <v>0.99424279543483596</v>
      </c>
      <c r="X1011">
        <v>0.99177342203587404</v>
      </c>
      <c r="Y1011">
        <v>-0.96278755162326501</v>
      </c>
      <c r="Z1011">
        <v>-0.75605764486205096</v>
      </c>
      <c r="AA1011">
        <v>-0.80037586101695801</v>
      </c>
      <c r="AB1011">
        <v>2092.91</v>
      </c>
      <c r="AC1011">
        <v>0</v>
      </c>
      <c r="AD1011">
        <v>2.1</v>
      </c>
      <c r="AE1011">
        <v>-1.0768626388726401</v>
      </c>
      <c r="AF1011">
        <v>0.97106846525368895</v>
      </c>
      <c r="AG1011">
        <v>0.62224522273025296</v>
      </c>
      <c r="AH1011">
        <v>-0.92645685557233304</v>
      </c>
      <c r="AI1011">
        <v>0.55424895462534096</v>
      </c>
      <c r="AJ1011">
        <v>6.2614823694723598E-2</v>
      </c>
      <c r="AK1011">
        <v>49.042560999999999</v>
      </c>
      <c r="AL1011">
        <v>3.9528660000000002</v>
      </c>
      <c r="AM1011">
        <v>45.192749999999997</v>
      </c>
      <c r="AN1011">
        <v>-0.79074999999999995</v>
      </c>
    </row>
    <row r="1012" spans="1:40" x14ac:dyDescent="0.35">
      <c r="A1012">
        <v>1251</v>
      </c>
      <c r="B1012">
        <v>72</v>
      </c>
      <c r="C1012" t="s">
        <v>40</v>
      </c>
      <c r="D1012" t="s">
        <v>52</v>
      </c>
      <c r="E1012" t="s">
        <v>42</v>
      </c>
      <c r="F1012" t="s">
        <v>49</v>
      </c>
      <c r="G1012">
        <v>4</v>
      </c>
      <c r="H1012">
        <v>16</v>
      </c>
      <c r="I1012">
        <v>5</v>
      </c>
      <c r="J1012" t="s">
        <v>50</v>
      </c>
      <c r="K1012" t="s">
        <v>46</v>
      </c>
      <c r="L1012" t="s">
        <v>57</v>
      </c>
      <c r="M1012">
        <v>507.31606729896191</v>
      </c>
      <c r="N1012">
        <v>614</v>
      </c>
      <c r="O1012">
        <v>377</v>
      </c>
      <c r="P1012">
        <v>263</v>
      </c>
      <c r="Q1012">
        <v>0.69314718055994529</v>
      </c>
      <c r="R1012">
        <v>3.6109179126442243</v>
      </c>
      <c r="S1012">
        <v>5.8833223884882786</v>
      </c>
      <c r="T1012">
        <v>90.922105263157903</v>
      </c>
      <c r="U1012">
        <v>2.3923758041545438</v>
      </c>
      <c r="V1012">
        <v>-0.399596989308249</v>
      </c>
      <c r="W1012">
        <v>-0.58810405700346202</v>
      </c>
      <c r="X1012">
        <v>-0.29041857108635599</v>
      </c>
      <c r="Y1012">
        <v>-0.846122564821426</v>
      </c>
      <c r="Z1012">
        <v>-0.92679578564836795</v>
      </c>
      <c r="AA1012">
        <v>0.86332342905974202</v>
      </c>
      <c r="AB1012">
        <v>2050</v>
      </c>
      <c r="AC1012">
        <v>1</v>
      </c>
      <c r="AD1012">
        <v>2</v>
      </c>
      <c r="AE1012">
        <v>-0.51011828243844404</v>
      </c>
      <c r="AF1012">
        <v>-0.131164850393928</v>
      </c>
      <c r="AG1012">
        <v>-0.72827008096160695</v>
      </c>
      <c r="AH1012">
        <v>0.77943242331141904</v>
      </c>
      <c r="AI1012">
        <v>1.21076587002157</v>
      </c>
      <c r="AJ1012">
        <v>-7.1282496506598599E-3</v>
      </c>
      <c r="AK1012">
        <v>47.023905999999997</v>
      </c>
      <c r="AL1012">
        <v>4.8380429999999999</v>
      </c>
      <c r="AM1012">
        <v>48.026000000000003</v>
      </c>
      <c r="AN1012">
        <v>-1.748</v>
      </c>
    </row>
    <row r="1013" spans="1:40" x14ac:dyDescent="0.35">
      <c r="A1013">
        <v>1253</v>
      </c>
      <c r="B1013">
        <v>57</v>
      </c>
      <c r="C1013" t="s">
        <v>40</v>
      </c>
      <c r="D1013" t="s">
        <v>52</v>
      </c>
      <c r="E1013" t="s">
        <v>68</v>
      </c>
      <c r="F1013" t="s">
        <v>43</v>
      </c>
      <c r="G1013">
        <v>5</v>
      </c>
      <c r="H1013">
        <v>25</v>
      </c>
      <c r="I1013">
        <v>6</v>
      </c>
      <c r="J1013" t="s">
        <v>56</v>
      </c>
      <c r="K1013" t="s">
        <v>46</v>
      </c>
      <c r="L1013" t="s">
        <v>72</v>
      </c>
      <c r="M1013">
        <v>731.10476626289585</v>
      </c>
      <c r="N1013">
        <v>905</v>
      </c>
      <c r="O1013">
        <v>565</v>
      </c>
      <c r="P1013">
        <v>553</v>
      </c>
      <c r="Q1013">
        <v>0.69314718055994529</v>
      </c>
      <c r="R1013">
        <v>1.3862943611198906</v>
      </c>
      <c r="S1013">
        <v>4.5538768916005408</v>
      </c>
      <c r="T1013">
        <v>89.340161030595823</v>
      </c>
      <c r="U1013">
        <v>1.4712304197281412</v>
      </c>
      <c r="V1013">
        <v>0.59716251398508702</v>
      </c>
      <c r="W1013">
        <v>0.91068296986709796</v>
      </c>
      <c r="X1013">
        <v>1.2273243988355</v>
      </c>
      <c r="Y1013">
        <v>-0.4121809470949</v>
      </c>
      <c r="Z1013">
        <v>-0.86472582726521097</v>
      </c>
      <c r="AA1013">
        <v>-1.0172779374790899</v>
      </c>
      <c r="AB1013">
        <v>1828.1689246701658</v>
      </c>
      <c r="AC1013">
        <v>1.1127464888636687</v>
      </c>
      <c r="AD1013">
        <v>1.8630656830756136</v>
      </c>
      <c r="AE1013">
        <v>-0.53926882203722504</v>
      </c>
      <c r="AF1013">
        <v>0.45620420897556402</v>
      </c>
      <c r="AG1013">
        <v>0.66631317472140295</v>
      </c>
      <c r="AH1013">
        <v>-0.120511034362945</v>
      </c>
      <c r="AI1013">
        <v>1.1311437225288701</v>
      </c>
      <c r="AJ1013">
        <v>-0.17723235846070901</v>
      </c>
      <c r="AK1013">
        <v>44.503641999999999</v>
      </c>
      <c r="AL1013">
        <v>1.1863669999999999</v>
      </c>
      <c r="AM1013">
        <v>50.640682937000001</v>
      </c>
      <c r="AN1013">
        <v>4.6610704270000003</v>
      </c>
    </row>
    <row r="1014" spans="1:40" x14ac:dyDescent="0.35">
      <c r="A1014">
        <v>1254</v>
      </c>
      <c r="B1014">
        <v>72</v>
      </c>
      <c r="C1014" t="s">
        <v>40</v>
      </c>
      <c r="D1014" t="s">
        <v>52</v>
      </c>
      <c r="E1014" t="s">
        <v>42</v>
      </c>
      <c r="F1014" t="s">
        <v>49</v>
      </c>
      <c r="G1014">
        <v>5</v>
      </c>
      <c r="H1014">
        <v>25</v>
      </c>
      <c r="I1014">
        <v>6</v>
      </c>
      <c r="J1014" t="s">
        <v>56</v>
      </c>
      <c r="K1014" t="s">
        <v>46</v>
      </c>
      <c r="L1014" t="s">
        <v>81</v>
      </c>
      <c r="M1014">
        <v>134.97588680392559</v>
      </c>
      <c r="N1014">
        <v>528</v>
      </c>
      <c r="O1014">
        <v>318</v>
      </c>
      <c r="P1014">
        <v>348</v>
      </c>
      <c r="Q1014">
        <v>0</v>
      </c>
      <c r="R1014">
        <v>0</v>
      </c>
      <c r="S1014">
        <v>4.0430512678345503</v>
      </c>
      <c r="T1014">
        <v>88.705120018058608</v>
      </c>
      <c r="U1014">
        <v>1.1736806104474848</v>
      </c>
      <c r="V1014">
        <v>-0.47558929701305802</v>
      </c>
      <c r="W1014">
        <v>-0.86536000504125898</v>
      </c>
      <c r="X1014">
        <v>-0.756079468432718</v>
      </c>
      <c r="Y1014">
        <v>-0.29991099617686701</v>
      </c>
      <c r="Z1014">
        <v>-0.41295088194839003</v>
      </c>
      <c r="AA1014">
        <v>-1.4747044340851601</v>
      </c>
      <c r="AB1014">
        <v>2397.9202643171807</v>
      </c>
      <c r="AC1014">
        <v>4.5123348017621154</v>
      </c>
      <c r="AD1014">
        <v>0.89074889867841411</v>
      </c>
      <c r="AE1014">
        <v>2.0319785812814501</v>
      </c>
      <c r="AF1014">
        <v>-1.8420896854129301</v>
      </c>
      <c r="AG1014">
        <v>0.408847472639843</v>
      </c>
      <c r="AH1014">
        <v>0.83875119937756104</v>
      </c>
      <c r="AI1014">
        <v>-0.81645513598528097</v>
      </c>
      <c r="AJ1014">
        <v>1.3604716459970501</v>
      </c>
      <c r="AK1014">
        <v>48.862724999999998</v>
      </c>
      <c r="AL1014">
        <v>2.2875920000000001</v>
      </c>
      <c r="AM1014">
        <v>49.252000000000002</v>
      </c>
      <c r="AN1014">
        <v>4.04</v>
      </c>
    </row>
    <row r="1015" spans="1:40" x14ac:dyDescent="0.35">
      <c r="A1015">
        <v>1255</v>
      </c>
      <c r="B1015">
        <v>42</v>
      </c>
      <c r="C1015" t="s">
        <v>40</v>
      </c>
      <c r="D1015" t="s">
        <v>41</v>
      </c>
      <c r="E1015" t="s">
        <v>42</v>
      </c>
      <c r="F1015" t="s">
        <v>61</v>
      </c>
      <c r="G1015">
        <v>6</v>
      </c>
      <c r="H1015">
        <v>36</v>
      </c>
      <c r="I1015">
        <v>6</v>
      </c>
      <c r="J1015" t="s">
        <v>50</v>
      </c>
      <c r="K1015" t="s">
        <v>46</v>
      </c>
      <c r="L1015" t="s">
        <v>71</v>
      </c>
      <c r="M1015">
        <v>458.93954699798792</v>
      </c>
      <c r="N1015">
        <v>427</v>
      </c>
      <c r="O1015">
        <v>220</v>
      </c>
      <c r="P1015">
        <v>238</v>
      </c>
      <c r="Q1015">
        <v>4.5747109785033828</v>
      </c>
      <c r="R1015">
        <v>3.5263605246161616</v>
      </c>
      <c r="S1015">
        <v>5.1416635565026603</v>
      </c>
      <c r="T1015">
        <v>92.265120976563693</v>
      </c>
      <c r="U1015">
        <v>2.9351954657362995</v>
      </c>
      <c r="V1015">
        <v>-8.3509539921858403E-2</v>
      </c>
      <c r="W1015">
        <v>-8.6188355584626702E-2</v>
      </c>
      <c r="X1015">
        <v>-6.2117403422328299E-2</v>
      </c>
      <c r="Y1015">
        <v>-0.51135009403950604</v>
      </c>
      <c r="Z1015">
        <v>-0.669554030021006</v>
      </c>
      <c r="AA1015">
        <v>-1.4915282051312999</v>
      </c>
      <c r="AB1015">
        <v>1813.5248996931791</v>
      </c>
      <c r="AC1015">
        <v>1.6535284399339156</v>
      </c>
      <c r="AD1015">
        <v>0.49421760679726223</v>
      </c>
      <c r="AE1015">
        <v>-0.18520258641298501</v>
      </c>
      <c r="AF1015">
        <v>0.149502649089859</v>
      </c>
      <c r="AG1015">
        <v>0.80272591207522603</v>
      </c>
      <c r="AH1015">
        <v>-0.72564470122517299</v>
      </c>
      <c r="AI1015">
        <v>-0.37586907805799102</v>
      </c>
      <c r="AJ1015">
        <v>1.12982458220992</v>
      </c>
      <c r="AK1015">
        <v>45.071283999999999</v>
      </c>
      <c r="AL1015">
        <v>4.8370730000000002</v>
      </c>
      <c r="AM1015">
        <v>48.764000000000003</v>
      </c>
      <c r="AN1015">
        <v>2.1509999999999994</v>
      </c>
    </row>
    <row r="1016" spans="1:40" x14ac:dyDescent="0.35">
      <c r="A1016">
        <v>1256</v>
      </c>
      <c r="B1016">
        <v>57</v>
      </c>
      <c r="C1016" t="s">
        <v>40</v>
      </c>
      <c r="D1016" t="s">
        <v>52</v>
      </c>
      <c r="E1016" t="s">
        <v>42</v>
      </c>
      <c r="F1016" t="s">
        <v>49</v>
      </c>
      <c r="G1016">
        <v>5</v>
      </c>
      <c r="H1016">
        <v>25</v>
      </c>
      <c r="I1016">
        <v>5</v>
      </c>
      <c r="J1016" t="s">
        <v>45</v>
      </c>
      <c r="K1016" t="s">
        <v>46</v>
      </c>
      <c r="L1016" t="s">
        <v>77</v>
      </c>
      <c r="M1016">
        <v>256.70910415568392</v>
      </c>
      <c r="N1016">
        <v>332</v>
      </c>
      <c r="O1016">
        <v>220</v>
      </c>
      <c r="P1016">
        <v>214</v>
      </c>
      <c r="Q1016">
        <v>0</v>
      </c>
      <c r="R1016">
        <v>2.3978952727983707</v>
      </c>
      <c r="S1016">
        <v>5.1416635565026603</v>
      </c>
      <c r="T1016">
        <v>90.472417453603512</v>
      </c>
      <c r="U1016">
        <v>2.7735735584863375</v>
      </c>
      <c r="V1016">
        <v>-0.15231437986527399</v>
      </c>
      <c r="W1016">
        <v>3.49635939345109E-2</v>
      </c>
      <c r="X1016">
        <v>-0.19627808847033801</v>
      </c>
      <c r="Y1016">
        <v>-0.57382446736590997</v>
      </c>
      <c r="Z1016">
        <v>-0.74335605457542497</v>
      </c>
      <c r="AA1016">
        <v>-0.53588051656191904</v>
      </c>
      <c r="AB1016">
        <v>3937</v>
      </c>
      <c r="AC1016">
        <v>0</v>
      </c>
      <c r="AD1016">
        <v>1</v>
      </c>
      <c r="AE1016">
        <v>-0.72244456620022002</v>
      </c>
      <c r="AF1016">
        <v>1.0060181786495599</v>
      </c>
      <c r="AG1016">
        <v>0.551922641249733</v>
      </c>
      <c r="AH1016">
        <v>-0.15299851530015601</v>
      </c>
      <c r="AI1016">
        <v>0.61531408119892705</v>
      </c>
      <c r="AJ1016">
        <v>-0.340691734971386</v>
      </c>
      <c r="AK1016">
        <v>47.259622</v>
      </c>
      <c r="AL1016">
        <v>-7.8518000000000004E-2</v>
      </c>
      <c r="AM1016">
        <v>48.91</v>
      </c>
      <c r="AN1016">
        <v>2.3330000000000002</v>
      </c>
    </row>
    <row r="1017" spans="1:40" x14ac:dyDescent="0.35">
      <c r="A1017">
        <v>1257</v>
      </c>
      <c r="B1017">
        <v>72</v>
      </c>
      <c r="C1017" t="s">
        <v>40</v>
      </c>
      <c r="D1017" t="s">
        <v>52</v>
      </c>
      <c r="E1017" t="s">
        <v>68</v>
      </c>
      <c r="F1017" t="s">
        <v>49</v>
      </c>
      <c r="G1017">
        <v>1</v>
      </c>
      <c r="H1017">
        <v>1</v>
      </c>
      <c r="I1017">
        <v>2</v>
      </c>
      <c r="J1017" t="s">
        <v>45</v>
      </c>
      <c r="K1017" t="s">
        <v>46</v>
      </c>
      <c r="L1017" t="s">
        <v>57</v>
      </c>
      <c r="M1017">
        <v>402.82622077649421</v>
      </c>
      <c r="N1017">
        <v>571</v>
      </c>
      <c r="O1017">
        <v>359</v>
      </c>
      <c r="P1017">
        <v>264</v>
      </c>
      <c r="Q1017">
        <v>0.69314718055994529</v>
      </c>
      <c r="R1017">
        <v>3.6109179126442243</v>
      </c>
      <c r="S1017">
        <v>5.8833223884882786</v>
      </c>
      <c r="T1017">
        <v>90.922105263157903</v>
      </c>
      <c r="U1017">
        <v>2.3923758041545438</v>
      </c>
      <c r="V1017">
        <v>-0.399596989308249</v>
      </c>
      <c r="W1017">
        <v>-0.58810405700346202</v>
      </c>
      <c r="X1017">
        <v>-0.29041857108635599</v>
      </c>
      <c r="Y1017">
        <v>-0.846122564821426</v>
      </c>
      <c r="Z1017">
        <v>-0.92679578564836795</v>
      </c>
      <c r="AA1017">
        <v>0.86332342905974202</v>
      </c>
      <c r="AB1017">
        <v>2050</v>
      </c>
      <c r="AC1017">
        <v>1</v>
      </c>
      <c r="AD1017">
        <v>2</v>
      </c>
      <c r="AE1017">
        <v>-0.51011828243844404</v>
      </c>
      <c r="AF1017">
        <v>2.2613531340129365</v>
      </c>
      <c r="AG1017">
        <v>-2.2479019630795434</v>
      </c>
      <c r="AH1017">
        <v>-0.88784246697550784</v>
      </c>
      <c r="AI1017">
        <v>0.16325908063345737</v>
      </c>
      <c r="AJ1017">
        <v>0.88826795897813693</v>
      </c>
      <c r="AK1017">
        <v>47.023905999999997</v>
      </c>
      <c r="AL1017">
        <v>4.8380429999999999</v>
      </c>
      <c r="AM1017">
        <v>50.640682937000001</v>
      </c>
      <c r="AN1017">
        <v>4.6610704270000003</v>
      </c>
    </row>
    <row r="1018" spans="1:40" x14ac:dyDescent="0.35">
      <c r="A1018">
        <v>1259</v>
      </c>
      <c r="B1018">
        <v>72</v>
      </c>
      <c r="C1018" t="s">
        <v>40</v>
      </c>
      <c r="D1018" t="s">
        <v>52</v>
      </c>
      <c r="E1018" t="s">
        <v>68</v>
      </c>
      <c r="F1018" t="s">
        <v>49</v>
      </c>
      <c r="G1018">
        <v>4</v>
      </c>
      <c r="H1018">
        <v>16</v>
      </c>
      <c r="I1018">
        <v>5</v>
      </c>
      <c r="J1018" t="s">
        <v>50</v>
      </c>
      <c r="K1018" t="s">
        <v>46</v>
      </c>
      <c r="L1018" t="s">
        <v>70</v>
      </c>
      <c r="M1018">
        <v>505.64381411453508</v>
      </c>
      <c r="N1018">
        <v>318</v>
      </c>
      <c r="O1018">
        <v>230</v>
      </c>
      <c r="P1018">
        <v>275</v>
      </c>
      <c r="Q1018">
        <v>0</v>
      </c>
      <c r="R1018">
        <v>0</v>
      </c>
      <c r="S1018">
        <v>5.3230099791384085</v>
      </c>
      <c r="T1018">
        <v>90.615999999999985</v>
      </c>
      <c r="U1018">
        <v>1.11573792223403</v>
      </c>
      <c r="V1018">
        <v>0.80288722813325297</v>
      </c>
      <c r="W1018">
        <v>0.52082154240315903</v>
      </c>
      <c r="X1018">
        <v>0.61908815691345198</v>
      </c>
      <c r="Y1018">
        <v>1.5007680231051199</v>
      </c>
      <c r="Z1018">
        <v>0.24292628533916899</v>
      </c>
      <c r="AA1018">
        <v>8.5217386942517098E-2</v>
      </c>
      <c r="AB1018">
        <v>3943</v>
      </c>
      <c r="AC1018">
        <v>0</v>
      </c>
      <c r="AD1018">
        <v>1</v>
      </c>
      <c r="AE1018">
        <v>1.1088815174583</v>
      </c>
      <c r="AF1018">
        <v>1.4482690427240199</v>
      </c>
      <c r="AG1018">
        <v>-0.614410208857745</v>
      </c>
      <c r="AH1018">
        <v>0.91305165344050299</v>
      </c>
      <c r="AI1018">
        <v>0.61531408119892705</v>
      </c>
      <c r="AJ1018">
        <v>-0.340691734971386</v>
      </c>
      <c r="AK1018">
        <v>46.098678999999997</v>
      </c>
      <c r="AL1018">
        <v>4.7359530000000003</v>
      </c>
      <c r="AM1018">
        <v>50.640682937000001</v>
      </c>
      <c r="AN1018">
        <v>4.6610704270000003</v>
      </c>
    </row>
    <row r="1019" spans="1:40" x14ac:dyDescent="0.35">
      <c r="A1019">
        <v>1260</v>
      </c>
      <c r="B1019">
        <v>72</v>
      </c>
      <c r="C1019" t="s">
        <v>40</v>
      </c>
      <c r="D1019" t="s">
        <v>52</v>
      </c>
      <c r="E1019" t="s">
        <v>42</v>
      </c>
      <c r="F1019" t="s">
        <v>49</v>
      </c>
      <c r="G1019">
        <v>5</v>
      </c>
      <c r="H1019">
        <v>25</v>
      </c>
      <c r="I1019">
        <v>5</v>
      </c>
      <c r="J1019" t="s">
        <v>56</v>
      </c>
      <c r="K1019" t="s">
        <v>46</v>
      </c>
      <c r="L1019" t="s">
        <v>47</v>
      </c>
      <c r="M1019">
        <v>166.2774438111978</v>
      </c>
      <c r="N1019">
        <v>160</v>
      </c>
      <c r="O1019">
        <v>117</v>
      </c>
      <c r="P1019">
        <v>147</v>
      </c>
      <c r="Q1019">
        <v>5.9107966440405271</v>
      </c>
      <c r="R1019">
        <v>6.4997870406558542</v>
      </c>
      <c r="S1019">
        <v>8.6415324656718457</v>
      </c>
      <c r="T1019">
        <v>89.265350482850479</v>
      </c>
      <c r="U1019">
        <v>1.4417786561042019</v>
      </c>
      <c r="V1019">
        <v>-0.22886708829074301</v>
      </c>
      <c r="W1019">
        <v>0.28745285629339301</v>
      </c>
      <c r="X1019">
        <v>-0.15627425222847</v>
      </c>
      <c r="Y1019">
        <v>1.45226138127617</v>
      </c>
      <c r="Z1019">
        <v>0.98247225355557</v>
      </c>
      <c r="AA1019">
        <v>0.627775520474398</v>
      </c>
      <c r="AB1019">
        <v>3362.2959371744532</v>
      </c>
      <c r="AC1019">
        <v>2.8998317172850387</v>
      </c>
      <c r="AD1019">
        <v>2.9499158586425196</v>
      </c>
      <c r="AE1019">
        <v>1.06273170356322</v>
      </c>
      <c r="AF1019">
        <v>-0.501998175896613</v>
      </c>
      <c r="AG1019">
        <v>0.80648467295372395</v>
      </c>
      <c r="AH1019">
        <v>-1.09300274393726</v>
      </c>
      <c r="AI1019">
        <v>-0.89963703163957998</v>
      </c>
      <c r="AJ1019">
        <v>-0.20526307445483799</v>
      </c>
      <c r="AK1019">
        <v>43.3535629403058</v>
      </c>
      <c r="AL1019">
        <v>3.21615314793977</v>
      </c>
      <c r="AM1019">
        <v>43.990499999999997</v>
      </c>
      <c r="AN1019">
        <v>5.0841666666666674</v>
      </c>
    </row>
    <row r="1020" spans="1:40" x14ac:dyDescent="0.35">
      <c r="A1020">
        <v>1262</v>
      </c>
      <c r="B1020">
        <v>57</v>
      </c>
      <c r="C1020" t="s">
        <v>40</v>
      </c>
      <c r="D1020" t="s">
        <v>66</v>
      </c>
      <c r="E1020" t="s">
        <v>42</v>
      </c>
      <c r="F1020" t="s">
        <v>49</v>
      </c>
      <c r="G1020">
        <v>3</v>
      </c>
      <c r="H1020">
        <v>9</v>
      </c>
      <c r="I1020">
        <v>4</v>
      </c>
      <c r="J1020" t="s">
        <v>45</v>
      </c>
      <c r="K1020" t="s">
        <v>46</v>
      </c>
      <c r="L1020" t="s">
        <v>72</v>
      </c>
      <c r="M1020">
        <v>492.64404854898049</v>
      </c>
      <c r="N1020">
        <v>576</v>
      </c>
      <c r="O1020">
        <v>361</v>
      </c>
      <c r="P1020">
        <v>326</v>
      </c>
      <c r="Q1020">
        <v>0.69314718055994529</v>
      </c>
      <c r="R1020">
        <v>1.3862943611198906</v>
      </c>
      <c r="S1020">
        <v>4.5538768916005408</v>
      </c>
      <c r="T1020">
        <v>89.340161030595823</v>
      </c>
      <c r="U1020">
        <v>1.4712304197281412</v>
      </c>
      <c r="V1020">
        <v>0.59716251398508702</v>
      </c>
      <c r="W1020">
        <v>0.91068296986709796</v>
      </c>
      <c r="X1020">
        <v>1.2273243988355</v>
      </c>
      <c r="Y1020">
        <v>-0.4121809470949</v>
      </c>
      <c r="Z1020">
        <v>-0.86472582726521097</v>
      </c>
      <c r="AA1020">
        <v>-1.0172779374790899</v>
      </c>
      <c r="AB1020">
        <v>1828.1689246701658</v>
      </c>
      <c r="AC1020">
        <v>1.1127464888636687</v>
      </c>
      <c r="AD1020">
        <v>1.8630656830756136</v>
      </c>
      <c r="AE1020">
        <v>-0.53926882203722504</v>
      </c>
      <c r="AF1020">
        <v>1.0060181786495599</v>
      </c>
      <c r="AG1020">
        <v>0.551922641249733</v>
      </c>
      <c r="AH1020">
        <v>-0.15299851530015601</v>
      </c>
      <c r="AI1020">
        <v>0.41512137496457902</v>
      </c>
      <c r="AJ1020">
        <v>-0.156014829439138</v>
      </c>
      <c r="AK1020">
        <v>44.503641999999999</v>
      </c>
      <c r="AL1020">
        <v>1.1863669999999999</v>
      </c>
      <c r="AM1020">
        <v>48.856372813999997</v>
      </c>
      <c r="AN1020">
        <v>2.3525296170000001</v>
      </c>
    </row>
    <row r="1021" spans="1:40" x14ac:dyDescent="0.35">
      <c r="A1021">
        <v>1263</v>
      </c>
      <c r="B1021">
        <v>57</v>
      </c>
      <c r="C1021" t="s">
        <v>40</v>
      </c>
      <c r="D1021" t="s">
        <v>66</v>
      </c>
      <c r="E1021" t="s">
        <v>68</v>
      </c>
      <c r="F1021" t="s">
        <v>53</v>
      </c>
      <c r="G1021">
        <v>6</v>
      </c>
      <c r="H1021">
        <v>36</v>
      </c>
      <c r="I1021">
        <v>6</v>
      </c>
      <c r="J1021" t="s">
        <v>50</v>
      </c>
      <c r="K1021" t="s">
        <v>46</v>
      </c>
      <c r="L1021" t="s">
        <v>62</v>
      </c>
      <c r="M1021">
        <v>185.02215271766741</v>
      </c>
      <c r="N1021">
        <v>263</v>
      </c>
      <c r="O1021">
        <v>231</v>
      </c>
      <c r="P1021">
        <v>208</v>
      </c>
      <c r="Q1021">
        <v>0.69314718055994529</v>
      </c>
      <c r="R1021">
        <v>3.2580965380214821</v>
      </c>
      <c r="S1021">
        <v>3.2580965380214821</v>
      </c>
      <c r="T1021">
        <v>95.68</v>
      </c>
      <c r="U1021">
        <v>0</v>
      </c>
      <c r="V1021">
        <v>1.82802042479695</v>
      </c>
      <c r="W1021">
        <v>0.99424279543483596</v>
      </c>
      <c r="X1021">
        <v>0.99177342203587404</v>
      </c>
      <c r="Y1021">
        <v>-0.96278755162326501</v>
      </c>
      <c r="Z1021">
        <v>-0.75605764486205096</v>
      </c>
      <c r="AA1021">
        <v>-0.80037586101695801</v>
      </c>
      <c r="AB1021">
        <v>2092.91</v>
      </c>
      <c r="AC1021">
        <v>0</v>
      </c>
      <c r="AD1021">
        <v>2.1</v>
      </c>
      <c r="AE1021">
        <v>-1.0768626388726401</v>
      </c>
      <c r="AF1021">
        <v>1.0068662059954201</v>
      </c>
      <c r="AG1021">
        <v>0.24533980199771799</v>
      </c>
      <c r="AH1021">
        <v>0.60354990878327897</v>
      </c>
      <c r="AI1021">
        <v>0.48030545497096999</v>
      </c>
      <c r="AJ1021">
        <v>0.75235804329361</v>
      </c>
      <c r="AK1021">
        <v>49.042560999999999</v>
      </c>
      <c r="AL1021">
        <v>3.9528660000000002</v>
      </c>
      <c r="AM1021">
        <v>50.640682937000001</v>
      </c>
      <c r="AN1021">
        <v>4.6610704270000003</v>
      </c>
    </row>
    <row r="1022" spans="1:40" x14ac:dyDescent="0.35">
      <c r="A1022">
        <v>1264</v>
      </c>
      <c r="B1022">
        <v>57</v>
      </c>
      <c r="C1022" t="s">
        <v>40</v>
      </c>
      <c r="D1022" t="s">
        <v>41</v>
      </c>
      <c r="E1022" t="s">
        <v>42</v>
      </c>
      <c r="F1022" t="s">
        <v>49</v>
      </c>
      <c r="G1022">
        <v>5</v>
      </c>
      <c r="H1022">
        <v>25</v>
      </c>
      <c r="I1022">
        <v>3</v>
      </c>
      <c r="J1022" t="s">
        <v>56</v>
      </c>
      <c r="K1022" t="s">
        <v>46</v>
      </c>
      <c r="L1022" t="s">
        <v>65</v>
      </c>
      <c r="M1022">
        <v>668.44573473989135</v>
      </c>
      <c r="N1022">
        <v>881</v>
      </c>
      <c r="O1022">
        <v>470</v>
      </c>
      <c r="P1022">
        <v>367</v>
      </c>
      <c r="Q1022">
        <v>0</v>
      </c>
      <c r="R1022">
        <v>0</v>
      </c>
      <c r="S1022">
        <v>4.4543472962535073</v>
      </c>
      <c r="T1022">
        <v>89.333044733044744</v>
      </c>
      <c r="U1022">
        <v>1.2554235437523662</v>
      </c>
      <c r="V1022">
        <v>1.64975517953679</v>
      </c>
      <c r="W1022">
        <v>2.4220969657957299</v>
      </c>
      <c r="X1022">
        <v>1.68128863126442</v>
      </c>
      <c r="Y1022">
        <v>2.0553398017137301</v>
      </c>
      <c r="Z1022">
        <v>2.0921400018840099</v>
      </c>
      <c r="AA1022">
        <v>2.0596698968962701</v>
      </c>
      <c r="AB1022">
        <v>3262.71</v>
      </c>
      <c r="AC1022">
        <v>0.33</v>
      </c>
      <c r="AD1022">
        <v>0.66</v>
      </c>
      <c r="AE1022">
        <v>1.9221838973381</v>
      </c>
      <c r="AF1022">
        <v>-0.77968697447697</v>
      </c>
      <c r="AG1022">
        <v>-1.03795059732507</v>
      </c>
      <c r="AH1022">
        <v>0.49655473838348302</v>
      </c>
      <c r="AI1022">
        <v>-1.3006021044399501</v>
      </c>
      <c r="AJ1022">
        <v>0.53831391652432903</v>
      </c>
      <c r="AK1022">
        <v>43.537466000000002</v>
      </c>
      <c r="AL1022">
        <v>6.4627330000000001</v>
      </c>
      <c r="AM1022">
        <v>48.884999999999998</v>
      </c>
      <c r="AN1022">
        <v>2.5089999999999999</v>
      </c>
    </row>
    <row r="1023" spans="1:40" x14ac:dyDescent="0.35">
      <c r="A1023">
        <v>1265</v>
      </c>
      <c r="B1023">
        <v>57</v>
      </c>
      <c r="C1023" t="s">
        <v>40</v>
      </c>
      <c r="D1023" t="s">
        <v>41</v>
      </c>
      <c r="E1023" t="s">
        <v>42</v>
      </c>
      <c r="F1023" t="s">
        <v>49</v>
      </c>
      <c r="G1023">
        <v>6</v>
      </c>
      <c r="H1023">
        <v>36</v>
      </c>
      <c r="I1023">
        <v>6</v>
      </c>
      <c r="J1023" t="s">
        <v>50</v>
      </c>
      <c r="K1023" t="s">
        <v>46</v>
      </c>
      <c r="L1023" t="s">
        <v>51</v>
      </c>
      <c r="M1023">
        <v>151.59052864624911</v>
      </c>
      <c r="N1023">
        <v>152</v>
      </c>
      <c r="O1023">
        <v>99</v>
      </c>
      <c r="P1023">
        <v>224</v>
      </c>
      <c r="Q1023">
        <v>0</v>
      </c>
      <c r="R1023">
        <v>1.3862943611198906</v>
      </c>
      <c r="S1023">
        <v>4.3438054218536841</v>
      </c>
      <c r="T1023">
        <v>91.16</v>
      </c>
      <c r="U1023">
        <v>2.3174698847378039</v>
      </c>
      <c r="V1023">
        <v>-0.58471966768986094</v>
      </c>
      <c r="W1023">
        <v>-0.55557078097057</v>
      </c>
      <c r="X1023">
        <v>-0.47566183223429498</v>
      </c>
      <c r="Y1023">
        <v>-0.95884680312505799</v>
      </c>
      <c r="Z1023">
        <v>-0.76521334103430205</v>
      </c>
      <c r="AA1023">
        <v>-0.77245900699560299</v>
      </c>
      <c r="AB1023">
        <v>1376</v>
      </c>
      <c r="AC1023">
        <v>0</v>
      </c>
      <c r="AD1023">
        <v>2</v>
      </c>
      <c r="AE1023">
        <v>-1.2769936012368599</v>
      </c>
      <c r="AF1023">
        <v>-0.56265897522395103</v>
      </c>
      <c r="AG1023">
        <v>-1.97726417591871</v>
      </c>
      <c r="AH1023">
        <v>-1.0994238896748101</v>
      </c>
      <c r="AI1023">
        <v>-1.59322745802317</v>
      </c>
      <c r="AJ1023">
        <v>0.73204994298776704</v>
      </c>
      <c r="AK1023">
        <v>47.815207299999997</v>
      </c>
      <c r="AL1023">
        <v>3.8001657</v>
      </c>
      <c r="AM1023">
        <v>48.686999999999998</v>
      </c>
      <c r="AN1023">
        <v>2.2289999999999996</v>
      </c>
    </row>
    <row r="1024" spans="1:40" x14ac:dyDescent="0.35">
      <c r="A1024">
        <v>1266</v>
      </c>
      <c r="B1024">
        <v>72</v>
      </c>
      <c r="C1024" t="s">
        <v>40</v>
      </c>
      <c r="D1024" t="s">
        <v>52</v>
      </c>
      <c r="E1024" t="s">
        <v>42</v>
      </c>
      <c r="F1024" t="s">
        <v>49</v>
      </c>
      <c r="G1024">
        <v>4</v>
      </c>
      <c r="H1024">
        <v>16</v>
      </c>
      <c r="I1024">
        <v>7</v>
      </c>
      <c r="J1024" t="s">
        <v>50</v>
      </c>
      <c r="K1024" t="s">
        <v>46</v>
      </c>
      <c r="L1024" t="s">
        <v>72</v>
      </c>
      <c r="M1024">
        <v>133.85901719289819</v>
      </c>
      <c r="N1024">
        <v>234</v>
      </c>
      <c r="O1024">
        <v>186</v>
      </c>
      <c r="P1024">
        <v>194</v>
      </c>
      <c r="Q1024">
        <v>0.69314718055994529</v>
      </c>
      <c r="R1024">
        <v>1.3862943611198906</v>
      </c>
      <c r="S1024">
        <v>4.5538768916005408</v>
      </c>
      <c r="T1024">
        <v>89.340161030595823</v>
      </c>
      <c r="U1024">
        <v>1.4712304197281412</v>
      </c>
      <c r="V1024">
        <v>0.59716251398508702</v>
      </c>
      <c r="W1024">
        <v>0.91068296986709796</v>
      </c>
      <c r="X1024">
        <v>1.2273243988355</v>
      </c>
      <c r="Y1024">
        <v>-0.4121809470949</v>
      </c>
      <c r="Z1024">
        <v>-0.86472582726521097</v>
      </c>
      <c r="AA1024">
        <v>-1.0172779374790899</v>
      </c>
      <c r="AB1024">
        <v>1828.1689246701658</v>
      </c>
      <c r="AC1024">
        <v>1.1127464888636687</v>
      </c>
      <c r="AD1024">
        <v>1.8630656830756136</v>
      </c>
      <c r="AE1024">
        <v>-0.53926882203722504</v>
      </c>
      <c r="AF1024">
        <v>0.31549558387639498</v>
      </c>
      <c r="AG1024">
        <v>-0.29967329572788898</v>
      </c>
      <c r="AH1024">
        <v>1.1281634744295901</v>
      </c>
      <c r="AI1024">
        <v>-0.25117481207908798</v>
      </c>
      <c r="AJ1024">
        <v>0.32381884670679201</v>
      </c>
      <c r="AK1024">
        <v>44.503641999999999</v>
      </c>
      <c r="AL1024">
        <v>1.1863669999999999</v>
      </c>
      <c r="AM1024">
        <v>44.841124999999998</v>
      </c>
      <c r="AN1024">
        <v>-0.43662500000000004</v>
      </c>
    </row>
    <row r="1025" spans="1:40" x14ac:dyDescent="0.35">
      <c r="A1025">
        <v>1267</v>
      </c>
      <c r="B1025">
        <v>57</v>
      </c>
      <c r="C1025" t="s">
        <v>40</v>
      </c>
      <c r="D1025" t="s">
        <v>41</v>
      </c>
      <c r="E1025" t="s">
        <v>42</v>
      </c>
      <c r="F1025" t="s">
        <v>61</v>
      </c>
      <c r="G1025">
        <v>5</v>
      </c>
      <c r="H1025">
        <v>25</v>
      </c>
      <c r="I1025">
        <v>4</v>
      </c>
      <c r="J1025" t="s">
        <v>45</v>
      </c>
      <c r="K1025" t="s">
        <v>46</v>
      </c>
      <c r="L1025" t="s">
        <v>47</v>
      </c>
      <c r="M1025">
        <v>635.62233838836073</v>
      </c>
      <c r="N1025">
        <v>794</v>
      </c>
      <c r="O1025">
        <v>491</v>
      </c>
      <c r="P1025">
        <v>339</v>
      </c>
      <c r="Q1025">
        <v>5.9107966440405271</v>
      </c>
      <c r="R1025">
        <v>6.4997870406558542</v>
      </c>
      <c r="S1025">
        <v>8.6415324656718457</v>
      </c>
      <c r="T1025">
        <v>89.265350482850479</v>
      </c>
      <c r="U1025">
        <v>1.4417786561042019</v>
      </c>
      <c r="V1025">
        <v>-0.22886708829074301</v>
      </c>
      <c r="W1025">
        <v>0.28745285629339301</v>
      </c>
      <c r="X1025">
        <v>-0.15627425222847</v>
      </c>
      <c r="Y1025">
        <v>1.45226138127617</v>
      </c>
      <c r="Z1025">
        <v>0.98247225355557</v>
      </c>
      <c r="AA1025">
        <v>0.627775520474398</v>
      </c>
      <c r="AB1025">
        <v>3362.2959371744532</v>
      </c>
      <c r="AC1025">
        <v>2.8998317172850387</v>
      </c>
      <c r="AD1025">
        <v>2.9499158586425196</v>
      </c>
      <c r="AE1025">
        <v>1.06273170356322</v>
      </c>
      <c r="AF1025">
        <v>0.84396053120211301</v>
      </c>
      <c r="AG1025">
        <v>0.58153551693411598</v>
      </c>
      <c r="AH1025">
        <v>0.53457005468510799</v>
      </c>
      <c r="AI1025">
        <v>0.65368767593457</v>
      </c>
      <c r="AJ1025">
        <v>-0.12441201917191901</v>
      </c>
      <c r="AK1025">
        <v>43.3535629403058</v>
      </c>
      <c r="AL1025">
        <v>3.21615314793977</v>
      </c>
      <c r="AM1025">
        <v>49.03</v>
      </c>
      <c r="AN1025">
        <v>2.323</v>
      </c>
    </row>
    <row r="1026" spans="1:40" x14ac:dyDescent="0.35">
      <c r="A1026">
        <v>1268</v>
      </c>
      <c r="B1026">
        <v>57</v>
      </c>
      <c r="C1026" t="s">
        <v>40</v>
      </c>
      <c r="D1026" t="s">
        <v>66</v>
      </c>
      <c r="E1026" t="s">
        <v>42</v>
      </c>
      <c r="F1026" t="s">
        <v>49</v>
      </c>
      <c r="G1026">
        <v>4</v>
      </c>
      <c r="H1026">
        <v>16</v>
      </c>
      <c r="I1026">
        <v>7</v>
      </c>
      <c r="J1026" t="s">
        <v>50</v>
      </c>
      <c r="K1026" t="s">
        <v>46</v>
      </c>
      <c r="L1026" t="s">
        <v>72</v>
      </c>
      <c r="M1026">
        <v>676.78928032455258</v>
      </c>
      <c r="N1026">
        <v>790</v>
      </c>
      <c r="O1026">
        <v>490</v>
      </c>
      <c r="P1026">
        <v>471</v>
      </c>
      <c r="Q1026">
        <v>0.69314718055994529</v>
      </c>
      <c r="R1026">
        <v>1.3862943611198906</v>
      </c>
      <c r="S1026">
        <v>4.5538768916005408</v>
      </c>
      <c r="T1026">
        <v>89.340161030595823</v>
      </c>
      <c r="U1026">
        <v>1.4712304197281412</v>
      </c>
      <c r="V1026">
        <v>0.59716251398508702</v>
      </c>
      <c r="W1026">
        <v>0.91068296986709796</v>
      </c>
      <c r="X1026">
        <v>1.2273243988355</v>
      </c>
      <c r="Y1026">
        <v>-0.4121809470949</v>
      </c>
      <c r="Z1026">
        <v>-0.86472582726521097</v>
      </c>
      <c r="AA1026">
        <v>-1.0172779374790899</v>
      </c>
      <c r="AB1026">
        <v>1828.1689246701658</v>
      </c>
      <c r="AC1026">
        <v>1.1127464888636687</v>
      </c>
      <c r="AD1026">
        <v>1.8630656830756136</v>
      </c>
      <c r="AE1026">
        <v>-0.53926882203722504</v>
      </c>
      <c r="AF1026">
        <v>1.40066665339701</v>
      </c>
      <c r="AG1026">
        <v>0.99389219892609804</v>
      </c>
      <c r="AH1026">
        <v>-0.21288981445687299</v>
      </c>
      <c r="AI1026">
        <v>1.2847830747112801</v>
      </c>
      <c r="AJ1026">
        <v>0.64570393262453796</v>
      </c>
      <c r="AK1026">
        <v>44.503641999999999</v>
      </c>
      <c r="AL1026">
        <v>1.1863669999999999</v>
      </c>
      <c r="AM1026">
        <v>50.245000000000005</v>
      </c>
      <c r="AN1026">
        <v>4.1453333333333333</v>
      </c>
    </row>
    <row r="1027" spans="1:40" x14ac:dyDescent="0.35">
      <c r="A1027">
        <v>1270</v>
      </c>
      <c r="B1027">
        <v>57</v>
      </c>
      <c r="C1027" t="s">
        <v>40</v>
      </c>
      <c r="D1027" t="s">
        <v>66</v>
      </c>
      <c r="E1027" t="s">
        <v>42</v>
      </c>
      <c r="F1027" t="s">
        <v>43</v>
      </c>
      <c r="G1027">
        <v>3</v>
      </c>
      <c r="H1027">
        <v>9</v>
      </c>
      <c r="I1027">
        <v>2</v>
      </c>
      <c r="J1027" t="s">
        <v>56</v>
      </c>
      <c r="K1027" t="s">
        <v>46</v>
      </c>
      <c r="L1027" t="s">
        <v>54</v>
      </c>
      <c r="M1027">
        <v>29.261691581876072</v>
      </c>
      <c r="N1027">
        <v>36</v>
      </c>
      <c r="O1027">
        <v>49</v>
      </c>
      <c r="P1027">
        <v>22</v>
      </c>
      <c r="Q1027">
        <v>3.9889840465642745</v>
      </c>
      <c r="R1027">
        <v>3.0910424533583161</v>
      </c>
      <c r="S1027">
        <v>4.1271343850450917</v>
      </c>
      <c r="T1027">
        <v>92.826666666666668</v>
      </c>
      <c r="U1027">
        <v>2.9827057067926286</v>
      </c>
      <c r="V1027">
        <v>-0.16604708794949699</v>
      </c>
      <c r="W1027">
        <v>-0.150727876652859</v>
      </c>
      <c r="X1027">
        <v>-0.19602043866096</v>
      </c>
      <c r="Y1027">
        <v>1.4483117406157899</v>
      </c>
      <c r="Z1027">
        <v>1.7680602694732599</v>
      </c>
      <c r="AA1027">
        <v>0.26366440732357699</v>
      </c>
      <c r="AB1027">
        <v>4236</v>
      </c>
      <c r="AC1027">
        <v>0</v>
      </c>
      <c r="AD1027">
        <v>4</v>
      </c>
      <c r="AE1027">
        <v>1.6751267091712101</v>
      </c>
      <c r="AF1027">
        <v>0.32594507755948599</v>
      </c>
      <c r="AG1027">
        <v>0.149412111040581</v>
      </c>
      <c r="AH1027">
        <v>-2.1815513676843001</v>
      </c>
      <c r="AI1027">
        <v>-1.6793591599823399E-2</v>
      </c>
      <c r="AJ1027">
        <v>-1.12593842712042</v>
      </c>
      <c r="AK1027">
        <v>44.917983300000003</v>
      </c>
      <c r="AL1027">
        <v>-0.22352169999999999</v>
      </c>
      <c r="AM1027">
        <v>44.834995499999998</v>
      </c>
      <c r="AN1027">
        <v>-0.57549519999999998</v>
      </c>
    </row>
    <row r="1028" spans="1:40" x14ac:dyDescent="0.35">
      <c r="A1028">
        <v>1271</v>
      </c>
      <c r="B1028">
        <v>72</v>
      </c>
      <c r="C1028" t="s">
        <v>40</v>
      </c>
      <c r="D1028" t="s">
        <v>52</v>
      </c>
      <c r="E1028" t="s">
        <v>42</v>
      </c>
      <c r="F1028" t="s">
        <v>49</v>
      </c>
      <c r="G1028">
        <v>4</v>
      </c>
      <c r="H1028">
        <v>16</v>
      </c>
      <c r="I1028">
        <v>4</v>
      </c>
      <c r="J1028" t="s">
        <v>45</v>
      </c>
      <c r="K1028" t="s">
        <v>46</v>
      </c>
      <c r="L1028" t="s">
        <v>76</v>
      </c>
      <c r="M1028">
        <v>165.15329359878189</v>
      </c>
      <c r="N1028">
        <v>198</v>
      </c>
      <c r="O1028">
        <v>138</v>
      </c>
      <c r="P1028">
        <v>147</v>
      </c>
      <c r="Q1028">
        <v>0</v>
      </c>
      <c r="R1028">
        <v>1.0986122886681098</v>
      </c>
      <c r="S1028">
        <v>4.1588830833596715</v>
      </c>
      <c r="T1028">
        <v>91.226666666666674</v>
      </c>
      <c r="U1028">
        <v>1.418823059726001</v>
      </c>
      <c r="V1028">
        <v>-0.39095273818515502</v>
      </c>
      <c r="W1028">
        <v>-0.53446083104759001</v>
      </c>
      <c r="X1028">
        <v>-0.40804429067029002</v>
      </c>
      <c r="Y1028">
        <v>-0.56789545922357498</v>
      </c>
      <c r="Z1028">
        <v>-0.94760790482486201</v>
      </c>
      <c r="AA1028">
        <v>-1.0848673571571601</v>
      </c>
      <c r="AB1028">
        <v>1770.5103102717287</v>
      </c>
      <c r="AC1028">
        <v>0.28213528618230871</v>
      </c>
      <c r="AD1028">
        <v>1.7130468298323378</v>
      </c>
      <c r="AE1028">
        <v>-1.13486126839574</v>
      </c>
      <c r="AF1028">
        <v>0.8345480498546104</v>
      </c>
      <c r="AG1028">
        <v>1.0084985880870638</v>
      </c>
      <c r="AH1028">
        <v>-0.60814006577043012</v>
      </c>
      <c r="AI1028">
        <v>-0.69676459714983097</v>
      </c>
      <c r="AJ1028">
        <v>1.32992119669332</v>
      </c>
      <c r="AK1028">
        <v>47.330690599999997</v>
      </c>
      <c r="AL1028">
        <v>2.8390453999999998</v>
      </c>
      <c r="AM1028">
        <v>48.776000000000003</v>
      </c>
      <c r="AN1028">
        <v>2.3380000000000001</v>
      </c>
    </row>
    <row r="1029" spans="1:40" x14ac:dyDescent="0.35">
      <c r="A1029">
        <v>1272</v>
      </c>
      <c r="B1029">
        <v>57</v>
      </c>
      <c r="C1029" t="s">
        <v>48</v>
      </c>
      <c r="D1029" t="s">
        <v>52</v>
      </c>
      <c r="E1029" t="s">
        <v>42</v>
      </c>
      <c r="F1029" t="s">
        <v>49</v>
      </c>
      <c r="G1029">
        <v>4</v>
      </c>
      <c r="H1029">
        <v>16</v>
      </c>
      <c r="I1029">
        <v>4</v>
      </c>
      <c r="J1029" t="s">
        <v>56</v>
      </c>
      <c r="K1029" t="s">
        <v>46</v>
      </c>
      <c r="L1029" t="s">
        <v>57</v>
      </c>
      <c r="M1029">
        <v>300.69120134967568</v>
      </c>
      <c r="N1029">
        <v>358</v>
      </c>
      <c r="O1029">
        <v>277</v>
      </c>
      <c r="P1029">
        <v>174</v>
      </c>
      <c r="Q1029">
        <v>0.69314718055994529</v>
      </c>
      <c r="R1029">
        <v>3.6109179126442243</v>
      </c>
      <c r="S1029">
        <v>5.8833223884882786</v>
      </c>
      <c r="T1029">
        <v>90.922105263157903</v>
      </c>
      <c r="U1029">
        <v>2.3923758041545438</v>
      </c>
      <c r="V1029">
        <v>-0.399596989308249</v>
      </c>
      <c r="W1029">
        <v>-0.58810405700346202</v>
      </c>
      <c r="X1029">
        <v>-0.29041857108635599</v>
      </c>
      <c r="Y1029">
        <v>-0.846122564821426</v>
      </c>
      <c r="Z1029">
        <v>-0.92679578564836795</v>
      </c>
      <c r="AA1029">
        <v>0.86332342905974202</v>
      </c>
      <c r="AB1029">
        <v>2050</v>
      </c>
      <c r="AC1029">
        <v>1</v>
      </c>
      <c r="AD1029">
        <v>2</v>
      </c>
      <c r="AE1029">
        <v>-0.51011828243844404</v>
      </c>
      <c r="AF1029">
        <v>0.260604980432323</v>
      </c>
      <c r="AG1029">
        <v>0.88265298191921604</v>
      </c>
      <c r="AH1029">
        <v>1.01585764504262</v>
      </c>
      <c r="AI1029">
        <v>1.162708909901</v>
      </c>
      <c r="AJ1029">
        <v>0.96203195566570499</v>
      </c>
      <c r="AK1029">
        <v>47.023905999999997</v>
      </c>
      <c r="AL1029">
        <v>4.8380429999999999</v>
      </c>
      <c r="AM1029">
        <v>49.055</v>
      </c>
      <c r="AN1029">
        <v>2.1739999999999999</v>
      </c>
    </row>
    <row r="1030" spans="1:40" x14ac:dyDescent="0.35">
      <c r="A1030">
        <v>1273</v>
      </c>
      <c r="B1030">
        <v>57</v>
      </c>
      <c r="C1030" t="s">
        <v>40</v>
      </c>
      <c r="D1030" t="s">
        <v>41</v>
      </c>
      <c r="E1030" t="s">
        <v>42</v>
      </c>
      <c r="F1030" t="s">
        <v>49</v>
      </c>
      <c r="G1030">
        <v>5</v>
      </c>
      <c r="H1030">
        <v>25</v>
      </c>
      <c r="I1030">
        <v>6</v>
      </c>
      <c r="J1030" t="s">
        <v>56</v>
      </c>
      <c r="K1030" t="s">
        <v>46</v>
      </c>
      <c r="L1030" t="s">
        <v>55</v>
      </c>
      <c r="M1030">
        <v>387.1594785331144</v>
      </c>
      <c r="N1030">
        <v>583</v>
      </c>
      <c r="O1030">
        <v>387</v>
      </c>
      <c r="P1030">
        <v>177</v>
      </c>
      <c r="Q1030">
        <v>2.0794415416798357</v>
      </c>
      <c r="R1030">
        <v>2.3025850929940459</v>
      </c>
      <c r="S1030">
        <v>3.2580965380214821</v>
      </c>
      <c r="T1030">
        <v>95.12</v>
      </c>
      <c r="U1030">
        <v>0</v>
      </c>
      <c r="V1030">
        <v>1.89305099905856</v>
      </c>
      <c r="W1030">
        <v>0.59880690621441701</v>
      </c>
      <c r="X1030">
        <v>1.1856460040685599</v>
      </c>
      <c r="Y1030">
        <v>-0.15565097555555901</v>
      </c>
      <c r="Z1030">
        <v>-0.22748295097212001</v>
      </c>
      <c r="AA1030">
        <v>1.0415013010201299</v>
      </c>
      <c r="AB1030">
        <v>2939.9504036908884</v>
      </c>
      <c r="AC1030">
        <v>2</v>
      </c>
      <c r="AD1030">
        <v>0.42868127643214149</v>
      </c>
      <c r="AE1030">
        <v>-2.40641039566141E-2</v>
      </c>
      <c r="AF1030">
        <v>1.5460613518814501</v>
      </c>
      <c r="AG1030">
        <v>1.0797383975188599</v>
      </c>
      <c r="AH1030">
        <v>0.82580291285532803</v>
      </c>
      <c r="AI1030">
        <v>1.7963615084925799</v>
      </c>
      <c r="AJ1030">
        <v>-0.84187742765479001</v>
      </c>
      <c r="AK1030">
        <v>48.0777517</v>
      </c>
      <c r="AL1030">
        <v>7.3579641000000002</v>
      </c>
      <c r="AM1030">
        <v>48.836999999999996</v>
      </c>
      <c r="AN1030">
        <v>2.2390000000000003</v>
      </c>
    </row>
    <row r="1031" spans="1:40" x14ac:dyDescent="0.35">
      <c r="A1031">
        <v>1274</v>
      </c>
      <c r="B1031">
        <v>72</v>
      </c>
      <c r="C1031" t="s">
        <v>48</v>
      </c>
      <c r="D1031" t="s">
        <v>52</v>
      </c>
      <c r="E1031" t="s">
        <v>42</v>
      </c>
      <c r="F1031" t="s">
        <v>49</v>
      </c>
      <c r="G1031">
        <v>3</v>
      </c>
      <c r="H1031">
        <v>9</v>
      </c>
      <c r="I1031">
        <v>3</v>
      </c>
      <c r="J1031" t="s">
        <v>56</v>
      </c>
      <c r="K1031" t="s">
        <v>46</v>
      </c>
      <c r="L1031" t="s">
        <v>62</v>
      </c>
      <c r="M1031">
        <v>104.4974356963869</v>
      </c>
      <c r="N1031">
        <v>142</v>
      </c>
      <c r="O1031">
        <v>100</v>
      </c>
      <c r="P1031">
        <v>112</v>
      </c>
      <c r="Q1031">
        <v>0.69314718055994529</v>
      </c>
      <c r="R1031">
        <v>3.2580965380214821</v>
      </c>
      <c r="S1031">
        <v>3.2580965380214821</v>
      </c>
      <c r="T1031">
        <v>95.68</v>
      </c>
      <c r="U1031">
        <v>0</v>
      </c>
      <c r="V1031">
        <v>1.82802042479695</v>
      </c>
      <c r="W1031">
        <v>0.99424279543483596</v>
      </c>
      <c r="X1031">
        <v>0.99177342203587404</v>
      </c>
      <c r="Y1031">
        <v>-0.96278755162326501</v>
      </c>
      <c r="Z1031">
        <v>-0.75605764486205096</v>
      </c>
      <c r="AA1031">
        <v>-0.80037586101695801</v>
      </c>
      <c r="AB1031">
        <v>2092.91</v>
      </c>
      <c r="AC1031">
        <v>0</v>
      </c>
      <c r="AD1031">
        <v>2.1</v>
      </c>
      <c r="AE1031">
        <v>-1.0768626388726401</v>
      </c>
      <c r="AF1031">
        <v>1.7333885403923901</v>
      </c>
      <c r="AG1031">
        <v>0.53615387310955598</v>
      </c>
      <c r="AH1031">
        <v>0.82246517841851796</v>
      </c>
      <c r="AI1031">
        <v>1.4836044289928401</v>
      </c>
      <c r="AJ1031">
        <v>0.76193534118230599</v>
      </c>
      <c r="AK1031">
        <v>49.042560999999999</v>
      </c>
      <c r="AL1031">
        <v>3.9528660000000002</v>
      </c>
      <c r="AM1031">
        <v>48.939</v>
      </c>
      <c r="AN1031">
        <v>2.5310000000000001</v>
      </c>
    </row>
    <row r="1032" spans="1:40" x14ac:dyDescent="0.35">
      <c r="A1032">
        <v>1275</v>
      </c>
      <c r="B1032">
        <v>72</v>
      </c>
      <c r="C1032" t="s">
        <v>40</v>
      </c>
      <c r="D1032" t="s">
        <v>52</v>
      </c>
      <c r="E1032" t="s">
        <v>42</v>
      </c>
      <c r="F1032" t="s">
        <v>49</v>
      </c>
      <c r="G1032">
        <v>5</v>
      </c>
      <c r="H1032">
        <v>25</v>
      </c>
      <c r="I1032">
        <v>5</v>
      </c>
      <c r="J1032" t="s">
        <v>56</v>
      </c>
      <c r="K1032" t="s">
        <v>46</v>
      </c>
      <c r="L1032" t="s">
        <v>55</v>
      </c>
      <c r="M1032">
        <v>77.447576325950052</v>
      </c>
      <c r="N1032">
        <v>73</v>
      </c>
      <c r="O1032">
        <v>61</v>
      </c>
      <c r="P1032">
        <v>30</v>
      </c>
      <c r="Q1032">
        <v>2.0794415416798357</v>
      </c>
      <c r="R1032">
        <v>2.3025850929940459</v>
      </c>
      <c r="S1032">
        <v>3.2580965380214821</v>
      </c>
      <c r="T1032">
        <v>95.12</v>
      </c>
      <c r="U1032">
        <v>0</v>
      </c>
      <c r="V1032">
        <v>1.89305099905856</v>
      </c>
      <c r="W1032">
        <v>0.59880690621441701</v>
      </c>
      <c r="X1032">
        <v>1.1856460040685599</v>
      </c>
      <c r="Y1032">
        <v>-0.15565097555555901</v>
      </c>
      <c r="Z1032">
        <v>-0.22748295097212001</v>
      </c>
      <c r="AA1032">
        <v>1.0415013010201299</v>
      </c>
      <c r="AB1032">
        <v>2939.9504036908884</v>
      </c>
      <c r="AC1032">
        <v>2</v>
      </c>
      <c r="AD1032">
        <v>0.42868127643214149</v>
      </c>
      <c r="AE1032">
        <v>-2.40641039566141E-2</v>
      </c>
      <c r="AF1032">
        <v>0.15415664615650601</v>
      </c>
      <c r="AG1032">
        <v>0.23841755587244201</v>
      </c>
      <c r="AH1032">
        <v>0.65891644329881505</v>
      </c>
      <c r="AI1032">
        <v>-0.36491965980449897</v>
      </c>
      <c r="AJ1032">
        <v>-3.0260151945055598</v>
      </c>
      <c r="AK1032">
        <v>48.0777517</v>
      </c>
      <c r="AL1032">
        <v>7.3579641000000002</v>
      </c>
      <c r="AM1032">
        <v>48.738285714285716</v>
      </c>
      <c r="AN1032">
        <v>7.6870714285714294</v>
      </c>
    </row>
    <row r="1033" spans="1:40" x14ac:dyDescent="0.35">
      <c r="A1033">
        <v>1276</v>
      </c>
      <c r="B1033">
        <v>57</v>
      </c>
      <c r="C1033" t="s">
        <v>40</v>
      </c>
      <c r="D1033" t="s">
        <v>41</v>
      </c>
      <c r="E1033" t="s">
        <v>42</v>
      </c>
      <c r="F1033" t="s">
        <v>43</v>
      </c>
      <c r="G1033">
        <v>4</v>
      </c>
      <c r="H1033">
        <v>16</v>
      </c>
      <c r="I1033">
        <v>5</v>
      </c>
      <c r="J1033" t="s">
        <v>45</v>
      </c>
      <c r="K1033" t="s">
        <v>46</v>
      </c>
      <c r="L1033" t="s">
        <v>63</v>
      </c>
      <c r="M1033">
        <v>475.96443566858972</v>
      </c>
      <c r="N1033">
        <v>550</v>
      </c>
      <c r="O1033">
        <v>290</v>
      </c>
      <c r="P1033">
        <v>153</v>
      </c>
      <c r="Q1033">
        <v>0</v>
      </c>
      <c r="R1033">
        <v>0</v>
      </c>
      <c r="S1033">
        <v>2.1972245773362196</v>
      </c>
      <c r="T1033">
        <v>88.571764705882345</v>
      </c>
      <c r="U1033">
        <v>1.0581645007873905</v>
      </c>
      <c r="V1033">
        <v>-0.86345913794285001</v>
      </c>
      <c r="W1033">
        <v>-0.82100750411685597</v>
      </c>
      <c r="X1033">
        <v>-0.74332398245148801</v>
      </c>
      <c r="Y1033">
        <v>1.4483117406157899</v>
      </c>
      <c r="Z1033">
        <v>1.7680602694732599</v>
      </c>
      <c r="AA1033">
        <v>0.26366440732357699</v>
      </c>
      <c r="AB1033">
        <v>4236</v>
      </c>
      <c r="AC1033">
        <v>0</v>
      </c>
      <c r="AD1033">
        <v>4</v>
      </c>
      <c r="AE1033">
        <v>1.6751267091712101</v>
      </c>
      <c r="AF1033">
        <v>1.0002407974523699</v>
      </c>
      <c r="AG1033">
        <v>0.43288231637511299</v>
      </c>
      <c r="AH1033">
        <v>-0.89350497851707</v>
      </c>
      <c r="AI1033">
        <v>1.0238964823402299</v>
      </c>
      <c r="AJ1033">
        <v>-0.309543488165123</v>
      </c>
      <c r="AK1033">
        <v>45.086143999999997</v>
      </c>
      <c r="AL1033">
        <v>-0.60531999999999997</v>
      </c>
      <c r="AM1033">
        <v>48.856372813999997</v>
      </c>
      <c r="AN1033">
        <v>2.3525296170000001</v>
      </c>
    </row>
    <row r="1034" spans="1:40" x14ac:dyDescent="0.35">
      <c r="A1034">
        <v>1278</v>
      </c>
      <c r="B1034">
        <v>42</v>
      </c>
      <c r="C1034" t="s">
        <v>40</v>
      </c>
      <c r="D1034" t="s">
        <v>41</v>
      </c>
      <c r="E1034" t="s">
        <v>42</v>
      </c>
      <c r="F1034" t="s">
        <v>49</v>
      </c>
      <c r="G1034">
        <v>4</v>
      </c>
      <c r="H1034">
        <v>16</v>
      </c>
      <c r="I1034">
        <v>3</v>
      </c>
      <c r="J1034" t="s">
        <v>45</v>
      </c>
      <c r="K1034" t="s">
        <v>46</v>
      </c>
      <c r="L1034" t="s">
        <v>55</v>
      </c>
      <c r="M1034">
        <v>62.737498289962559</v>
      </c>
      <c r="N1034">
        <v>73</v>
      </c>
      <c r="O1034">
        <v>61</v>
      </c>
      <c r="P1034">
        <v>30</v>
      </c>
      <c r="Q1034">
        <v>2.0794415416798357</v>
      </c>
      <c r="R1034">
        <v>2.3025850929940459</v>
      </c>
      <c r="S1034">
        <v>3.2580965380214821</v>
      </c>
      <c r="T1034">
        <v>95.12</v>
      </c>
      <c r="U1034">
        <v>0</v>
      </c>
      <c r="V1034">
        <v>1.89305099905856</v>
      </c>
      <c r="W1034">
        <v>0.59880690621441701</v>
      </c>
      <c r="X1034">
        <v>1.1856460040685599</v>
      </c>
      <c r="Y1034">
        <v>-0.15565097555555901</v>
      </c>
      <c r="Z1034">
        <v>-0.22748295097212001</v>
      </c>
      <c r="AA1034">
        <v>1.0415013010201299</v>
      </c>
      <c r="AB1034">
        <v>2939.9504036908884</v>
      </c>
      <c r="AC1034">
        <v>2</v>
      </c>
      <c r="AD1034">
        <v>0.42868127643214149</v>
      </c>
      <c r="AE1034">
        <v>-2.40641039566141E-2</v>
      </c>
      <c r="AF1034">
        <v>0.62908267909305104</v>
      </c>
      <c r="AG1034">
        <v>-0.49596527508904997</v>
      </c>
      <c r="AH1034">
        <v>-1.0927495943480801</v>
      </c>
      <c r="AI1034">
        <v>-1.1348958211680801E-2</v>
      </c>
      <c r="AJ1034">
        <v>-0.57511996217883998</v>
      </c>
      <c r="AK1034">
        <v>48.0777517</v>
      </c>
      <c r="AL1034">
        <v>7.3579641000000002</v>
      </c>
      <c r="AM1034">
        <v>48.570999999999998</v>
      </c>
      <c r="AN1034">
        <v>7.7679999999999998</v>
      </c>
    </row>
    <row r="1035" spans="1:40" x14ac:dyDescent="0.35">
      <c r="A1035">
        <v>1279</v>
      </c>
      <c r="B1035">
        <v>72</v>
      </c>
      <c r="C1035" t="s">
        <v>40</v>
      </c>
      <c r="D1035" t="s">
        <v>52</v>
      </c>
      <c r="E1035" t="s">
        <v>42</v>
      </c>
      <c r="F1035" t="s">
        <v>49</v>
      </c>
      <c r="G1035">
        <v>5</v>
      </c>
      <c r="H1035">
        <v>25</v>
      </c>
      <c r="I1035">
        <v>5</v>
      </c>
      <c r="J1035" t="s">
        <v>56</v>
      </c>
      <c r="K1035" t="s">
        <v>46</v>
      </c>
      <c r="L1035" t="s">
        <v>59</v>
      </c>
      <c r="M1035">
        <v>190.33174110274479</v>
      </c>
      <c r="N1035">
        <v>224</v>
      </c>
      <c r="O1035">
        <v>178</v>
      </c>
      <c r="P1035">
        <v>97</v>
      </c>
      <c r="Q1035">
        <v>1.3862943611198906</v>
      </c>
      <c r="R1035">
        <v>1.3862943611198906</v>
      </c>
      <c r="S1035">
        <v>4.9972122737641147</v>
      </c>
      <c r="T1035">
        <v>90.035146103896111</v>
      </c>
      <c r="U1035">
        <v>1.418823059726001</v>
      </c>
      <c r="V1035">
        <v>-0.52223564926899602</v>
      </c>
      <c r="W1035">
        <v>-0.46072710968150399</v>
      </c>
      <c r="X1035">
        <v>-0.361786268345754</v>
      </c>
      <c r="Y1035">
        <v>-0.552694479448822</v>
      </c>
      <c r="Z1035">
        <v>2.1676297177028899E-2</v>
      </c>
      <c r="AA1035">
        <v>0.625223797005378</v>
      </c>
      <c r="AB1035">
        <v>2234.6992515788952</v>
      </c>
      <c r="AC1035">
        <v>0</v>
      </c>
      <c r="AD1035">
        <v>0.12112735591028891</v>
      </c>
      <c r="AE1035">
        <v>-0.60610368582010199</v>
      </c>
      <c r="AF1035">
        <v>-0.66643262295224204</v>
      </c>
      <c r="AG1035">
        <v>0.1180355707854</v>
      </c>
      <c r="AH1035">
        <v>1.3394928685126699</v>
      </c>
      <c r="AI1035">
        <v>0.64980044389111602</v>
      </c>
      <c r="AJ1035">
        <v>0.122912563264388</v>
      </c>
      <c r="AK1035">
        <v>47.411035099999999</v>
      </c>
      <c r="AL1035">
        <v>0.98369799999999996</v>
      </c>
      <c r="AM1035">
        <v>48.856372813999997</v>
      </c>
      <c r="AN1035">
        <v>2.3525296170000001</v>
      </c>
    </row>
    <row r="1036" spans="1:40" x14ac:dyDescent="0.35">
      <c r="A1036">
        <v>1280</v>
      </c>
      <c r="B1036">
        <v>42</v>
      </c>
      <c r="C1036" t="s">
        <v>40</v>
      </c>
      <c r="D1036" t="s">
        <v>41</v>
      </c>
      <c r="E1036" t="s">
        <v>42</v>
      </c>
      <c r="F1036" t="s">
        <v>61</v>
      </c>
      <c r="G1036">
        <v>4</v>
      </c>
      <c r="H1036">
        <v>16</v>
      </c>
      <c r="I1036">
        <v>3</v>
      </c>
      <c r="J1036" t="s">
        <v>56</v>
      </c>
      <c r="K1036" t="s">
        <v>46</v>
      </c>
      <c r="L1036" t="s">
        <v>72</v>
      </c>
      <c r="M1036">
        <v>466.74908807977948</v>
      </c>
      <c r="N1036">
        <v>669</v>
      </c>
      <c r="O1036">
        <v>427</v>
      </c>
      <c r="P1036">
        <v>459</v>
      </c>
      <c r="Q1036">
        <v>0.69314718055994529</v>
      </c>
      <c r="R1036">
        <v>1.3862943611198906</v>
      </c>
      <c r="S1036">
        <v>4.5538768916005408</v>
      </c>
      <c r="T1036">
        <v>89.340161030595823</v>
      </c>
      <c r="U1036">
        <v>1.4712304197281412</v>
      </c>
      <c r="V1036">
        <v>0.59716251398508702</v>
      </c>
      <c r="W1036">
        <v>0.91068296986709796</v>
      </c>
      <c r="X1036">
        <v>1.2273243988355</v>
      </c>
      <c r="Y1036">
        <v>-0.4121809470949</v>
      </c>
      <c r="Z1036">
        <v>-0.86472582726521097</v>
      </c>
      <c r="AA1036">
        <v>-1.0172779374790899</v>
      </c>
      <c r="AB1036">
        <v>1828.1689246701658</v>
      </c>
      <c r="AC1036">
        <v>1.1127464888636687</v>
      </c>
      <c r="AD1036">
        <v>1.8630656830756136</v>
      </c>
      <c r="AE1036">
        <v>-0.53926882203722504</v>
      </c>
      <c r="AF1036">
        <v>1.5111116384855701</v>
      </c>
      <c r="AG1036">
        <v>1.1500609789993801</v>
      </c>
      <c r="AH1036">
        <v>5.2344572583151498E-2</v>
      </c>
      <c r="AI1036">
        <v>1.69210914865933</v>
      </c>
      <c r="AJ1036">
        <v>-0.30727317137575799</v>
      </c>
      <c r="AK1036">
        <v>44.503641999999999</v>
      </c>
      <c r="AL1036">
        <v>1.1863669999999999</v>
      </c>
      <c r="AM1036">
        <v>48.096200000000003</v>
      </c>
      <c r="AN1036">
        <v>-1.9451999999999998</v>
      </c>
    </row>
    <row r="1037" spans="1:40" x14ac:dyDescent="0.35">
      <c r="A1037">
        <v>1281</v>
      </c>
      <c r="B1037">
        <v>57</v>
      </c>
      <c r="C1037" t="s">
        <v>40</v>
      </c>
      <c r="D1037" t="s">
        <v>41</v>
      </c>
      <c r="E1037" t="s">
        <v>42</v>
      </c>
      <c r="F1037" t="s">
        <v>43</v>
      </c>
      <c r="G1037">
        <v>6</v>
      </c>
      <c r="H1037">
        <v>36</v>
      </c>
      <c r="I1037">
        <v>5</v>
      </c>
      <c r="J1037" t="s">
        <v>50</v>
      </c>
      <c r="K1037" t="s">
        <v>46</v>
      </c>
      <c r="L1037" t="s">
        <v>70</v>
      </c>
      <c r="M1037">
        <v>334.15744354440852</v>
      </c>
      <c r="N1037">
        <v>389</v>
      </c>
      <c r="O1037">
        <v>190</v>
      </c>
      <c r="P1037">
        <v>218</v>
      </c>
      <c r="Q1037">
        <v>0</v>
      </c>
      <c r="R1037">
        <v>0</v>
      </c>
      <c r="S1037">
        <v>5.3230099791384085</v>
      </c>
      <c r="T1037">
        <v>90.615999999999985</v>
      </c>
      <c r="U1037">
        <v>1.11573792223403</v>
      </c>
      <c r="V1037">
        <v>0.80288722813325297</v>
      </c>
      <c r="W1037">
        <v>0.52082154240315903</v>
      </c>
      <c r="X1037">
        <v>0.61908815691345198</v>
      </c>
      <c r="Y1037">
        <v>1.5007680231051199</v>
      </c>
      <c r="Z1037">
        <v>0.24292628533916899</v>
      </c>
      <c r="AA1037">
        <v>8.5217386942517098E-2</v>
      </c>
      <c r="AB1037">
        <v>3943</v>
      </c>
      <c r="AC1037">
        <v>0</v>
      </c>
      <c r="AD1037">
        <v>1</v>
      </c>
      <c r="AE1037">
        <v>1.1088815174583</v>
      </c>
      <c r="AF1037">
        <v>0.44110476151815597</v>
      </c>
      <c r="AG1037">
        <v>0.71048741702055096</v>
      </c>
      <c r="AH1037">
        <v>-0.45460547170391202</v>
      </c>
      <c r="AI1037">
        <v>0.65812003530067198</v>
      </c>
      <c r="AJ1037">
        <v>0.41127570541708403</v>
      </c>
      <c r="AK1037">
        <v>46.098678999999997</v>
      </c>
      <c r="AL1037">
        <v>4.7359530000000003</v>
      </c>
      <c r="AM1037">
        <v>48.585999999999999</v>
      </c>
      <c r="AN1037">
        <v>2.2549999999999999</v>
      </c>
    </row>
    <row r="1038" spans="1:40" x14ac:dyDescent="0.35">
      <c r="A1038">
        <v>1282</v>
      </c>
      <c r="B1038">
        <v>42</v>
      </c>
      <c r="C1038" t="s">
        <v>48</v>
      </c>
      <c r="D1038" t="s">
        <v>41</v>
      </c>
      <c r="E1038" t="s">
        <v>42</v>
      </c>
      <c r="F1038" t="s">
        <v>49</v>
      </c>
      <c r="G1038">
        <v>5</v>
      </c>
      <c r="H1038">
        <v>25</v>
      </c>
      <c r="I1038">
        <v>6</v>
      </c>
      <c r="J1038" t="s">
        <v>56</v>
      </c>
      <c r="K1038" t="s">
        <v>46</v>
      </c>
      <c r="L1038" t="s">
        <v>72</v>
      </c>
      <c r="M1038">
        <v>494.7337585522215</v>
      </c>
      <c r="N1038">
        <v>588</v>
      </c>
      <c r="O1038">
        <v>374</v>
      </c>
      <c r="P1038">
        <v>396</v>
      </c>
      <c r="Q1038">
        <v>0.69314718055994529</v>
      </c>
      <c r="R1038">
        <v>1.3862943611198906</v>
      </c>
      <c r="S1038">
        <v>4.5538768916005408</v>
      </c>
      <c r="T1038">
        <v>89.340161030595823</v>
      </c>
      <c r="U1038">
        <v>1.4712304197281412</v>
      </c>
      <c r="V1038">
        <v>0.59716251398508702</v>
      </c>
      <c r="W1038">
        <v>0.91068296986709796</v>
      </c>
      <c r="X1038">
        <v>1.2273243988355</v>
      </c>
      <c r="Y1038">
        <v>-0.4121809470949</v>
      </c>
      <c r="Z1038">
        <v>-0.86472582726521097</v>
      </c>
      <c r="AA1038">
        <v>-1.0172779374790899</v>
      </c>
      <c r="AB1038">
        <v>1828.1689246701658</v>
      </c>
      <c r="AC1038">
        <v>1.1127464888636687</v>
      </c>
      <c r="AD1038">
        <v>1.8630656830756136</v>
      </c>
      <c r="AE1038">
        <v>-0.53926882203722504</v>
      </c>
      <c r="AF1038">
        <v>-2.66985380753666</v>
      </c>
      <c r="AG1038">
        <v>0.56859856298109801</v>
      </c>
      <c r="AH1038">
        <v>-0.59161107581371097</v>
      </c>
      <c r="AI1038">
        <v>-2.4338398504884098</v>
      </c>
      <c r="AJ1038">
        <v>1.01601176339679</v>
      </c>
      <c r="AK1038">
        <v>44.503641999999999</v>
      </c>
      <c r="AL1038">
        <v>1.1863669999999999</v>
      </c>
      <c r="AM1038">
        <v>48.863</v>
      </c>
      <c r="AN1038">
        <v>2.448</v>
      </c>
    </row>
    <row r="1039" spans="1:40" x14ac:dyDescent="0.35">
      <c r="A1039">
        <v>1283</v>
      </c>
      <c r="B1039">
        <v>57</v>
      </c>
      <c r="C1039" t="s">
        <v>40</v>
      </c>
      <c r="D1039" t="s">
        <v>41</v>
      </c>
      <c r="E1039" t="s">
        <v>42</v>
      </c>
      <c r="F1039" t="s">
        <v>49</v>
      </c>
      <c r="G1039">
        <v>5</v>
      </c>
      <c r="H1039">
        <v>25</v>
      </c>
      <c r="I1039">
        <v>5</v>
      </c>
      <c r="J1039" t="s">
        <v>56</v>
      </c>
      <c r="K1039" t="s">
        <v>46</v>
      </c>
      <c r="L1039" t="s">
        <v>75</v>
      </c>
      <c r="M1039">
        <v>334.79039592227753</v>
      </c>
      <c r="N1039">
        <v>405</v>
      </c>
      <c r="O1039">
        <v>256</v>
      </c>
      <c r="P1039">
        <v>185</v>
      </c>
      <c r="Q1039">
        <v>0</v>
      </c>
      <c r="R1039">
        <v>0</v>
      </c>
      <c r="S1039">
        <v>3.5553480614894135</v>
      </c>
      <c r="T1039">
        <v>87.721111111111114</v>
      </c>
      <c r="U1039">
        <v>1.8185946276597997</v>
      </c>
      <c r="V1039">
        <v>-1.01058566247205</v>
      </c>
      <c r="W1039">
        <v>-0.72487722485772399</v>
      </c>
      <c r="X1039">
        <v>-0.83814251792544203</v>
      </c>
      <c r="Y1039">
        <v>0.643019057251217</v>
      </c>
      <c r="Z1039">
        <v>0.97010361819212798</v>
      </c>
      <c r="AA1039">
        <v>-1.0557286875948499</v>
      </c>
      <c r="AB1039">
        <v>4179</v>
      </c>
      <c r="AC1039">
        <v>0</v>
      </c>
      <c r="AD1039">
        <v>0</v>
      </c>
      <c r="AE1039">
        <v>0.59808311135132897</v>
      </c>
      <c r="AF1039">
        <v>4.5191605561563299E-2</v>
      </c>
      <c r="AG1039">
        <v>0.73826050550949596</v>
      </c>
      <c r="AH1039">
        <v>0.356420378166873</v>
      </c>
      <c r="AI1039">
        <v>8.4657515247342899E-2</v>
      </c>
      <c r="AJ1039">
        <v>-5.5511958736483298E-2</v>
      </c>
      <c r="AK1039">
        <v>47.087721999999999</v>
      </c>
      <c r="AL1039">
        <v>-1.2817419999999999</v>
      </c>
      <c r="AM1039">
        <v>48.856372813999997</v>
      </c>
      <c r="AN1039">
        <v>2.3525296170000001</v>
      </c>
    </row>
    <row r="1040" spans="1:40" x14ac:dyDescent="0.35">
      <c r="A1040">
        <v>1284</v>
      </c>
      <c r="B1040">
        <v>57</v>
      </c>
      <c r="C1040" t="s">
        <v>40</v>
      </c>
      <c r="D1040" t="s">
        <v>41</v>
      </c>
      <c r="E1040" t="s">
        <v>42</v>
      </c>
      <c r="F1040" t="s">
        <v>49</v>
      </c>
      <c r="G1040">
        <v>3</v>
      </c>
      <c r="H1040">
        <v>9</v>
      </c>
      <c r="I1040">
        <v>4</v>
      </c>
      <c r="J1040" t="s">
        <v>45</v>
      </c>
      <c r="K1040" t="s">
        <v>46</v>
      </c>
      <c r="L1040" t="s">
        <v>51</v>
      </c>
      <c r="M1040">
        <v>141.83439051364971</v>
      </c>
      <c r="N1040">
        <v>158</v>
      </c>
      <c r="O1040">
        <v>106</v>
      </c>
      <c r="P1040">
        <v>202</v>
      </c>
      <c r="Q1040">
        <v>0</v>
      </c>
      <c r="R1040">
        <v>1.3862943611198906</v>
      </c>
      <c r="S1040">
        <v>4.3438054218536841</v>
      </c>
      <c r="T1040">
        <v>91.16</v>
      </c>
      <c r="U1040">
        <v>2.3174698847378039</v>
      </c>
      <c r="V1040">
        <v>-0.58471966768986094</v>
      </c>
      <c r="W1040">
        <v>-0.55557078097057</v>
      </c>
      <c r="X1040">
        <v>-0.47566183223429498</v>
      </c>
      <c r="Y1040">
        <v>-0.95884680312505799</v>
      </c>
      <c r="Z1040">
        <v>-0.76521334103430205</v>
      </c>
      <c r="AA1040">
        <v>-0.77245900699560299</v>
      </c>
      <c r="AB1040">
        <v>1376</v>
      </c>
      <c r="AC1040">
        <v>0</v>
      </c>
      <c r="AD1040">
        <v>2</v>
      </c>
      <c r="AE1040">
        <v>-1.2769936012368599</v>
      </c>
      <c r="AF1040">
        <v>0.72612743777211897</v>
      </c>
      <c r="AG1040">
        <v>1.2787172396672899</v>
      </c>
      <c r="AH1040">
        <v>0.73409973220784697</v>
      </c>
      <c r="AI1040">
        <v>1.0120864955311599</v>
      </c>
      <c r="AJ1040">
        <v>-3.73852355922349</v>
      </c>
      <c r="AK1040">
        <v>47.815207299999997</v>
      </c>
      <c r="AL1040">
        <v>3.8001657</v>
      </c>
      <c r="AM1040">
        <v>48.936666666666667</v>
      </c>
      <c r="AN1040">
        <v>2.8896666666666668</v>
      </c>
    </row>
    <row r="1041" spans="1:40" x14ac:dyDescent="0.35">
      <c r="A1041">
        <v>1287</v>
      </c>
      <c r="B1041">
        <v>72</v>
      </c>
      <c r="C1041" t="s">
        <v>40</v>
      </c>
      <c r="D1041" t="s">
        <v>52</v>
      </c>
      <c r="E1041" t="s">
        <v>42</v>
      </c>
      <c r="F1041" t="s">
        <v>49</v>
      </c>
      <c r="G1041">
        <v>5</v>
      </c>
      <c r="H1041">
        <v>25</v>
      </c>
      <c r="I1041">
        <v>5</v>
      </c>
      <c r="J1041" t="s">
        <v>56</v>
      </c>
      <c r="K1041" t="s">
        <v>46</v>
      </c>
      <c r="L1041" t="s">
        <v>65</v>
      </c>
      <c r="M1041">
        <v>637.33855145186908</v>
      </c>
      <c r="N1041">
        <v>916</v>
      </c>
      <c r="O1041">
        <v>470</v>
      </c>
      <c r="P1041">
        <v>642</v>
      </c>
      <c r="Q1041">
        <v>0</v>
      </c>
      <c r="R1041">
        <v>0</v>
      </c>
      <c r="S1041">
        <v>4.4543472962535073</v>
      </c>
      <c r="T1041">
        <v>89.333044733044744</v>
      </c>
      <c r="U1041">
        <v>1.2554235437523662</v>
      </c>
      <c r="V1041">
        <v>1.64975517953679</v>
      </c>
      <c r="W1041">
        <v>2.4220969657957299</v>
      </c>
      <c r="X1041">
        <v>1.68128863126442</v>
      </c>
      <c r="Y1041">
        <v>2.0553398017137301</v>
      </c>
      <c r="Z1041">
        <v>2.0921400018840099</v>
      </c>
      <c r="AA1041">
        <v>2.0596698968962701</v>
      </c>
      <c r="AB1041">
        <v>3262.71</v>
      </c>
      <c r="AC1041">
        <v>0.33</v>
      </c>
      <c r="AD1041">
        <v>0.66</v>
      </c>
      <c r="AE1041">
        <v>1.9221838973381</v>
      </c>
      <c r="AF1041">
        <v>1.2751254564188601</v>
      </c>
      <c r="AG1041">
        <v>1.1550776297938901</v>
      </c>
      <c r="AH1041">
        <v>0.84786991876795603</v>
      </c>
      <c r="AI1041">
        <v>0.15797245686842301</v>
      </c>
      <c r="AJ1041">
        <v>1.08368231917145</v>
      </c>
      <c r="AK1041">
        <v>43.537466000000002</v>
      </c>
      <c r="AL1041">
        <v>6.4627330000000001</v>
      </c>
      <c r="AM1041">
        <v>45.654499999999999</v>
      </c>
      <c r="AN1041">
        <v>-1.012</v>
      </c>
    </row>
    <row r="1042" spans="1:40" x14ac:dyDescent="0.35">
      <c r="A1042">
        <v>1289</v>
      </c>
      <c r="B1042">
        <v>72</v>
      </c>
      <c r="C1042" t="s">
        <v>40</v>
      </c>
      <c r="D1042" t="s">
        <v>52</v>
      </c>
      <c r="E1042" t="s">
        <v>42</v>
      </c>
      <c r="F1042" t="s">
        <v>49</v>
      </c>
      <c r="G1042">
        <v>5</v>
      </c>
      <c r="H1042">
        <v>25</v>
      </c>
      <c r="I1042">
        <v>5</v>
      </c>
      <c r="J1042" t="s">
        <v>56</v>
      </c>
      <c r="K1042" t="s">
        <v>46</v>
      </c>
      <c r="L1042" t="s">
        <v>60</v>
      </c>
      <c r="M1042">
        <v>94.989728170977145</v>
      </c>
      <c r="N1042">
        <v>104</v>
      </c>
      <c r="O1042">
        <v>65</v>
      </c>
      <c r="P1042">
        <v>137</v>
      </c>
      <c r="Q1042">
        <v>3.8501476017100584</v>
      </c>
      <c r="R1042">
        <v>2.9957322735539909</v>
      </c>
      <c r="S1042">
        <v>5.4424177105217932</v>
      </c>
      <c r="T1042">
        <v>88.975873222691746</v>
      </c>
      <c r="U1042">
        <v>2.5514539469641888</v>
      </c>
      <c r="V1042">
        <v>2.9336799326863701</v>
      </c>
      <c r="W1042">
        <v>3.3730943146768602</v>
      </c>
      <c r="X1042">
        <v>3.6072071704345601</v>
      </c>
      <c r="Y1042">
        <v>-0.19189497559235799</v>
      </c>
      <c r="Z1042">
        <v>0.17569111512999699</v>
      </c>
      <c r="AA1042">
        <v>-0.304970615080496</v>
      </c>
      <c r="AB1042">
        <v>1906.836709612184</v>
      </c>
      <c r="AC1042">
        <v>0.7978420820676605</v>
      </c>
      <c r="AD1042">
        <v>2.1056638128240834</v>
      </c>
      <c r="AE1042">
        <v>-0.25037207080954499</v>
      </c>
      <c r="AF1042">
        <v>-0.62309943788127797</v>
      </c>
      <c r="AG1042">
        <v>-2.6473450541140999</v>
      </c>
      <c r="AH1042">
        <v>-1.26124261335288</v>
      </c>
      <c r="AI1042">
        <v>-1.5351111900902616</v>
      </c>
      <c r="AJ1042">
        <v>-0.12467870252827701</v>
      </c>
      <c r="AK1042">
        <v>44.055988999999997</v>
      </c>
      <c r="AL1042">
        <v>4.8317350000000001</v>
      </c>
      <c r="AM1042">
        <v>43.296606916000002</v>
      </c>
      <c r="AN1042">
        <v>5.3698669680000002</v>
      </c>
    </row>
    <row r="1043" spans="1:40" x14ac:dyDescent="0.35">
      <c r="A1043">
        <v>1290</v>
      </c>
      <c r="B1043">
        <v>72</v>
      </c>
      <c r="C1043" t="s">
        <v>48</v>
      </c>
      <c r="D1043" t="s">
        <v>52</v>
      </c>
      <c r="E1043" t="s">
        <v>42</v>
      </c>
      <c r="F1043" t="s">
        <v>53</v>
      </c>
      <c r="G1043">
        <v>4</v>
      </c>
      <c r="H1043">
        <v>16</v>
      </c>
      <c r="I1043">
        <v>7</v>
      </c>
      <c r="J1043" t="s">
        <v>56</v>
      </c>
      <c r="K1043" t="s">
        <v>46</v>
      </c>
      <c r="L1043" t="s">
        <v>76</v>
      </c>
      <c r="M1043">
        <v>381.04288131786973</v>
      </c>
      <c r="N1043">
        <v>523</v>
      </c>
      <c r="O1043">
        <v>337</v>
      </c>
      <c r="P1043">
        <v>297</v>
      </c>
      <c r="Q1043">
        <v>0</v>
      </c>
      <c r="R1043">
        <v>1.0986122886681098</v>
      </c>
      <c r="S1043">
        <v>4.1588830833596715</v>
      </c>
      <c r="T1043">
        <v>91.226666666666674</v>
      </c>
      <c r="U1043">
        <v>1.418823059726001</v>
      </c>
      <c r="V1043">
        <v>-0.39095273818515502</v>
      </c>
      <c r="W1043">
        <v>-0.53446083104759001</v>
      </c>
      <c r="X1043">
        <v>-0.40804429067029002</v>
      </c>
      <c r="Y1043">
        <v>-0.56789545922357498</v>
      </c>
      <c r="Z1043">
        <v>-0.94760790482486201</v>
      </c>
      <c r="AA1043">
        <v>-1.0848673571571601</v>
      </c>
      <c r="AB1043">
        <v>1770.5103102717287</v>
      </c>
      <c r="AC1043">
        <v>0.28213528618230871</v>
      </c>
      <c r="AD1043">
        <v>1.7130468298323378</v>
      </c>
      <c r="AE1043">
        <v>-1.13486126839574</v>
      </c>
      <c r="AF1043">
        <v>-0.64263882033217101</v>
      </c>
      <c r="AG1043">
        <v>1.0118443461206601</v>
      </c>
      <c r="AH1043">
        <v>-0.36633744805339702</v>
      </c>
      <c r="AI1043">
        <v>-0.79051494494542196</v>
      </c>
      <c r="AJ1043">
        <v>-1.57772983843731</v>
      </c>
      <c r="AK1043">
        <v>47.330690599999997</v>
      </c>
      <c r="AL1043">
        <v>2.8390453999999998</v>
      </c>
      <c r="AM1043">
        <v>44.856999999999999</v>
      </c>
      <c r="AN1043">
        <v>-0.57399999999999995</v>
      </c>
    </row>
    <row r="1044" spans="1:40" x14ac:dyDescent="0.35">
      <c r="A1044">
        <v>1291</v>
      </c>
      <c r="B1044">
        <v>72</v>
      </c>
      <c r="C1044" t="s">
        <v>40</v>
      </c>
      <c r="D1044" t="s">
        <v>52</v>
      </c>
      <c r="E1044" t="s">
        <v>42</v>
      </c>
      <c r="F1044" t="s">
        <v>49</v>
      </c>
      <c r="G1044">
        <v>5</v>
      </c>
      <c r="H1044">
        <v>25</v>
      </c>
      <c r="I1044">
        <v>7</v>
      </c>
      <c r="J1044" t="s">
        <v>56</v>
      </c>
      <c r="K1044" t="s">
        <v>46</v>
      </c>
      <c r="L1044" t="s">
        <v>57</v>
      </c>
      <c r="M1044">
        <v>276.20298140836582</v>
      </c>
      <c r="N1044">
        <v>279</v>
      </c>
      <c r="O1044">
        <v>171</v>
      </c>
      <c r="P1044">
        <v>171</v>
      </c>
      <c r="Q1044">
        <v>0.69314718055994529</v>
      </c>
      <c r="R1044">
        <v>3.6109179126442243</v>
      </c>
      <c r="S1044">
        <v>5.8833223884882786</v>
      </c>
      <c r="T1044">
        <v>90.922105263157903</v>
      </c>
      <c r="U1044">
        <v>2.3923758041545438</v>
      </c>
      <c r="V1044">
        <v>-0.399596989308249</v>
      </c>
      <c r="W1044">
        <v>-0.58810405700346202</v>
      </c>
      <c r="X1044">
        <v>-0.29041857108635599</v>
      </c>
      <c r="Y1044">
        <v>-0.846122564821426</v>
      </c>
      <c r="Z1044">
        <v>-0.92679578564836795</v>
      </c>
      <c r="AA1044">
        <v>0.86332342905974202</v>
      </c>
      <c r="AB1044">
        <v>2050</v>
      </c>
      <c r="AC1044">
        <v>1</v>
      </c>
      <c r="AD1044">
        <v>2</v>
      </c>
      <c r="AE1044">
        <v>-0.51011828243844404</v>
      </c>
      <c r="AF1044">
        <v>0.641006078360566</v>
      </c>
      <c r="AG1044">
        <v>0.99116523550755098</v>
      </c>
      <c r="AH1044">
        <v>-0.88082780230249302</v>
      </c>
      <c r="AI1044">
        <v>-0.75201384989838505</v>
      </c>
      <c r="AJ1044">
        <v>0.74081533531299504</v>
      </c>
      <c r="AK1044">
        <v>47.023905999999997</v>
      </c>
      <c r="AL1044">
        <v>4.8380429999999999</v>
      </c>
      <c r="AM1044">
        <v>48.714333333333336</v>
      </c>
      <c r="AN1044">
        <v>2.1300000000000003</v>
      </c>
    </row>
    <row r="1045" spans="1:40" x14ac:dyDescent="0.35">
      <c r="A1045">
        <v>1292</v>
      </c>
      <c r="B1045">
        <v>72</v>
      </c>
      <c r="C1045" t="s">
        <v>48</v>
      </c>
      <c r="D1045" t="s">
        <v>52</v>
      </c>
      <c r="E1045" t="s">
        <v>42</v>
      </c>
      <c r="F1045" t="s">
        <v>53</v>
      </c>
      <c r="G1045">
        <v>4</v>
      </c>
      <c r="H1045">
        <v>16</v>
      </c>
      <c r="I1045">
        <v>6</v>
      </c>
      <c r="J1045" t="s">
        <v>56</v>
      </c>
      <c r="K1045" t="s">
        <v>46</v>
      </c>
      <c r="L1045" t="s">
        <v>51</v>
      </c>
      <c r="M1045">
        <v>159.81171045062609</v>
      </c>
      <c r="N1045">
        <v>200</v>
      </c>
      <c r="O1045">
        <v>156</v>
      </c>
      <c r="P1045">
        <v>190</v>
      </c>
      <c r="Q1045">
        <v>0</v>
      </c>
      <c r="R1045">
        <v>1.3862943611198906</v>
      </c>
      <c r="S1045">
        <v>4.3438054218536841</v>
      </c>
      <c r="T1045">
        <v>91.16</v>
      </c>
      <c r="U1045">
        <v>2.3174698847378039</v>
      </c>
      <c r="V1045">
        <v>-0.58471966768986094</v>
      </c>
      <c r="W1045">
        <v>-0.55557078097057</v>
      </c>
      <c r="X1045">
        <v>-0.47566183223429498</v>
      </c>
      <c r="Y1045">
        <v>-0.95884680312505799</v>
      </c>
      <c r="Z1045">
        <v>-0.76521334103430205</v>
      </c>
      <c r="AA1045">
        <v>-0.77245900699560299</v>
      </c>
      <c r="AB1045">
        <v>1376</v>
      </c>
      <c r="AC1045">
        <v>0</v>
      </c>
      <c r="AD1045">
        <v>2</v>
      </c>
      <c r="AE1045">
        <v>-0.51011828243844404</v>
      </c>
      <c r="AF1045">
        <v>5.1986936668060597E-2</v>
      </c>
      <c r="AG1045">
        <v>0.68267346165259202</v>
      </c>
      <c r="AH1045">
        <v>0.92073966889584702</v>
      </c>
      <c r="AI1045">
        <v>1.4836044289928401</v>
      </c>
      <c r="AJ1045">
        <v>0.76193534118230599</v>
      </c>
      <c r="AK1045">
        <v>47.815207299999997</v>
      </c>
      <c r="AL1045">
        <v>3.8001657</v>
      </c>
      <c r="AM1045">
        <v>48.824000000000005</v>
      </c>
      <c r="AN1045">
        <v>2.2639999999999998</v>
      </c>
    </row>
    <row r="1046" spans="1:40" x14ac:dyDescent="0.35">
      <c r="A1046">
        <v>1293</v>
      </c>
      <c r="B1046">
        <v>57</v>
      </c>
      <c r="C1046" t="s">
        <v>40</v>
      </c>
      <c r="D1046" t="s">
        <v>66</v>
      </c>
      <c r="E1046" t="s">
        <v>42</v>
      </c>
      <c r="F1046" t="s">
        <v>61</v>
      </c>
      <c r="G1046">
        <v>2</v>
      </c>
      <c r="H1046">
        <v>4</v>
      </c>
      <c r="I1046">
        <v>2</v>
      </c>
      <c r="J1046" t="s">
        <v>45</v>
      </c>
      <c r="K1046" t="s">
        <v>46</v>
      </c>
      <c r="L1046" t="s">
        <v>58</v>
      </c>
      <c r="M1046">
        <v>469.71240311043522</v>
      </c>
      <c r="N1046">
        <v>570</v>
      </c>
      <c r="O1046">
        <v>405</v>
      </c>
      <c r="P1046">
        <v>249</v>
      </c>
      <c r="Q1046">
        <v>3.2580965380214821</v>
      </c>
      <c r="R1046">
        <v>2.8903717578961645</v>
      </c>
      <c r="S1046">
        <v>4.7535901911063645</v>
      </c>
      <c r="T1046">
        <v>90.794285714285706</v>
      </c>
      <c r="U1046">
        <v>0</v>
      </c>
      <c r="V1046">
        <v>0.63905639120027702</v>
      </c>
      <c r="W1046">
        <v>0.692565001186083</v>
      </c>
      <c r="X1046">
        <v>0.56469097254324596</v>
      </c>
      <c r="Y1046">
        <v>1.4483117406157899</v>
      </c>
      <c r="Z1046">
        <v>1.7680602694732599</v>
      </c>
      <c r="AA1046">
        <v>0.26366440732357699</v>
      </c>
      <c r="AB1046">
        <v>4236</v>
      </c>
      <c r="AC1046">
        <v>0</v>
      </c>
      <c r="AD1046">
        <v>4</v>
      </c>
      <c r="AE1046">
        <v>1.6751267091712101</v>
      </c>
      <c r="AF1046">
        <v>-0.43391360348339297</v>
      </c>
      <c r="AG1046">
        <v>0.13462849495086299</v>
      </c>
      <c r="AH1046">
        <v>-0.32150747528402701</v>
      </c>
      <c r="AI1046">
        <v>0.15736218417779316</v>
      </c>
      <c r="AJ1046">
        <v>-0.35580349521722709</v>
      </c>
      <c r="AK1046">
        <v>45.198478000000001</v>
      </c>
      <c r="AL1046">
        <v>-0.74874399999999997</v>
      </c>
      <c r="AM1046">
        <v>48.884999999999998</v>
      </c>
      <c r="AN1046">
        <v>2.266</v>
      </c>
    </row>
    <row r="1047" spans="1:40" x14ac:dyDescent="0.35">
      <c r="A1047">
        <v>1294</v>
      </c>
      <c r="B1047">
        <v>42</v>
      </c>
      <c r="C1047" t="s">
        <v>48</v>
      </c>
      <c r="D1047" t="s">
        <v>66</v>
      </c>
      <c r="E1047" t="s">
        <v>42</v>
      </c>
      <c r="F1047" t="s">
        <v>43</v>
      </c>
      <c r="G1047">
        <v>5</v>
      </c>
      <c r="H1047">
        <v>25</v>
      </c>
      <c r="I1047">
        <v>7</v>
      </c>
      <c r="J1047" t="s">
        <v>50</v>
      </c>
      <c r="K1047" t="s">
        <v>46</v>
      </c>
      <c r="L1047" t="s">
        <v>73</v>
      </c>
      <c r="M1047">
        <v>508.77862263467301</v>
      </c>
      <c r="N1047">
        <v>577</v>
      </c>
      <c r="O1047">
        <v>365</v>
      </c>
      <c r="P1047">
        <v>184</v>
      </c>
      <c r="Q1047">
        <v>1.9459101490553132</v>
      </c>
      <c r="R1047">
        <v>2.9444389791664403</v>
      </c>
      <c r="S1047">
        <v>4.2626798770413155</v>
      </c>
      <c r="T1047">
        <v>91.872500000000002</v>
      </c>
      <c r="U1047">
        <v>2.0033201607997366</v>
      </c>
      <c r="V1047">
        <v>7.5580716531248995E-2</v>
      </c>
      <c r="W1047">
        <v>0.203376316306385</v>
      </c>
      <c r="X1047">
        <v>0.143329752535333</v>
      </c>
      <c r="Y1047">
        <v>1.4483117406157899</v>
      </c>
      <c r="Z1047">
        <v>1.7680602694732599</v>
      </c>
      <c r="AA1047">
        <v>0.26366440732357699</v>
      </c>
      <c r="AB1047">
        <v>4236</v>
      </c>
      <c r="AC1047">
        <v>0</v>
      </c>
      <c r="AD1047">
        <v>4</v>
      </c>
      <c r="AE1047">
        <v>1.6751267091712101</v>
      </c>
      <c r="AF1047">
        <v>1.39219665777499</v>
      </c>
      <c r="AG1047">
        <v>0.77947521971268596</v>
      </c>
      <c r="AH1047">
        <v>-1.30917749942836</v>
      </c>
      <c r="AI1047">
        <v>0.61531408119892705</v>
      </c>
      <c r="AJ1047">
        <v>-0.340691734971386</v>
      </c>
      <c r="AK1047">
        <v>44.686388999999998</v>
      </c>
      <c r="AL1047">
        <v>-0.52383800000000003</v>
      </c>
      <c r="AM1047">
        <v>49.030923076923081</v>
      </c>
      <c r="AN1047">
        <v>1.5537692307692308</v>
      </c>
    </row>
    <row r="1048" spans="1:40" x14ac:dyDescent="0.35">
      <c r="A1048">
        <v>1295</v>
      </c>
      <c r="B1048">
        <v>42</v>
      </c>
      <c r="C1048" t="s">
        <v>40</v>
      </c>
      <c r="D1048" t="s">
        <v>66</v>
      </c>
      <c r="E1048" t="s">
        <v>42</v>
      </c>
      <c r="F1048" t="s">
        <v>61</v>
      </c>
      <c r="G1048">
        <v>6</v>
      </c>
      <c r="H1048">
        <v>36</v>
      </c>
      <c r="I1048">
        <v>5</v>
      </c>
      <c r="J1048" t="s">
        <v>50</v>
      </c>
      <c r="K1048" t="s">
        <v>46</v>
      </c>
      <c r="L1048" t="s">
        <v>72</v>
      </c>
      <c r="M1048">
        <v>674.23437502560944</v>
      </c>
      <c r="N1048">
        <v>751</v>
      </c>
      <c r="O1048">
        <v>467</v>
      </c>
      <c r="P1048">
        <v>442</v>
      </c>
      <c r="Q1048">
        <v>0.69314718055994529</v>
      </c>
      <c r="R1048">
        <v>1.3862943611198906</v>
      </c>
      <c r="S1048">
        <v>4.5538768916005408</v>
      </c>
      <c r="T1048">
        <v>89.340161030595823</v>
      </c>
      <c r="U1048">
        <v>1.4712304197281412</v>
      </c>
      <c r="V1048">
        <v>0.59716251398508702</v>
      </c>
      <c r="W1048">
        <v>0.91068296986709796</v>
      </c>
      <c r="X1048">
        <v>1.2273243988355</v>
      </c>
      <c r="Y1048">
        <v>-0.4121809470949</v>
      </c>
      <c r="Z1048">
        <v>-0.86472582726521097</v>
      </c>
      <c r="AA1048">
        <v>-1.0172779374790899</v>
      </c>
      <c r="AB1048">
        <v>1828.1689246701658</v>
      </c>
      <c r="AC1048">
        <v>1.1127464888636687</v>
      </c>
      <c r="AD1048">
        <v>1.8630656830756136</v>
      </c>
      <c r="AE1048">
        <v>-0.53926882203722504</v>
      </c>
      <c r="AF1048">
        <v>0.36100999725761002</v>
      </c>
      <c r="AG1048">
        <v>0.34932967747321803</v>
      </c>
      <c r="AH1048">
        <v>-1.0750170334620399</v>
      </c>
      <c r="AI1048">
        <v>-4.9722552947324E-2</v>
      </c>
      <c r="AJ1048">
        <v>-0.79139967797830801</v>
      </c>
      <c r="AK1048">
        <v>44.503641999999999</v>
      </c>
      <c r="AL1048">
        <v>1.1863669999999999</v>
      </c>
      <c r="AM1048">
        <v>50.49</v>
      </c>
      <c r="AN1048">
        <v>2.552</v>
      </c>
    </row>
    <row r="1049" spans="1:40" x14ac:dyDescent="0.35">
      <c r="A1049">
        <v>1296</v>
      </c>
      <c r="B1049">
        <v>72</v>
      </c>
      <c r="C1049" t="s">
        <v>40</v>
      </c>
      <c r="D1049" t="s">
        <v>52</v>
      </c>
      <c r="E1049" t="s">
        <v>42</v>
      </c>
      <c r="F1049" t="s">
        <v>43</v>
      </c>
      <c r="G1049">
        <v>4</v>
      </c>
      <c r="H1049">
        <v>16</v>
      </c>
      <c r="I1049">
        <v>6</v>
      </c>
      <c r="J1049" t="s">
        <v>50</v>
      </c>
      <c r="K1049" t="s">
        <v>46</v>
      </c>
      <c r="L1049" t="s">
        <v>60</v>
      </c>
      <c r="M1049">
        <v>767.65898411069588</v>
      </c>
      <c r="N1049">
        <v>975</v>
      </c>
      <c r="O1049">
        <v>500</v>
      </c>
      <c r="P1049">
        <v>484</v>
      </c>
      <c r="Q1049">
        <v>3.8501476017100584</v>
      </c>
      <c r="R1049">
        <v>2.9957322735539909</v>
      </c>
      <c r="S1049">
        <v>5.4424177105217932</v>
      </c>
      <c r="T1049">
        <v>88.975873222691746</v>
      </c>
      <c r="U1049">
        <v>2.5514539469641888</v>
      </c>
      <c r="V1049">
        <v>2.9336799326863701</v>
      </c>
      <c r="W1049">
        <v>3.3730943146768602</v>
      </c>
      <c r="X1049">
        <v>3.6072071704345601</v>
      </c>
      <c r="Y1049">
        <v>-0.19189497559235799</v>
      </c>
      <c r="Z1049">
        <v>0.17569111512999699</v>
      </c>
      <c r="AA1049">
        <v>-0.304970615080496</v>
      </c>
      <c r="AB1049">
        <v>1906.836709612184</v>
      </c>
      <c r="AC1049">
        <v>0.7978420820676605</v>
      </c>
      <c r="AD1049">
        <v>2.1056638128240834</v>
      </c>
      <c r="AE1049">
        <v>-0.25037207080954499</v>
      </c>
      <c r="AF1049">
        <v>-0.96858090006134301</v>
      </c>
      <c r="AG1049">
        <v>-0.69626120957969495</v>
      </c>
      <c r="AH1049">
        <v>0.90015964985290398</v>
      </c>
      <c r="AI1049">
        <v>0.36528697639958402</v>
      </c>
      <c r="AJ1049">
        <v>-0.79997089149759903</v>
      </c>
      <c r="AK1049">
        <v>44.055988999999997</v>
      </c>
      <c r="AL1049">
        <v>4.8317350000000001</v>
      </c>
      <c r="AM1049">
        <v>49.404384615384615</v>
      </c>
      <c r="AN1049">
        <v>-1.5309999999999999</v>
      </c>
    </row>
    <row r="1050" spans="1:40" x14ac:dyDescent="0.35">
      <c r="A1050">
        <v>1297</v>
      </c>
      <c r="B1050">
        <v>57</v>
      </c>
      <c r="C1050" t="s">
        <v>40</v>
      </c>
      <c r="D1050" t="s">
        <v>66</v>
      </c>
      <c r="E1050" t="s">
        <v>68</v>
      </c>
      <c r="F1050" t="s">
        <v>49</v>
      </c>
      <c r="G1050">
        <v>3</v>
      </c>
      <c r="H1050">
        <v>9</v>
      </c>
      <c r="I1050">
        <v>3</v>
      </c>
      <c r="J1050" t="s">
        <v>56</v>
      </c>
      <c r="K1050" t="s">
        <v>46</v>
      </c>
      <c r="L1050" t="s">
        <v>55</v>
      </c>
      <c r="M1050">
        <v>345.8268988977585</v>
      </c>
      <c r="N1050">
        <v>504</v>
      </c>
      <c r="O1050">
        <v>336</v>
      </c>
      <c r="P1050">
        <v>293</v>
      </c>
      <c r="Q1050">
        <v>2.0794415416798357</v>
      </c>
      <c r="R1050">
        <v>2.3025850929940459</v>
      </c>
      <c r="S1050">
        <v>3.2580965380214821</v>
      </c>
      <c r="T1050">
        <v>95.12</v>
      </c>
      <c r="U1050">
        <v>0</v>
      </c>
      <c r="V1050">
        <v>1.89305099905856</v>
      </c>
      <c r="W1050">
        <v>0.59880690621441701</v>
      </c>
      <c r="X1050">
        <v>1.1856460040685599</v>
      </c>
      <c r="Y1050">
        <v>-0.15565097555555901</v>
      </c>
      <c r="Z1050">
        <v>-0.22748295097212001</v>
      </c>
      <c r="AA1050">
        <v>1.0415013010201299</v>
      </c>
      <c r="AB1050">
        <v>2939.9504036908884</v>
      </c>
      <c r="AC1050">
        <v>2</v>
      </c>
      <c r="AD1050">
        <v>0.42868127643214149</v>
      </c>
      <c r="AE1050">
        <v>-2.40641039566141E-2</v>
      </c>
      <c r="AF1050">
        <v>0.29383384518153999</v>
      </c>
      <c r="AG1050">
        <v>-0.49128948275928502</v>
      </c>
      <c r="AH1050">
        <v>0.36436394943659201</v>
      </c>
      <c r="AI1050">
        <v>0.15860101490171399</v>
      </c>
      <c r="AJ1050">
        <v>-0.74525517833537003</v>
      </c>
      <c r="AK1050">
        <v>48.0777517</v>
      </c>
      <c r="AL1050">
        <v>7.3579641000000002</v>
      </c>
      <c r="AM1050">
        <v>50.640682937000001</v>
      </c>
      <c r="AN1050">
        <v>4.6610704270000003</v>
      </c>
    </row>
    <row r="1051" spans="1:40" x14ac:dyDescent="0.35">
      <c r="A1051">
        <v>1299</v>
      </c>
      <c r="B1051">
        <v>57</v>
      </c>
      <c r="C1051" t="s">
        <v>40</v>
      </c>
      <c r="D1051" t="s">
        <v>41</v>
      </c>
      <c r="E1051" t="s">
        <v>42</v>
      </c>
      <c r="F1051" t="s">
        <v>61</v>
      </c>
      <c r="G1051">
        <v>5</v>
      </c>
      <c r="H1051">
        <v>25</v>
      </c>
      <c r="I1051">
        <v>5</v>
      </c>
      <c r="J1051" t="s">
        <v>56</v>
      </c>
      <c r="K1051" t="s">
        <v>46</v>
      </c>
      <c r="L1051" t="s">
        <v>55</v>
      </c>
      <c r="M1051">
        <v>379.40698391777141</v>
      </c>
      <c r="N1051">
        <v>492</v>
      </c>
      <c r="O1051">
        <v>357</v>
      </c>
      <c r="P1051">
        <v>146</v>
      </c>
      <c r="Q1051">
        <v>2.0794415416798357</v>
      </c>
      <c r="R1051">
        <v>2.3025850929940459</v>
      </c>
      <c r="S1051">
        <v>3.2580965380214821</v>
      </c>
      <c r="T1051">
        <v>95.12</v>
      </c>
      <c r="U1051">
        <v>0</v>
      </c>
      <c r="V1051">
        <v>1.89305099905856</v>
      </c>
      <c r="W1051">
        <v>0.59880690621441701</v>
      </c>
      <c r="X1051">
        <v>1.1856460040685599</v>
      </c>
      <c r="Y1051">
        <v>-0.15565097555555901</v>
      </c>
      <c r="Z1051">
        <v>-0.22748295097212001</v>
      </c>
      <c r="AA1051">
        <v>1.0415013010201299</v>
      </c>
      <c r="AB1051">
        <v>2939.9504036908884</v>
      </c>
      <c r="AC1051">
        <v>2</v>
      </c>
      <c r="AD1051">
        <v>0.42868127643214149</v>
      </c>
      <c r="AE1051">
        <v>-2.40641039566141E-2</v>
      </c>
      <c r="AF1051">
        <v>-0.47828948341404598</v>
      </c>
      <c r="AG1051">
        <v>-0.41629987722218198</v>
      </c>
      <c r="AH1051">
        <v>1.18989746657854</v>
      </c>
      <c r="AI1051">
        <v>0.19334223444668999</v>
      </c>
      <c r="AJ1051">
        <v>-5.4428490426511697E-2</v>
      </c>
      <c r="AK1051">
        <v>48.0777517</v>
      </c>
      <c r="AL1051">
        <v>7.3579641000000002</v>
      </c>
      <c r="AM1051">
        <v>48.856372813999997</v>
      </c>
      <c r="AN1051">
        <v>2.3525296170000001</v>
      </c>
    </row>
    <row r="1052" spans="1:40" x14ac:dyDescent="0.35">
      <c r="A1052">
        <v>1300</v>
      </c>
      <c r="B1052">
        <v>57</v>
      </c>
      <c r="C1052" t="s">
        <v>40</v>
      </c>
      <c r="D1052" t="s">
        <v>52</v>
      </c>
      <c r="E1052" t="s">
        <v>82</v>
      </c>
      <c r="F1052" t="s">
        <v>49</v>
      </c>
      <c r="G1052">
        <v>4</v>
      </c>
      <c r="H1052">
        <v>16</v>
      </c>
      <c r="I1052">
        <v>5</v>
      </c>
      <c r="J1052" t="s">
        <v>50</v>
      </c>
      <c r="K1052" t="s">
        <v>46</v>
      </c>
      <c r="L1052" t="s">
        <v>55</v>
      </c>
      <c r="M1052">
        <v>210.56935740718279</v>
      </c>
      <c r="N1052">
        <v>265</v>
      </c>
      <c r="O1052">
        <v>184</v>
      </c>
      <c r="P1052">
        <v>199</v>
      </c>
      <c r="Q1052">
        <v>2.0794415416798357</v>
      </c>
      <c r="R1052">
        <v>2.3025850929940459</v>
      </c>
      <c r="S1052">
        <v>3.2580965380214821</v>
      </c>
      <c r="T1052">
        <v>95.12</v>
      </c>
      <c r="U1052">
        <v>0</v>
      </c>
      <c r="V1052">
        <v>1.89305099905856</v>
      </c>
      <c r="W1052">
        <v>0.59880690621441701</v>
      </c>
      <c r="X1052">
        <v>1.1856460040685599</v>
      </c>
      <c r="Y1052">
        <v>-0.15565097555555901</v>
      </c>
      <c r="Z1052">
        <v>-0.22748295097212001</v>
      </c>
      <c r="AA1052">
        <v>1.0415013010201299</v>
      </c>
      <c r="AB1052">
        <v>2939.9504036908884</v>
      </c>
      <c r="AC1052">
        <v>2</v>
      </c>
      <c r="AD1052">
        <v>0.42868127643214149</v>
      </c>
      <c r="AE1052">
        <v>-2.40641039566141E-2</v>
      </c>
      <c r="AF1052">
        <v>0.35300793677098902</v>
      </c>
      <c r="AG1052">
        <v>1.0095546587447</v>
      </c>
      <c r="AH1052">
        <v>-0.49392480639258302</v>
      </c>
      <c r="AI1052">
        <v>-0.35448102494821498</v>
      </c>
      <c r="AJ1052">
        <v>0.70387319064282705</v>
      </c>
      <c r="AK1052">
        <v>48.0777517</v>
      </c>
      <c r="AL1052">
        <v>7.3579641000000002</v>
      </c>
      <c r="AM1052">
        <v>49.776828428999998</v>
      </c>
      <c r="AN1052">
        <v>6.0923252469999998</v>
      </c>
    </row>
    <row r="1053" spans="1:40" x14ac:dyDescent="0.35">
      <c r="A1053">
        <v>1301</v>
      </c>
      <c r="B1053">
        <v>57</v>
      </c>
      <c r="C1053" t="s">
        <v>40</v>
      </c>
      <c r="D1053" t="s">
        <v>52</v>
      </c>
      <c r="E1053" t="s">
        <v>68</v>
      </c>
      <c r="F1053" t="s">
        <v>49</v>
      </c>
      <c r="G1053">
        <v>6</v>
      </c>
      <c r="H1053">
        <v>36</v>
      </c>
      <c r="I1053">
        <v>6</v>
      </c>
      <c r="J1053" t="s">
        <v>50</v>
      </c>
      <c r="K1053" t="s">
        <v>46</v>
      </c>
      <c r="L1053" t="s">
        <v>60</v>
      </c>
      <c r="M1053">
        <v>733.1172243891192</v>
      </c>
      <c r="N1053">
        <v>927</v>
      </c>
      <c r="O1053">
        <v>563</v>
      </c>
      <c r="P1053">
        <v>468</v>
      </c>
      <c r="Q1053">
        <v>3.8501476017100584</v>
      </c>
      <c r="R1053">
        <v>2.9957322735539909</v>
      </c>
      <c r="S1053">
        <v>5.4424177105217932</v>
      </c>
      <c r="T1053">
        <v>88.975873222691746</v>
      </c>
      <c r="U1053">
        <v>2.5514539469641888</v>
      </c>
      <c r="V1053">
        <v>2.9336799326863701</v>
      </c>
      <c r="W1053">
        <v>3.3730943146768602</v>
      </c>
      <c r="X1053">
        <v>3.6072071704345601</v>
      </c>
      <c r="Y1053">
        <v>-0.19189497559235799</v>
      </c>
      <c r="Z1053">
        <v>0.17569111512999699</v>
      </c>
      <c r="AA1053">
        <v>-0.304970615080496</v>
      </c>
      <c r="AB1053">
        <v>1906.836709612184</v>
      </c>
      <c r="AC1053">
        <v>0.7978420820676605</v>
      </c>
      <c r="AD1053">
        <v>2.1056638128240834</v>
      </c>
      <c r="AE1053">
        <v>-0.25037207080954499</v>
      </c>
      <c r="AF1053">
        <v>-1.12329766480599</v>
      </c>
      <c r="AG1053">
        <v>-0.61889284099869701</v>
      </c>
      <c r="AH1053">
        <v>0.26787894841665</v>
      </c>
      <c r="AI1053">
        <v>-0.67934736559302367</v>
      </c>
      <c r="AJ1053">
        <v>0.69274407524367387</v>
      </c>
      <c r="AK1053">
        <v>44.055988999999997</v>
      </c>
      <c r="AL1053">
        <v>4.8317350000000001</v>
      </c>
      <c r="AM1053">
        <v>50.640682937000001</v>
      </c>
      <c r="AN1053">
        <v>4.6610704270000003</v>
      </c>
    </row>
    <row r="1054" spans="1:40" x14ac:dyDescent="0.35">
      <c r="A1054">
        <v>1302</v>
      </c>
      <c r="B1054">
        <v>72</v>
      </c>
      <c r="C1054" t="s">
        <v>40</v>
      </c>
      <c r="D1054" t="s">
        <v>52</v>
      </c>
      <c r="E1054" t="s">
        <v>42</v>
      </c>
      <c r="F1054" t="s">
        <v>49</v>
      </c>
      <c r="G1054">
        <v>6</v>
      </c>
      <c r="H1054">
        <v>36</v>
      </c>
      <c r="I1054">
        <v>7</v>
      </c>
      <c r="J1054" t="s">
        <v>56</v>
      </c>
      <c r="K1054" t="s">
        <v>46</v>
      </c>
      <c r="L1054" t="s">
        <v>55</v>
      </c>
      <c r="M1054">
        <v>379.40698391777141</v>
      </c>
      <c r="N1054">
        <v>492</v>
      </c>
      <c r="O1054">
        <v>357</v>
      </c>
      <c r="P1054">
        <v>146</v>
      </c>
      <c r="Q1054">
        <v>2.0794415416798357</v>
      </c>
      <c r="R1054">
        <v>2.3025850929940459</v>
      </c>
      <c r="S1054">
        <v>3.2580965380214821</v>
      </c>
      <c r="T1054">
        <v>95.12</v>
      </c>
      <c r="U1054">
        <v>0</v>
      </c>
      <c r="V1054">
        <v>1.89305099905856</v>
      </c>
      <c r="W1054">
        <v>0.59880690621441701</v>
      </c>
      <c r="X1054">
        <v>1.1856460040685599</v>
      </c>
      <c r="Y1054">
        <v>-0.15565097555555901</v>
      </c>
      <c r="Z1054">
        <v>-0.22748295097212001</v>
      </c>
      <c r="AA1054">
        <v>1.0415013010201299</v>
      </c>
      <c r="AB1054">
        <v>2939.9504036908884</v>
      </c>
      <c r="AC1054">
        <v>2</v>
      </c>
      <c r="AD1054">
        <v>0.42868127643214149</v>
      </c>
      <c r="AE1054">
        <v>-2.40641039566141E-2</v>
      </c>
      <c r="AF1054">
        <v>-0.18997862547789501</v>
      </c>
      <c r="AG1054">
        <v>0.75252623270573304</v>
      </c>
      <c r="AH1054">
        <v>1.00568805685435</v>
      </c>
      <c r="AI1054">
        <v>0.69649363003631504</v>
      </c>
      <c r="AJ1054">
        <v>0.62755542121655095</v>
      </c>
      <c r="AK1054">
        <v>48.0777517</v>
      </c>
      <c r="AL1054">
        <v>7.3579641000000002</v>
      </c>
      <c r="AM1054">
        <v>48.856372813999997</v>
      </c>
      <c r="AN1054">
        <v>2.3525296170000001</v>
      </c>
    </row>
    <row r="1055" spans="1:40" x14ac:dyDescent="0.35">
      <c r="A1055">
        <v>1303</v>
      </c>
      <c r="B1055">
        <v>57</v>
      </c>
      <c r="C1055" t="s">
        <v>40</v>
      </c>
      <c r="D1055" t="s">
        <v>52</v>
      </c>
      <c r="E1055" t="s">
        <v>42</v>
      </c>
      <c r="F1055" t="s">
        <v>43</v>
      </c>
      <c r="G1055">
        <v>5</v>
      </c>
      <c r="H1055">
        <v>25</v>
      </c>
      <c r="I1055">
        <v>7</v>
      </c>
      <c r="J1055" t="s">
        <v>50</v>
      </c>
      <c r="K1055" t="s">
        <v>46</v>
      </c>
      <c r="L1055" t="s">
        <v>59</v>
      </c>
      <c r="M1055">
        <v>358.19272568170351</v>
      </c>
      <c r="N1055">
        <v>505</v>
      </c>
      <c r="O1055">
        <v>310</v>
      </c>
      <c r="P1055">
        <v>281</v>
      </c>
      <c r="Q1055">
        <v>1.3862943611198906</v>
      </c>
      <c r="R1055">
        <v>1.3862943611198906</v>
      </c>
      <c r="S1055">
        <v>4.9972122737641147</v>
      </c>
      <c r="T1055">
        <v>90.035146103896111</v>
      </c>
      <c r="U1055">
        <v>1.418823059726001</v>
      </c>
      <c r="V1055">
        <v>-0.52223564926899602</v>
      </c>
      <c r="W1055">
        <v>-0.46072710968150399</v>
      </c>
      <c r="X1055">
        <v>-0.361786268345754</v>
      </c>
      <c r="Y1055">
        <v>-0.552694479448822</v>
      </c>
      <c r="Z1055">
        <v>2.1676297177028899E-2</v>
      </c>
      <c r="AA1055">
        <v>0.625223797005378</v>
      </c>
      <c r="AB1055">
        <v>2234.6992515788952</v>
      </c>
      <c r="AC1055">
        <v>0</v>
      </c>
      <c r="AD1055">
        <v>0.12112735591028891</v>
      </c>
      <c r="AE1055">
        <v>-0.60610368582010199</v>
      </c>
      <c r="AF1055">
        <v>1.0795016456831099</v>
      </c>
      <c r="AG1055">
        <v>1.53219320933405E-2</v>
      </c>
      <c r="AH1055">
        <v>0.55064619040703799</v>
      </c>
      <c r="AI1055">
        <v>-0.27629635646622203</v>
      </c>
      <c r="AJ1055">
        <v>1.0052049608473099</v>
      </c>
      <c r="AK1055">
        <v>47.411035099999999</v>
      </c>
      <c r="AL1055">
        <v>0.98369799999999996</v>
      </c>
      <c r="AM1055">
        <v>44.203000000000003</v>
      </c>
      <c r="AN1055">
        <v>0.626</v>
      </c>
    </row>
    <row r="1056" spans="1:40" x14ac:dyDescent="0.35">
      <c r="A1056">
        <v>1306</v>
      </c>
      <c r="B1056">
        <v>57</v>
      </c>
      <c r="C1056" t="s">
        <v>40</v>
      </c>
      <c r="D1056" t="s">
        <v>52</v>
      </c>
      <c r="E1056" t="s">
        <v>42</v>
      </c>
      <c r="F1056" t="s">
        <v>49</v>
      </c>
      <c r="G1056">
        <v>5</v>
      </c>
      <c r="H1056">
        <v>25</v>
      </c>
      <c r="I1056">
        <v>5</v>
      </c>
      <c r="J1056" t="s">
        <v>56</v>
      </c>
      <c r="K1056" t="s">
        <v>46</v>
      </c>
      <c r="L1056" t="s">
        <v>79</v>
      </c>
      <c r="M1056">
        <v>686.77685841622576</v>
      </c>
      <c r="N1056">
        <v>846</v>
      </c>
      <c r="O1056">
        <v>507</v>
      </c>
      <c r="P1056">
        <v>301</v>
      </c>
      <c r="Q1056">
        <v>0</v>
      </c>
      <c r="R1056">
        <v>1.0986122886681098</v>
      </c>
      <c r="S1056">
        <v>4.4659081186545837</v>
      </c>
      <c r="T1056">
        <v>90.88000000000001</v>
      </c>
      <c r="U1056">
        <v>0.63076672920079646</v>
      </c>
      <c r="V1056">
        <v>-0.66459185691613598</v>
      </c>
      <c r="W1056">
        <v>-0.11297510960708999</v>
      </c>
      <c r="X1056">
        <v>-0.19037106594949799</v>
      </c>
      <c r="Y1056">
        <v>-0.374020329094302</v>
      </c>
      <c r="Z1056">
        <v>-0.78642831806525804</v>
      </c>
      <c r="AA1056">
        <v>-1.3830773108541501</v>
      </c>
      <c r="AB1056">
        <v>1910</v>
      </c>
      <c r="AC1056">
        <v>4</v>
      </c>
      <c r="AD1056">
        <v>0</v>
      </c>
      <c r="AE1056">
        <v>3.4620335695619099E-2</v>
      </c>
      <c r="AF1056">
        <v>-1.1372111247082499</v>
      </c>
      <c r="AG1056">
        <v>1.27751440414766</v>
      </c>
      <c r="AH1056">
        <v>-0.38361499564885798</v>
      </c>
      <c r="AI1056">
        <v>0.91157180997280896</v>
      </c>
      <c r="AJ1056">
        <v>-1.0089747335442101</v>
      </c>
      <c r="AK1056">
        <v>42.698529999999998</v>
      </c>
      <c r="AL1056">
        <v>2.8953120000000001</v>
      </c>
      <c r="AM1056">
        <v>48.856372813999997</v>
      </c>
      <c r="AN1056">
        <v>2.3525296170000001</v>
      </c>
    </row>
    <row r="1057" spans="1:40" x14ac:dyDescent="0.35">
      <c r="A1057">
        <v>1307</v>
      </c>
      <c r="B1057">
        <v>57</v>
      </c>
      <c r="C1057" t="s">
        <v>40</v>
      </c>
      <c r="D1057" t="s">
        <v>41</v>
      </c>
      <c r="E1057" t="s">
        <v>42</v>
      </c>
      <c r="F1057" t="s">
        <v>53</v>
      </c>
      <c r="G1057">
        <v>6</v>
      </c>
      <c r="H1057">
        <v>36</v>
      </c>
      <c r="I1057">
        <v>5</v>
      </c>
      <c r="J1057" t="s">
        <v>56</v>
      </c>
      <c r="K1057" t="s">
        <v>46</v>
      </c>
      <c r="L1057" t="s">
        <v>47</v>
      </c>
      <c r="M1057">
        <v>621.61890840975252</v>
      </c>
      <c r="N1057">
        <v>762</v>
      </c>
      <c r="O1057">
        <v>464</v>
      </c>
      <c r="P1057">
        <v>305</v>
      </c>
      <c r="Q1057">
        <v>5.9107966440405271</v>
      </c>
      <c r="R1057">
        <v>6.4997870406558542</v>
      </c>
      <c r="S1057">
        <v>8.6415324656718457</v>
      </c>
      <c r="T1057">
        <v>89.265350482850479</v>
      </c>
      <c r="U1057">
        <v>1.4417786561042019</v>
      </c>
      <c r="V1057">
        <v>-0.22886708829074301</v>
      </c>
      <c r="W1057">
        <v>0.28745285629339301</v>
      </c>
      <c r="X1057">
        <v>-0.15627425222847</v>
      </c>
      <c r="Y1057">
        <v>1.45226138127617</v>
      </c>
      <c r="Z1057">
        <v>0.98247225355557</v>
      </c>
      <c r="AA1057">
        <v>0.627775520474398</v>
      </c>
      <c r="AB1057">
        <v>3362.2959371744532</v>
      </c>
      <c r="AC1057">
        <v>2.8998317172850387</v>
      </c>
      <c r="AD1057">
        <v>2.9499158586425196</v>
      </c>
      <c r="AE1057">
        <v>1.06273170356322</v>
      </c>
      <c r="AF1057">
        <v>0.95810630854380097</v>
      </c>
      <c r="AG1057">
        <v>1.24618948451044</v>
      </c>
      <c r="AH1057">
        <v>0.17845498822256001</v>
      </c>
      <c r="AI1057">
        <v>1.15358797549144</v>
      </c>
      <c r="AJ1057">
        <v>0.148853726579141</v>
      </c>
      <c r="AK1057">
        <v>43.3535629403058</v>
      </c>
      <c r="AL1057">
        <v>3.21615314793977</v>
      </c>
      <c r="AM1057">
        <v>48.898000000000003</v>
      </c>
      <c r="AN1057">
        <v>2.2559999999999998</v>
      </c>
    </row>
    <row r="1058" spans="1:40" x14ac:dyDescent="0.35">
      <c r="A1058">
        <v>1308</v>
      </c>
      <c r="B1058">
        <v>72</v>
      </c>
      <c r="C1058" t="s">
        <v>40</v>
      </c>
      <c r="D1058" t="s">
        <v>41</v>
      </c>
      <c r="E1058" t="s">
        <v>42</v>
      </c>
      <c r="F1058" t="s">
        <v>5</v>
      </c>
      <c r="G1058">
        <v>4</v>
      </c>
      <c r="H1058">
        <v>16</v>
      </c>
      <c r="I1058">
        <v>7</v>
      </c>
      <c r="J1058" t="s">
        <v>45</v>
      </c>
      <c r="K1058" t="s">
        <v>46</v>
      </c>
      <c r="L1058" t="s">
        <v>60</v>
      </c>
      <c r="M1058">
        <v>567.10864805143422</v>
      </c>
      <c r="N1058">
        <v>688</v>
      </c>
      <c r="O1058">
        <v>466</v>
      </c>
      <c r="P1058">
        <v>270</v>
      </c>
      <c r="Q1058">
        <v>3.8501476017100584</v>
      </c>
      <c r="R1058">
        <v>2.9957322735539909</v>
      </c>
      <c r="S1058">
        <v>5.4424177105217932</v>
      </c>
      <c r="T1058">
        <v>88.975873222691746</v>
      </c>
      <c r="U1058">
        <v>2.5514539469641888</v>
      </c>
      <c r="V1058">
        <v>2.9336799326863701</v>
      </c>
      <c r="W1058">
        <v>3.3730943146768602</v>
      </c>
      <c r="X1058">
        <v>3.6072071704345601</v>
      </c>
      <c r="Y1058">
        <v>-0.19189497559235799</v>
      </c>
      <c r="Z1058">
        <v>0.17569111512999699</v>
      </c>
      <c r="AA1058">
        <v>-0.304970615080496</v>
      </c>
      <c r="AB1058">
        <v>1906.836709612184</v>
      </c>
      <c r="AC1058">
        <v>0.7978420820676605</v>
      </c>
      <c r="AD1058">
        <v>2.1056638128240834</v>
      </c>
      <c r="AE1058">
        <v>-0.25037207080954499</v>
      </c>
      <c r="AF1058">
        <v>-1.8291537822372499</v>
      </c>
      <c r="AG1058">
        <v>-0.92660617489018005</v>
      </c>
      <c r="AH1058">
        <v>0.34206991421530097</v>
      </c>
      <c r="AI1058">
        <v>-2.7015316245188101</v>
      </c>
      <c r="AJ1058">
        <v>-0.93091802902532905</v>
      </c>
      <c r="AK1058">
        <v>44.055988999999997</v>
      </c>
      <c r="AL1058">
        <v>4.8317350000000001</v>
      </c>
      <c r="AM1058">
        <v>48.856372813999997</v>
      </c>
      <c r="AN1058">
        <v>2.3525296170000001</v>
      </c>
    </row>
    <row r="1059" spans="1:40" x14ac:dyDescent="0.35">
      <c r="A1059">
        <v>1309</v>
      </c>
      <c r="B1059">
        <v>72</v>
      </c>
      <c r="C1059" t="s">
        <v>40</v>
      </c>
      <c r="D1059" t="s">
        <v>52</v>
      </c>
      <c r="E1059" t="s">
        <v>42</v>
      </c>
      <c r="F1059" t="s">
        <v>49</v>
      </c>
      <c r="G1059">
        <v>4</v>
      </c>
      <c r="H1059">
        <v>16</v>
      </c>
      <c r="I1059">
        <v>3</v>
      </c>
      <c r="J1059" t="s">
        <v>56</v>
      </c>
      <c r="K1059" t="s">
        <v>46</v>
      </c>
      <c r="L1059" t="s">
        <v>81</v>
      </c>
      <c r="M1059">
        <v>4.8081747472319112</v>
      </c>
      <c r="N1059">
        <v>558</v>
      </c>
      <c r="O1059">
        <v>358</v>
      </c>
      <c r="P1059">
        <v>227</v>
      </c>
      <c r="Q1059">
        <v>0</v>
      </c>
      <c r="R1059">
        <v>0</v>
      </c>
      <c r="S1059">
        <v>4.0430512678345503</v>
      </c>
      <c r="T1059">
        <v>88.705120018058608</v>
      </c>
      <c r="U1059">
        <v>1.1736806104474848</v>
      </c>
      <c r="V1059">
        <v>-0.47558929701305802</v>
      </c>
      <c r="W1059">
        <v>-0.86536000504125898</v>
      </c>
      <c r="X1059">
        <v>-0.756079468432718</v>
      </c>
      <c r="Y1059">
        <v>-0.29991099617686701</v>
      </c>
      <c r="Z1059">
        <v>-0.41295088194839003</v>
      </c>
      <c r="AA1059">
        <v>-1.4747044340851601</v>
      </c>
      <c r="AB1059">
        <v>2397.9202643171807</v>
      </c>
      <c r="AC1059">
        <v>4.5123348017621154</v>
      </c>
      <c r="AD1059">
        <v>0.89074889867841411</v>
      </c>
      <c r="AE1059">
        <v>2.0319785812814501</v>
      </c>
      <c r="AF1059">
        <v>-1.37063603079593</v>
      </c>
      <c r="AG1059">
        <v>-2.1076270139478899</v>
      </c>
      <c r="AH1059">
        <v>-1.9477964035868503E-2</v>
      </c>
      <c r="AI1059">
        <v>-0.44474193463765999</v>
      </c>
      <c r="AJ1059">
        <v>-3.4282071775152199</v>
      </c>
      <c r="AK1059">
        <v>48.862724999999998</v>
      </c>
      <c r="AL1059">
        <v>2.2875920000000001</v>
      </c>
      <c r="AM1059">
        <v>48.856372813999997</v>
      </c>
      <c r="AN1059">
        <v>2.3525296170000001</v>
      </c>
    </row>
    <row r="1060" spans="1:40" x14ac:dyDescent="0.35">
      <c r="A1060">
        <v>1310</v>
      </c>
      <c r="B1060">
        <v>72</v>
      </c>
      <c r="C1060" t="s">
        <v>40</v>
      </c>
      <c r="D1060" t="s">
        <v>52</v>
      </c>
      <c r="E1060" t="s">
        <v>42</v>
      </c>
      <c r="F1060" t="s">
        <v>49</v>
      </c>
      <c r="G1060">
        <v>5</v>
      </c>
      <c r="H1060">
        <v>25</v>
      </c>
      <c r="I1060">
        <v>7</v>
      </c>
      <c r="J1060" t="s">
        <v>56</v>
      </c>
      <c r="K1060" t="s">
        <v>46</v>
      </c>
      <c r="L1060" t="s">
        <v>57</v>
      </c>
      <c r="M1060">
        <v>142.55867691680231</v>
      </c>
      <c r="N1060">
        <v>149</v>
      </c>
      <c r="O1060">
        <v>103</v>
      </c>
      <c r="P1060">
        <v>144</v>
      </c>
      <c r="Q1060">
        <v>0.69314718055994529</v>
      </c>
      <c r="R1060">
        <v>3.6109179126442243</v>
      </c>
      <c r="S1060">
        <v>5.8833223884882786</v>
      </c>
      <c r="T1060">
        <v>90.922105263157903</v>
      </c>
      <c r="U1060">
        <v>2.3923758041545438</v>
      </c>
      <c r="V1060">
        <v>-0.399596989308249</v>
      </c>
      <c r="W1060">
        <v>-0.58810405700346202</v>
      </c>
      <c r="X1060">
        <v>-0.29041857108635599</v>
      </c>
      <c r="Y1060">
        <v>-0.846122564821426</v>
      </c>
      <c r="Z1060">
        <v>-0.92679578564836795</v>
      </c>
      <c r="AA1060">
        <v>0.86332342905974202</v>
      </c>
      <c r="AB1060">
        <v>2050</v>
      </c>
      <c r="AC1060">
        <v>1</v>
      </c>
      <c r="AD1060">
        <v>2</v>
      </c>
      <c r="AE1060">
        <v>-0.51011828243844404</v>
      </c>
      <c r="AF1060">
        <v>1.01985294489783</v>
      </c>
      <c r="AG1060">
        <v>0.97749104511589702</v>
      </c>
      <c r="AH1060">
        <v>0.93223047275487803</v>
      </c>
      <c r="AI1060">
        <v>0.87332571554855898</v>
      </c>
      <c r="AJ1060">
        <v>0.87701100860715997</v>
      </c>
      <c r="AK1060">
        <v>47.023905999999997</v>
      </c>
      <c r="AL1060">
        <v>4.8380429999999999</v>
      </c>
      <c r="AM1060">
        <v>48.252969696969686</v>
      </c>
      <c r="AN1060">
        <v>5.3719696969696971</v>
      </c>
    </row>
    <row r="1061" spans="1:40" x14ac:dyDescent="0.35">
      <c r="A1061">
        <v>1311</v>
      </c>
      <c r="B1061">
        <v>57</v>
      </c>
      <c r="C1061" t="s">
        <v>48</v>
      </c>
      <c r="D1061" t="s">
        <v>66</v>
      </c>
      <c r="E1061" t="s">
        <v>42</v>
      </c>
      <c r="F1061" t="s">
        <v>49</v>
      </c>
      <c r="G1061">
        <v>4</v>
      </c>
      <c r="H1061">
        <v>16</v>
      </c>
      <c r="I1061">
        <v>6</v>
      </c>
      <c r="J1061" t="s">
        <v>45</v>
      </c>
      <c r="K1061" t="s">
        <v>46</v>
      </c>
      <c r="L1061" t="s">
        <v>64</v>
      </c>
      <c r="M1061">
        <v>15.07517411413294</v>
      </c>
      <c r="N1061">
        <v>26</v>
      </c>
      <c r="O1061">
        <v>35</v>
      </c>
      <c r="P1061">
        <v>35</v>
      </c>
      <c r="Q1061">
        <v>0</v>
      </c>
      <c r="R1061">
        <v>0</v>
      </c>
      <c r="S1061">
        <v>0.69314718055994529</v>
      </c>
      <c r="T1061">
        <v>87.72</v>
      </c>
      <c r="U1061">
        <v>0</v>
      </c>
      <c r="V1061">
        <v>-0.94178676980908105</v>
      </c>
      <c r="W1061">
        <v>-0.82471669977796602</v>
      </c>
      <c r="X1061">
        <v>-0.81853882670599298</v>
      </c>
      <c r="Y1061">
        <v>1.4483117406157899</v>
      </c>
      <c r="Z1061">
        <v>1.7680602694732599</v>
      </c>
      <c r="AA1061">
        <v>0.26366440732357699</v>
      </c>
      <c r="AB1061">
        <v>4236</v>
      </c>
      <c r="AC1061">
        <v>0</v>
      </c>
      <c r="AD1061">
        <v>4</v>
      </c>
      <c r="AE1061">
        <v>1.6751267091712101</v>
      </c>
      <c r="AF1061">
        <v>-0.48365425404029</v>
      </c>
      <c r="AG1061">
        <v>-0.62745130187493503</v>
      </c>
      <c r="AH1061">
        <v>1.2009561634949899</v>
      </c>
      <c r="AI1061">
        <v>0.91077046697280495</v>
      </c>
      <c r="AJ1061">
        <v>-1.53378982047808</v>
      </c>
      <c r="AK1061">
        <v>44.776569000000002</v>
      </c>
      <c r="AL1061">
        <v>-0.34912399999999999</v>
      </c>
      <c r="AM1061">
        <v>44.907000000000004</v>
      </c>
      <c r="AN1061">
        <v>-0.40049999999999997</v>
      </c>
    </row>
    <row r="1062" spans="1:40" x14ac:dyDescent="0.35">
      <c r="A1062">
        <v>1312</v>
      </c>
      <c r="B1062">
        <v>72</v>
      </c>
      <c r="C1062" t="s">
        <v>40</v>
      </c>
      <c r="D1062" t="s">
        <v>52</v>
      </c>
      <c r="E1062" t="s">
        <v>42</v>
      </c>
      <c r="F1062" t="s">
        <v>49</v>
      </c>
      <c r="G1062">
        <v>5</v>
      </c>
      <c r="H1062">
        <v>25</v>
      </c>
      <c r="I1062">
        <v>5</v>
      </c>
      <c r="J1062" t="s">
        <v>50</v>
      </c>
      <c r="K1062" t="s">
        <v>46</v>
      </c>
      <c r="L1062" t="s">
        <v>70</v>
      </c>
      <c r="M1062">
        <v>369.92439047832738</v>
      </c>
      <c r="N1062">
        <v>445</v>
      </c>
      <c r="O1062">
        <v>230</v>
      </c>
      <c r="P1062">
        <v>537</v>
      </c>
      <c r="Q1062">
        <v>0</v>
      </c>
      <c r="R1062">
        <v>0</v>
      </c>
      <c r="S1062">
        <v>5.3230099791384085</v>
      </c>
      <c r="T1062">
        <v>90.615999999999985</v>
      </c>
      <c r="U1062">
        <v>1.11573792223403</v>
      </c>
      <c r="V1062">
        <v>0.80288722813325297</v>
      </c>
      <c r="W1062">
        <v>0.52082154240315903</v>
      </c>
      <c r="X1062">
        <v>0.61908815691345198</v>
      </c>
      <c r="Y1062">
        <v>1.5007680231051199</v>
      </c>
      <c r="Z1062">
        <v>0.24292628533916899</v>
      </c>
      <c r="AA1062">
        <v>8.5217386942517098E-2</v>
      </c>
      <c r="AB1062">
        <v>3943</v>
      </c>
      <c r="AC1062">
        <v>0</v>
      </c>
      <c r="AD1062">
        <v>1</v>
      </c>
      <c r="AE1062">
        <v>1.1088815174583</v>
      </c>
      <c r="AF1062">
        <v>0.210495117775578</v>
      </c>
      <c r="AG1062">
        <v>2.7934923589420801E-2</v>
      </c>
      <c r="AH1062">
        <v>-0.168845496986888</v>
      </c>
      <c r="AI1062">
        <v>-0.55106033151490297</v>
      </c>
      <c r="AJ1062">
        <v>-0.93343776233492703</v>
      </c>
      <c r="AK1062">
        <v>46.098678999999997</v>
      </c>
      <c r="AL1062">
        <v>4.7359530000000003</v>
      </c>
      <c r="AM1062">
        <v>44.779166666666669</v>
      </c>
      <c r="AN1062">
        <v>0.38841666666666663</v>
      </c>
    </row>
    <row r="1063" spans="1:40" x14ac:dyDescent="0.35">
      <c r="A1063">
        <v>1313</v>
      </c>
      <c r="B1063">
        <v>57</v>
      </c>
      <c r="C1063" t="s">
        <v>40</v>
      </c>
      <c r="D1063" t="s">
        <v>66</v>
      </c>
      <c r="E1063" t="s">
        <v>42</v>
      </c>
      <c r="F1063" t="s">
        <v>49</v>
      </c>
      <c r="G1063">
        <v>4</v>
      </c>
      <c r="H1063">
        <v>16</v>
      </c>
      <c r="I1063">
        <v>5</v>
      </c>
      <c r="J1063" t="s">
        <v>50</v>
      </c>
      <c r="K1063" t="s">
        <v>46</v>
      </c>
      <c r="L1063" t="s">
        <v>73</v>
      </c>
      <c r="M1063">
        <v>112.4754699871569</v>
      </c>
      <c r="N1063">
        <v>149</v>
      </c>
      <c r="O1063">
        <v>101</v>
      </c>
      <c r="P1063">
        <v>118</v>
      </c>
      <c r="Q1063">
        <v>1.9459101490553132</v>
      </c>
      <c r="R1063">
        <v>2.9444389791664403</v>
      </c>
      <c r="S1063">
        <v>4.2626798770413155</v>
      </c>
      <c r="T1063">
        <v>91.872500000000002</v>
      </c>
      <c r="U1063">
        <v>2.0033201607997366</v>
      </c>
      <c r="V1063">
        <v>7.5580716531248995E-2</v>
      </c>
      <c r="W1063">
        <v>0.203376316306385</v>
      </c>
      <c r="X1063">
        <v>0.143329752535333</v>
      </c>
      <c r="Y1063">
        <v>1.4483117406157899</v>
      </c>
      <c r="Z1063">
        <v>1.7680602694732599</v>
      </c>
      <c r="AA1063">
        <v>0.26366440732357699</v>
      </c>
      <c r="AB1063">
        <v>4236</v>
      </c>
      <c r="AC1063">
        <v>0</v>
      </c>
      <c r="AD1063">
        <v>4</v>
      </c>
      <c r="AE1063">
        <v>1.6751267091712101</v>
      </c>
      <c r="AF1063">
        <v>0.879478224374455</v>
      </c>
      <c r="AG1063">
        <v>0.231412653664549</v>
      </c>
      <c r="AH1063">
        <v>-1.2230206292402599</v>
      </c>
      <c r="AI1063">
        <v>-0.45323509988725802</v>
      </c>
      <c r="AJ1063">
        <v>-1.4283225582884</v>
      </c>
      <c r="AK1063">
        <v>44.686388999999998</v>
      </c>
      <c r="AL1063">
        <v>-0.52383800000000003</v>
      </c>
      <c r="AM1063">
        <v>45.192</v>
      </c>
      <c r="AN1063">
        <v>0.71199999999999997</v>
      </c>
    </row>
    <row r="1064" spans="1:40" x14ac:dyDescent="0.35">
      <c r="A1064">
        <v>1314</v>
      </c>
      <c r="B1064">
        <v>57</v>
      </c>
      <c r="C1064" t="s">
        <v>40</v>
      </c>
      <c r="D1064" t="s">
        <v>41</v>
      </c>
      <c r="E1064" t="s">
        <v>42</v>
      </c>
      <c r="F1064" t="s">
        <v>49</v>
      </c>
      <c r="G1064">
        <v>5</v>
      </c>
      <c r="H1064">
        <v>25</v>
      </c>
      <c r="I1064">
        <v>5</v>
      </c>
      <c r="J1064" t="s">
        <v>56</v>
      </c>
      <c r="K1064" t="s">
        <v>46</v>
      </c>
      <c r="L1064" t="s">
        <v>55</v>
      </c>
      <c r="M1064">
        <v>421.64803114863798</v>
      </c>
      <c r="N1064">
        <v>549</v>
      </c>
      <c r="O1064">
        <v>337</v>
      </c>
      <c r="P1064">
        <v>383</v>
      </c>
      <c r="Q1064">
        <v>2.0794415416798357</v>
      </c>
      <c r="R1064">
        <v>2.3025850929940459</v>
      </c>
      <c r="S1064">
        <v>3.2580965380214821</v>
      </c>
      <c r="T1064">
        <v>95.12</v>
      </c>
      <c r="U1064">
        <v>0</v>
      </c>
      <c r="V1064">
        <v>1.89305099905856</v>
      </c>
      <c r="W1064">
        <v>0.59880690621441701</v>
      </c>
      <c r="X1064">
        <v>1.1856460040685599</v>
      </c>
      <c r="Y1064">
        <v>-0.15565097555555901</v>
      </c>
      <c r="Z1064">
        <v>-0.22748295097212001</v>
      </c>
      <c r="AA1064">
        <v>1.0415013010201299</v>
      </c>
      <c r="AB1064">
        <v>2939.9504036908884</v>
      </c>
      <c r="AC1064">
        <v>2</v>
      </c>
      <c r="AD1064">
        <v>0.42868127643214149</v>
      </c>
      <c r="AE1064">
        <v>-2.40641039566141E-2</v>
      </c>
      <c r="AF1064">
        <v>0.37102876495050102</v>
      </c>
      <c r="AG1064">
        <v>-3.8272540768129601E-3</v>
      </c>
      <c r="AH1064">
        <v>0.29848541414548402</v>
      </c>
      <c r="AI1064">
        <v>-0.45086877756515298</v>
      </c>
      <c r="AJ1064">
        <v>1.06753032520186</v>
      </c>
      <c r="AK1064">
        <v>48.0777517</v>
      </c>
      <c r="AL1064">
        <v>7.3579641000000002</v>
      </c>
      <c r="AM1064">
        <v>45.66</v>
      </c>
      <c r="AN1064">
        <v>3.0912499999999996</v>
      </c>
    </row>
    <row r="1065" spans="1:40" x14ac:dyDescent="0.35">
      <c r="A1065">
        <v>1315</v>
      </c>
      <c r="B1065">
        <v>72</v>
      </c>
      <c r="C1065" t="s">
        <v>40</v>
      </c>
      <c r="D1065" t="s">
        <v>52</v>
      </c>
      <c r="E1065" t="s">
        <v>42</v>
      </c>
      <c r="F1065" t="s">
        <v>49</v>
      </c>
      <c r="G1065">
        <v>4</v>
      </c>
      <c r="H1065">
        <v>16</v>
      </c>
      <c r="I1065">
        <v>6</v>
      </c>
      <c r="J1065" t="s">
        <v>56</v>
      </c>
      <c r="K1065" t="s">
        <v>46</v>
      </c>
      <c r="L1065" t="s">
        <v>51</v>
      </c>
      <c r="M1065">
        <v>157.82131685425651</v>
      </c>
      <c r="N1065">
        <v>184</v>
      </c>
      <c r="O1065">
        <v>154</v>
      </c>
      <c r="P1065">
        <v>161</v>
      </c>
      <c r="Q1065">
        <v>0</v>
      </c>
      <c r="R1065">
        <v>1.3862943611198906</v>
      </c>
      <c r="S1065">
        <v>4.3438054218536841</v>
      </c>
      <c r="T1065">
        <v>91.16</v>
      </c>
      <c r="U1065">
        <v>2.3174698847378039</v>
      </c>
      <c r="V1065">
        <v>-0.58471966768986094</v>
      </c>
      <c r="W1065">
        <v>-0.55557078097057</v>
      </c>
      <c r="X1065">
        <v>-0.47566183223429498</v>
      </c>
      <c r="Y1065">
        <v>-0.95884680312505799</v>
      </c>
      <c r="Z1065">
        <v>-0.76521334103430205</v>
      </c>
      <c r="AA1065">
        <v>-0.77245900699560299</v>
      </c>
      <c r="AB1065">
        <v>1376</v>
      </c>
      <c r="AC1065">
        <v>0</v>
      </c>
      <c r="AD1065">
        <v>2</v>
      </c>
      <c r="AE1065">
        <v>-1.2769936012368599</v>
      </c>
      <c r="AF1065">
        <v>-2.0663871260559401</v>
      </c>
      <c r="AG1065">
        <v>1.3474252927470201</v>
      </c>
      <c r="AH1065">
        <v>-1.14845316625908</v>
      </c>
      <c r="AI1065">
        <v>-0.18261919135127547</v>
      </c>
      <c r="AJ1065">
        <v>-1.1197777316081594</v>
      </c>
      <c r="AK1065">
        <v>47.815207299999997</v>
      </c>
      <c r="AL1065">
        <v>3.8001657</v>
      </c>
      <c r="AM1065">
        <v>48.856372813999997</v>
      </c>
      <c r="AN1065">
        <v>2.3525296170000001</v>
      </c>
    </row>
    <row r="1066" spans="1:40" x14ac:dyDescent="0.35">
      <c r="A1066">
        <v>1316</v>
      </c>
      <c r="B1066">
        <v>72</v>
      </c>
      <c r="C1066" t="s">
        <v>40</v>
      </c>
      <c r="D1066" t="s">
        <v>52</v>
      </c>
      <c r="E1066" t="s">
        <v>42</v>
      </c>
      <c r="F1066" t="s">
        <v>43</v>
      </c>
      <c r="G1066">
        <v>4</v>
      </c>
      <c r="H1066">
        <v>16</v>
      </c>
      <c r="I1066">
        <v>5</v>
      </c>
      <c r="J1066" t="s">
        <v>56</v>
      </c>
      <c r="K1066" t="s">
        <v>46</v>
      </c>
      <c r="L1066" t="s">
        <v>71</v>
      </c>
      <c r="M1066">
        <v>435.50347544417809</v>
      </c>
      <c r="N1066">
        <v>574</v>
      </c>
      <c r="O1066">
        <v>300</v>
      </c>
      <c r="P1066">
        <v>361</v>
      </c>
      <c r="Q1066">
        <v>4.5747109785033828</v>
      </c>
      <c r="R1066">
        <v>3.5263605246161616</v>
      </c>
      <c r="S1066">
        <v>5.1416635565026603</v>
      </c>
      <c r="T1066">
        <v>92.265120976563693</v>
      </c>
      <c r="U1066">
        <v>2.9351954657362995</v>
      </c>
      <c r="V1066">
        <v>-8.3509539921858403E-2</v>
      </c>
      <c r="W1066">
        <v>-8.6188355584626702E-2</v>
      </c>
      <c r="X1066">
        <v>-6.2117403422328299E-2</v>
      </c>
      <c r="Y1066">
        <v>-0.51135009403950604</v>
      </c>
      <c r="Z1066">
        <v>-0.669554030021006</v>
      </c>
      <c r="AA1066">
        <v>-1.4915282051312999</v>
      </c>
      <c r="AB1066">
        <v>1813.5248996931791</v>
      </c>
      <c r="AC1066">
        <v>1.6535284399339156</v>
      </c>
      <c r="AD1066">
        <v>0.49421760679726223</v>
      </c>
      <c r="AE1066">
        <v>-0.18520258641298501</v>
      </c>
      <c r="AF1066">
        <v>-0.53381507681582696</v>
      </c>
      <c r="AG1066">
        <v>1.66509272372633</v>
      </c>
      <c r="AH1066">
        <v>4.32384864855377E-2</v>
      </c>
      <c r="AI1066">
        <v>-0.54851285737534505</v>
      </c>
      <c r="AJ1066">
        <v>0.44706210895433801</v>
      </c>
      <c r="AK1066">
        <v>45.071283999999999</v>
      </c>
      <c r="AL1066">
        <v>4.8370730000000002</v>
      </c>
      <c r="AM1066">
        <v>44.792000000000002</v>
      </c>
      <c r="AN1066">
        <v>-0.67600000000000005</v>
      </c>
    </row>
    <row r="1067" spans="1:40" x14ac:dyDescent="0.35">
      <c r="A1067">
        <v>1317</v>
      </c>
      <c r="B1067">
        <v>42</v>
      </c>
      <c r="C1067" t="s">
        <v>48</v>
      </c>
      <c r="D1067" t="s">
        <v>41</v>
      </c>
      <c r="E1067" t="s">
        <v>42</v>
      </c>
      <c r="F1067" t="s">
        <v>43</v>
      </c>
      <c r="G1067">
        <v>4</v>
      </c>
      <c r="H1067">
        <v>16</v>
      </c>
      <c r="I1067">
        <v>5</v>
      </c>
      <c r="J1067" t="s">
        <v>45</v>
      </c>
      <c r="K1067" t="s">
        <v>46</v>
      </c>
      <c r="L1067" t="s">
        <v>74</v>
      </c>
      <c r="M1067">
        <v>341.50632792300848</v>
      </c>
      <c r="N1067">
        <v>416</v>
      </c>
      <c r="O1067">
        <v>262</v>
      </c>
      <c r="P1067">
        <v>160</v>
      </c>
      <c r="Q1067">
        <v>1.6094379124341003</v>
      </c>
      <c r="R1067">
        <v>2.5649493574615367</v>
      </c>
      <c r="S1067">
        <v>4.8202815656050371</v>
      </c>
      <c r="T1067">
        <v>91.984920634920627</v>
      </c>
      <c r="U1067">
        <v>1.0351430572167302</v>
      </c>
      <c r="V1067">
        <v>-0.45376679124596098</v>
      </c>
      <c r="W1067">
        <v>-0.56138574648679695</v>
      </c>
      <c r="X1067">
        <v>-0.92192590083580195</v>
      </c>
      <c r="Y1067">
        <v>-1.17232967929859</v>
      </c>
      <c r="Z1067">
        <v>-0.98267194414701198</v>
      </c>
      <c r="AA1067">
        <v>-0.89586780259421905</v>
      </c>
      <c r="AB1067">
        <v>1270</v>
      </c>
      <c r="AC1067">
        <v>3</v>
      </c>
      <c r="AD1067">
        <v>1</v>
      </c>
      <c r="AE1067">
        <v>-1.1438350904766701</v>
      </c>
      <c r="AF1067">
        <v>-1.5688390825132801</v>
      </c>
      <c r="AG1067">
        <v>-0.62669369018576204</v>
      </c>
      <c r="AH1067">
        <v>0.79216856184368101</v>
      </c>
      <c r="AI1067">
        <v>0.100139450804581</v>
      </c>
      <c r="AJ1067">
        <v>0.54826615732895101</v>
      </c>
      <c r="AK1067">
        <v>46.672161000000003</v>
      </c>
      <c r="AL1067">
        <v>5.558465</v>
      </c>
      <c r="AM1067">
        <v>48.856372813999997</v>
      </c>
      <c r="AN1067">
        <v>2.3525296170000001</v>
      </c>
    </row>
    <row r="1068" spans="1:40" x14ac:dyDescent="0.35">
      <c r="A1068">
        <v>1318</v>
      </c>
      <c r="B1068">
        <v>72</v>
      </c>
      <c r="C1068" t="s">
        <v>40</v>
      </c>
      <c r="D1068" t="s">
        <v>52</v>
      </c>
      <c r="E1068" t="s">
        <v>68</v>
      </c>
      <c r="F1068" t="s">
        <v>49</v>
      </c>
      <c r="G1068">
        <v>4</v>
      </c>
      <c r="H1068">
        <v>16</v>
      </c>
      <c r="I1068">
        <v>7</v>
      </c>
      <c r="J1068" t="s">
        <v>56</v>
      </c>
      <c r="K1068" t="s">
        <v>46</v>
      </c>
      <c r="L1068" t="s">
        <v>60</v>
      </c>
      <c r="M1068">
        <v>733.1172243891192</v>
      </c>
      <c r="N1068">
        <v>927</v>
      </c>
      <c r="O1068">
        <v>563</v>
      </c>
      <c r="P1068">
        <v>468</v>
      </c>
      <c r="Q1068">
        <v>3.8501476017100584</v>
      </c>
      <c r="R1068">
        <v>2.9957322735539909</v>
      </c>
      <c r="S1068">
        <v>5.4424177105217932</v>
      </c>
      <c r="T1068">
        <v>88.975873222691746</v>
      </c>
      <c r="U1068">
        <v>2.5514539469641888</v>
      </c>
      <c r="V1068">
        <v>2.9336799326863701</v>
      </c>
      <c r="W1068">
        <v>3.3730943146768602</v>
      </c>
      <c r="X1068">
        <v>3.6072071704345601</v>
      </c>
      <c r="Y1068">
        <v>-0.19189497559235799</v>
      </c>
      <c r="Z1068">
        <v>0.17569111512999699</v>
      </c>
      <c r="AA1068">
        <v>-0.304970615080496</v>
      </c>
      <c r="AB1068">
        <v>1906.836709612184</v>
      </c>
      <c r="AC1068">
        <v>0.7978420820676605</v>
      </c>
      <c r="AD1068">
        <v>2.1056638128240834</v>
      </c>
      <c r="AE1068">
        <v>-0.25037207080954499</v>
      </c>
      <c r="AF1068">
        <v>-0.56278681284126697</v>
      </c>
      <c r="AG1068">
        <v>-1.04842631158204</v>
      </c>
      <c r="AH1068">
        <v>-2.81130693521113</v>
      </c>
      <c r="AI1068">
        <v>-2.9226822070034002</v>
      </c>
      <c r="AJ1068">
        <v>-2.6582691875195201</v>
      </c>
      <c r="AK1068">
        <v>44.055988999999997</v>
      </c>
      <c r="AL1068">
        <v>4.8317350000000001</v>
      </c>
      <c r="AM1068">
        <v>50.640682937000001</v>
      </c>
      <c r="AN1068">
        <v>4.6610704270000003</v>
      </c>
    </row>
    <row r="1069" spans="1:40" x14ac:dyDescent="0.35">
      <c r="A1069">
        <v>1319</v>
      </c>
      <c r="B1069">
        <v>72</v>
      </c>
      <c r="C1069" t="s">
        <v>40</v>
      </c>
      <c r="D1069" t="s">
        <v>52</v>
      </c>
      <c r="E1069" t="s">
        <v>42</v>
      </c>
      <c r="F1069" t="s">
        <v>49</v>
      </c>
      <c r="G1069">
        <v>3</v>
      </c>
      <c r="H1069">
        <v>9</v>
      </c>
      <c r="I1069">
        <v>7</v>
      </c>
      <c r="J1069" t="s">
        <v>50</v>
      </c>
      <c r="K1069" t="s">
        <v>46</v>
      </c>
      <c r="L1069" t="s">
        <v>47</v>
      </c>
      <c r="M1069">
        <v>504.05826398347563</v>
      </c>
      <c r="N1069">
        <v>780</v>
      </c>
      <c r="O1069">
        <v>465</v>
      </c>
      <c r="P1069">
        <v>437</v>
      </c>
      <c r="Q1069">
        <v>5.9107966440405271</v>
      </c>
      <c r="R1069">
        <v>6.4997870406558542</v>
      </c>
      <c r="S1069">
        <v>8.6415324656718457</v>
      </c>
      <c r="T1069">
        <v>89.265350482850479</v>
      </c>
      <c r="U1069">
        <v>1.4417786561042019</v>
      </c>
      <c r="V1069">
        <v>-0.22886708829074301</v>
      </c>
      <c r="W1069">
        <v>0.28745285629339301</v>
      </c>
      <c r="X1069">
        <v>-0.15627425222847</v>
      </c>
      <c r="Y1069">
        <v>1.45226138127617</v>
      </c>
      <c r="Z1069">
        <v>0.98247225355557</v>
      </c>
      <c r="AA1069">
        <v>0.627775520474398</v>
      </c>
      <c r="AB1069">
        <v>3362.2959371744532</v>
      </c>
      <c r="AC1069">
        <v>2.8998317172850387</v>
      </c>
      <c r="AD1069">
        <v>2.9499158586425196</v>
      </c>
      <c r="AE1069">
        <v>1.06273170356322</v>
      </c>
      <c r="AF1069">
        <v>0.38289411533923101</v>
      </c>
      <c r="AG1069">
        <v>-0.26600935901865902</v>
      </c>
      <c r="AH1069">
        <v>-2.84295178963778E-2</v>
      </c>
      <c r="AI1069">
        <v>0.28529762769752698</v>
      </c>
      <c r="AJ1069">
        <v>-0.95377334957454996</v>
      </c>
      <c r="AK1069">
        <v>43.3535629403058</v>
      </c>
      <c r="AL1069">
        <v>3.21615314793977</v>
      </c>
      <c r="AM1069">
        <v>47.23962499999999</v>
      </c>
      <c r="AN1069">
        <v>-9.0624999999999997E-2</v>
      </c>
    </row>
    <row r="1070" spans="1:40" x14ac:dyDescent="0.35">
      <c r="A1070">
        <v>1320</v>
      </c>
      <c r="B1070">
        <v>57</v>
      </c>
      <c r="C1070" t="s">
        <v>48</v>
      </c>
      <c r="D1070" t="s">
        <v>41</v>
      </c>
      <c r="E1070" t="s">
        <v>42</v>
      </c>
      <c r="F1070" t="s">
        <v>43</v>
      </c>
      <c r="G1070">
        <v>5</v>
      </c>
      <c r="H1070">
        <v>25</v>
      </c>
      <c r="I1070">
        <v>7</v>
      </c>
      <c r="J1070" t="s">
        <v>56</v>
      </c>
      <c r="K1070" t="s">
        <v>46</v>
      </c>
      <c r="L1070" t="s">
        <v>71</v>
      </c>
      <c r="M1070">
        <v>596.30956449333655</v>
      </c>
      <c r="N1070">
        <v>625</v>
      </c>
      <c r="O1070">
        <v>253</v>
      </c>
      <c r="P1070">
        <v>286</v>
      </c>
      <c r="Q1070">
        <v>4.5747109785033828</v>
      </c>
      <c r="R1070">
        <v>3.5263605246161616</v>
      </c>
      <c r="S1070">
        <v>5.1416635565026603</v>
      </c>
      <c r="T1070">
        <v>92.265120976563693</v>
      </c>
      <c r="U1070">
        <v>2.9351954657362995</v>
      </c>
      <c r="V1070">
        <v>-8.3509539921858403E-2</v>
      </c>
      <c r="W1070">
        <v>-8.6188355584626702E-2</v>
      </c>
      <c r="X1070">
        <v>-6.2117403422328299E-2</v>
      </c>
      <c r="Y1070">
        <v>-0.51135009403950604</v>
      </c>
      <c r="Z1070">
        <v>-0.669554030021006</v>
      </c>
      <c r="AA1070">
        <v>-1.4915282051312999</v>
      </c>
      <c r="AB1070">
        <v>1813.5248996931791</v>
      </c>
      <c r="AC1070">
        <v>1.6535284399339156</v>
      </c>
      <c r="AD1070">
        <v>0.49421760679726223</v>
      </c>
      <c r="AE1070">
        <v>-0.18520258641298501</v>
      </c>
      <c r="AF1070">
        <v>0.64909816699481604</v>
      </c>
      <c r="AG1070">
        <v>0.15000362983159399</v>
      </c>
      <c r="AH1070">
        <v>-0.16483697070683101</v>
      </c>
      <c r="AI1070">
        <v>0.234790914544207</v>
      </c>
      <c r="AJ1070">
        <v>0.13148377678368001</v>
      </c>
      <c r="AK1070">
        <v>45.071283999999999</v>
      </c>
      <c r="AL1070">
        <v>4.8370730000000002</v>
      </c>
      <c r="AM1070">
        <v>48.481124999999999</v>
      </c>
      <c r="AN1070">
        <v>-1.20075</v>
      </c>
    </row>
    <row r="1071" spans="1:40" x14ac:dyDescent="0.35">
      <c r="A1071">
        <v>1321</v>
      </c>
      <c r="B1071">
        <v>72</v>
      </c>
      <c r="C1071" t="s">
        <v>40</v>
      </c>
      <c r="D1071" t="s">
        <v>52</v>
      </c>
      <c r="E1071" t="s">
        <v>42</v>
      </c>
      <c r="F1071" t="s">
        <v>49</v>
      </c>
      <c r="G1071">
        <v>4</v>
      </c>
      <c r="H1071">
        <v>16</v>
      </c>
      <c r="I1071">
        <v>4</v>
      </c>
      <c r="J1071" t="s">
        <v>50</v>
      </c>
      <c r="K1071" t="s">
        <v>46</v>
      </c>
      <c r="L1071" t="s">
        <v>55</v>
      </c>
      <c r="M1071">
        <v>199.86451767854231</v>
      </c>
      <c r="N1071">
        <v>150</v>
      </c>
      <c r="O1071">
        <v>128</v>
      </c>
      <c r="P1071">
        <v>127</v>
      </c>
      <c r="Q1071">
        <v>2.0794415416798357</v>
      </c>
      <c r="R1071">
        <v>2.3025850929940459</v>
      </c>
      <c r="S1071">
        <v>3.2580965380214821</v>
      </c>
      <c r="T1071">
        <v>95.12</v>
      </c>
      <c r="U1071">
        <v>0</v>
      </c>
      <c r="V1071">
        <v>1.89305099905856</v>
      </c>
      <c r="W1071">
        <v>0.59880690621441701</v>
      </c>
      <c r="X1071">
        <v>1.1856460040685599</v>
      </c>
      <c r="Y1071">
        <v>-0.15565097555555901</v>
      </c>
      <c r="Z1071">
        <v>-0.22748295097212001</v>
      </c>
      <c r="AA1071">
        <v>1.0415013010201299</v>
      </c>
      <c r="AB1071">
        <v>2939.9504036908884</v>
      </c>
      <c r="AC1071">
        <v>2</v>
      </c>
      <c r="AD1071">
        <v>0.42868127643214149</v>
      </c>
      <c r="AE1071">
        <v>-2.40641039566141E-2</v>
      </c>
      <c r="AF1071">
        <v>0.54131167233701505</v>
      </c>
      <c r="AG1071">
        <v>0.16510745990338099</v>
      </c>
      <c r="AH1071">
        <v>-1.7498269962696204E-2</v>
      </c>
      <c r="AI1071">
        <v>0.41505524790665699</v>
      </c>
      <c r="AJ1071">
        <v>-0.325695482134712</v>
      </c>
      <c r="AK1071">
        <v>48.0777517</v>
      </c>
      <c r="AL1071">
        <v>7.3579641000000002</v>
      </c>
      <c r="AM1071">
        <v>49.523499999999999</v>
      </c>
      <c r="AN1071">
        <v>5.7415000000000003</v>
      </c>
    </row>
    <row r="1072" spans="1:40" x14ac:dyDescent="0.35">
      <c r="A1072">
        <v>1322</v>
      </c>
      <c r="B1072">
        <v>57</v>
      </c>
      <c r="C1072" t="s">
        <v>40</v>
      </c>
      <c r="D1072" t="s">
        <v>66</v>
      </c>
      <c r="E1072" t="s">
        <v>42</v>
      </c>
      <c r="F1072" t="s">
        <v>61</v>
      </c>
      <c r="G1072">
        <v>5</v>
      </c>
      <c r="H1072">
        <v>25</v>
      </c>
      <c r="I1072">
        <v>5</v>
      </c>
      <c r="J1072" t="s">
        <v>56</v>
      </c>
      <c r="K1072" t="s">
        <v>46</v>
      </c>
      <c r="L1072" t="s">
        <v>70</v>
      </c>
      <c r="M1072">
        <v>4.1910563143585424</v>
      </c>
      <c r="N1072">
        <v>64</v>
      </c>
      <c r="O1072">
        <v>45</v>
      </c>
      <c r="P1072">
        <v>81</v>
      </c>
      <c r="Q1072">
        <v>0</v>
      </c>
      <c r="R1072">
        <v>0</v>
      </c>
      <c r="S1072">
        <v>5.3230099791384085</v>
      </c>
      <c r="T1072">
        <v>90.615999999999985</v>
      </c>
      <c r="U1072">
        <v>1.11573792223403</v>
      </c>
      <c r="V1072">
        <v>0.80288722813325297</v>
      </c>
      <c r="W1072">
        <v>0.52082154240315903</v>
      </c>
      <c r="X1072">
        <v>0.61908815691345198</v>
      </c>
      <c r="Y1072">
        <v>1.5007680231051199</v>
      </c>
      <c r="Z1072">
        <v>0.24292628533916899</v>
      </c>
      <c r="AA1072">
        <v>8.5217386942517098E-2</v>
      </c>
      <c r="AB1072">
        <v>3943</v>
      </c>
      <c r="AC1072">
        <v>0</v>
      </c>
      <c r="AD1072">
        <v>1</v>
      </c>
      <c r="AE1072">
        <v>1.1088815174583</v>
      </c>
      <c r="AF1072">
        <v>0.195887137300958</v>
      </c>
      <c r="AG1072">
        <v>-0.207136721996386</v>
      </c>
      <c r="AH1072">
        <v>-0.35318451345957602</v>
      </c>
      <c r="AI1072">
        <v>-0.73775179308295302</v>
      </c>
      <c r="AJ1072">
        <v>-0.43653904309098002</v>
      </c>
      <c r="AK1072">
        <v>46.098678999999997</v>
      </c>
      <c r="AL1072">
        <v>4.7359530000000003</v>
      </c>
      <c r="AM1072">
        <v>46.090666666666664</v>
      </c>
      <c r="AN1072">
        <v>4.7889999999999997</v>
      </c>
    </row>
    <row r="1073" spans="1:40" x14ac:dyDescent="0.35">
      <c r="A1073">
        <v>1323</v>
      </c>
      <c r="B1073">
        <v>72</v>
      </c>
      <c r="C1073" t="s">
        <v>40</v>
      </c>
      <c r="D1073" t="s">
        <v>52</v>
      </c>
      <c r="E1073" t="s">
        <v>42</v>
      </c>
      <c r="F1073" t="s">
        <v>49</v>
      </c>
      <c r="G1073">
        <v>4</v>
      </c>
      <c r="H1073">
        <v>16</v>
      </c>
      <c r="I1073">
        <v>5</v>
      </c>
      <c r="J1073" t="s">
        <v>56</v>
      </c>
      <c r="K1073" t="s">
        <v>46</v>
      </c>
      <c r="L1073" t="s">
        <v>72</v>
      </c>
      <c r="M1073">
        <v>211.2558556116517</v>
      </c>
      <c r="N1073">
        <v>213</v>
      </c>
      <c r="O1073">
        <v>182</v>
      </c>
      <c r="P1073">
        <v>347</v>
      </c>
      <c r="Q1073">
        <v>0.69314718055994529</v>
      </c>
      <c r="R1073">
        <v>1.3862943611198906</v>
      </c>
      <c r="S1073">
        <v>4.5538768916005408</v>
      </c>
      <c r="T1073">
        <v>89.340161030595823</v>
      </c>
      <c r="U1073">
        <v>1.4712304197281412</v>
      </c>
      <c r="V1073">
        <v>0.59716251398508702</v>
      </c>
      <c r="W1073">
        <v>0.91068296986709796</v>
      </c>
      <c r="X1073">
        <v>1.2273243988355</v>
      </c>
      <c r="Y1073">
        <v>-0.4121809470949</v>
      </c>
      <c r="Z1073">
        <v>-0.86472582726521097</v>
      </c>
      <c r="AA1073">
        <v>-1.0172779374790899</v>
      </c>
      <c r="AB1073">
        <v>1828.1689246701658</v>
      </c>
      <c r="AC1073">
        <v>1.1127464888636687</v>
      </c>
      <c r="AD1073">
        <v>1.8630656830756136</v>
      </c>
      <c r="AE1073">
        <v>-0.53926882203722504</v>
      </c>
      <c r="AF1073">
        <v>-0.64050152958465101</v>
      </c>
      <c r="AG1073">
        <v>1.5916143656017101</v>
      </c>
      <c r="AH1073">
        <v>1.0726688330824601</v>
      </c>
      <c r="AI1073">
        <v>-0.15929962383473101</v>
      </c>
      <c r="AJ1073">
        <v>0.121756822131474</v>
      </c>
      <c r="AK1073">
        <v>44.503641999999999</v>
      </c>
      <c r="AL1073">
        <v>1.1863669999999999</v>
      </c>
      <c r="AM1073">
        <v>43.570599999999999</v>
      </c>
      <c r="AN1073">
        <v>-1.1125333333333332</v>
      </c>
    </row>
    <row r="1074" spans="1:40" x14ac:dyDescent="0.35">
      <c r="A1074">
        <v>1324</v>
      </c>
      <c r="B1074">
        <v>42</v>
      </c>
      <c r="C1074" t="s">
        <v>48</v>
      </c>
      <c r="D1074" t="s">
        <v>41</v>
      </c>
      <c r="E1074" t="s">
        <v>42</v>
      </c>
      <c r="F1074" t="s">
        <v>61</v>
      </c>
      <c r="G1074">
        <v>5</v>
      </c>
      <c r="H1074">
        <v>25</v>
      </c>
      <c r="I1074">
        <v>5</v>
      </c>
      <c r="J1074" t="s">
        <v>56</v>
      </c>
      <c r="K1074" t="s">
        <v>46</v>
      </c>
      <c r="L1074" t="s">
        <v>59</v>
      </c>
      <c r="M1074">
        <v>190.33174110274479</v>
      </c>
      <c r="N1074">
        <v>224</v>
      </c>
      <c r="O1074">
        <v>178</v>
      </c>
      <c r="P1074">
        <v>97</v>
      </c>
      <c r="Q1074">
        <v>1.3862943611198906</v>
      </c>
      <c r="R1074">
        <v>1.3862943611198906</v>
      </c>
      <c r="S1074">
        <v>4.9972122737641147</v>
      </c>
      <c r="T1074">
        <v>90.035146103896111</v>
      </c>
      <c r="U1074">
        <v>1.418823059726001</v>
      </c>
      <c r="V1074">
        <v>-0.52223564926899602</v>
      </c>
      <c r="W1074">
        <v>-0.46072710968150399</v>
      </c>
      <c r="X1074">
        <v>-0.361786268345754</v>
      </c>
      <c r="Y1074">
        <v>-0.552694479448822</v>
      </c>
      <c r="Z1074">
        <v>2.1676297177028899E-2</v>
      </c>
      <c r="AA1074">
        <v>0.625223797005378</v>
      </c>
      <c r="AB1074">
        <v>2234.6992515788952</v>
      </c>
      <c r="AC1074">
        <v>0</v>
      </c>
      <c r="AD1074">
        <v>0.12112735591028891</v>
      </c>
      <c r="AE1074">
        <v>-0.60610368582010199</v>
      </c>
      <c r="AF1074">
        <v>-0.79335231707412901</v>
      </c>
      <c r="AG1074">
        <v>1.1877725261991701</v>
      </c>
      <c r="AH1074">
        <v>1.0207493832417001</v>
      </c>
      <c r="AI1074">
        <v>0.261843537543754</v>
      </c>
      <c r="AJ1074">
        <v>1.43234320089381</v>
      </c>
      <c r="AK1074">
        <v>47.411035099999999</v>
      </c>
      <c r="AL1074">
        <v>0.98369799999999996</v>
      </c>
      <c r="AM1074">
        <v>48.856372813999997</v>
      </c>
      <c r="AN1074">
        <v>2.3525296170000001</v>
      </c>
    </row>
    <row r="1075" spans="1:40" x14ac:dyDescent="0.35">
      <c r="A1075">
        <v>1325</v>
      </c>
      <c r="B1075">
        <v>72</v>
      </c>
      <c r="C1075" t="s">
        <v>40</v>
      </c>
      <c r="D1075" t="s">
        <v>52</v>
      </c>
      <c r="E1075" t="s">
        <v>42</v>
      </c>
      <c r="F1075" t="s">
        <v>49</v>
      </c>
      <c r="G1075">
        <v>5</v>
      </c>
      <c r="H1075">
        <v>25</v>
      </c>
      <c r="I1075">
        <v>4</v>
      </c>
      <c r="J1075" t="s">
        <v>50</v>
      </c>
      <c r="K1075" t="s">
        <v>46</v>
      </c>
      <c r="L1075" t="s">
        <v>69</v>
      </c>
      <c r="M1075">
        <v>451.22453947552708</v>
      </c>
      <c r="N1075">
        <v>561</v>
      </c>
      <c r="O1075">
        <v>290</v>
      </c>
      <c r="P1075">
        <v>303</v>
      </c>
      <c r="Q1075">
        <v>2.3978952727983707</v>
      </c>
      <c r="R1075">
        <v>4.5538768916005408</v>
      </c>
      <c r="S1075">
        <v>5.4847969334906548</v>
      </c>
      <c r="T1075">
        <v>93.296000000000006</v>
      </c>
      <c r="U1075">
        <v>2.2325431437911538</v>
      </c>
      <c r="V1075">
        <v>-0.44922684044461197</v>
      </c>
      <c r="W1075">
        <v>-0.76855194782346203</v>
      </c>
      <c r="X1075">
        <v>-0.44700324392789598</v>
      </c>
      <c r="Y1075">
        <v>-0.846122564821426</v>
      </c>
      <c r="Z1075">
        <v>-0.92679578564836795</v>
      </c>
      <c r="AA1075">
        <v>0.86332342905974202</v>
      </c>
      <c r="AB1075">
        <v>2050</v>
      </c>
      <c r="AC1075">
        <v>1</v>
      </c>
      <c r="AD1075">
        <v>2</v>
      </c>
      <c r="AE1075">
        <v>-0.51011828243844404</v>
      </c>
      <c r="AF1075">
        <v>2.0724268105129</v>
      </c>
      <c r="AG1075">
        <v>-1.57641335064665</v>
      </c>
      <c r="AH1075">
        <v>1.06248619676603</v>
      </c>
      <c r="AI1075">
        <v>1.162708909901</v>
      </c>
      <c r="AJ1075">
        <v>0.96203195566570499</v>
      </c>
      <c r="AK1075">
        <v>47.177235000000003</v>
      </c>
      <c r="AL1075">
        <v>4.964315</v>
      </c>
      <c r="AM1075">
        <v>49.146666666666668</v>
      </c>
      <c r="AN1075">
        <v>-0.34933333333333333</v>
      </c>
    </row>
    <row r="1076" spans="1:40" x14ac:dyDescent="0.35">
      <c r="A1076">
        <v>1327</v>
      </c>
      <c r="B1076">
        <v>72</v>
      </c>
      <c r="C1076" t="s">
        <v>48</v>
      </c>
      <c r="D1076" t="s">
        <v>52</v>
      </c>
      <c r="E1076" t="s">
        <v>42</v>
      </c>
      <c r="F1076" t="s">
        <v>43</v>
      </c>
      <c r="G1076">
        <v>4</v>
      </c>
      <c r="H1076">
        <v>16</v>
      </c>
      <c r="I1076">
        <v>5</v>
      </c>
      <c r="J1076" t="s">
        <v>56</v>
      </c>
      <c r="K1076" t="s">
        <v>46</v>
      </c>
      <c r="L1076" t="s">
        <v>65</v>
      </c>
      <c r="M1076">
        <v>76.585636964720123</v>
      </c>
      <c r="N1076">
        <v>134</v>
      </c>
      <c r="O1076">
        <v>85</v>
      </c>
      <c r="P1076">
        <v>131</v>
      </c>
      <c r="Q1076">
        <v>0</v>
      </c>
      <c r="R1076">
        <v>0</v>
      </c>
      <c r="S1076">
        <v>4.4543472962535073</v>
      </c>
      <c r="T1076">
        <v>89.333044733044744</v>
      </c>
      <c r="U1076">
        <v>1.2554235437523662</v>
      </c>
      <c r="V1076">
        <v>1.64975517953679</v>
      </c>
      <c r="W1076">
        <v>2.4220969657957299</v>
      </c>
      <c r="X1076">
        <v>1.68128863126442</v>
      </c>
      <c r="Y1076">
        <v>2.0553398017137301</v>
      </c>
      <c r="Z1076">
        <v>2.0921400018840099</v>
      </c>
      <c r="AA1076">
        <v>2.0596698968962701</v>
      </c>
      <c r="AB1076">
        <v>3262.71</v>
      </c>
      <c r="AC1076">
        <v>0.33</v>
      </c>
      <c r="AD1076">
        <v>0.66</v>
      </c>
      <c r="AE1076">
        <v>1.9221838973381</v>
      </c>
      <c r="AF1076">
        <v>0.59541818580650296</v>
      </c>
      <c r="AG1076">
        <v>0.53175887225969198</v>
      </c>
      <c r="AH1076">
        <v>1.0754980573630299</v>
      </c>
      <c r="AI1076">
        <v>0.19459856163994299</v>
      </c>
      <c r="AJ1076">
        <v>0.92969686038004795</v>
      </c>
      <c r="AK1076">
        <v>43.537466000000002</v>
      </c>
      <c r="AL1076">
        <v>6.4627330000000001</v>
      </c>
      <c r="AM1076">
        <v>43.530199999999994</v>
      </c>
      <c r="AN1076">
        <v>5.5137999999999998</v>
      </c>
    </row>
    <row r="1077" spans="1:40" x14ac:dyDescent="0.35">
      <c r="A1077">
        <v>1328</v>
      </c>
      <c r="B1077">
        <v>57</v>
      </c>
      <c r="C1077" t="s">
        <v>40</v>
      </c>
      <c r="D1077" t="s">
        <v>41</v>
      </c>
      <c r="E1077" t="s">
        <v>42</v>
      </c>
      <c r="F1077" t="s">
        <v>53</v>
      </c>
      <c r="G1077">
        <v>7</v>
      </c>
      <c r="H1077">
        <v>49</v>
      </c>
      <c r="I1077">
        <v>6</v>
      </c>
      <c r="J1077" t="s">
        <v>50</v>
      </c>
      <c r="K1077" t="s">
        <v>46</v>
      </c>
      <c r="L1077" t="s">
        <v>77</v>
      </c>
      <c r="M1077">
        <v>237.9483379808016</v>
      </c>
      <c r="N1077">
        <v>311</v>
      </c>
      <c r="O1077">
        <v>194</v>
      </c>
      <c r="P1077">
        <v>218</v>
      </c>
      <c r="Q1077">
        <v>0</v>
      </c>
      <c r="R1077">
        <v>2.3978952727983707</v>
      </c>
      <c r="S1077">
        <v>5.1416635565026603</v>
      </c>
      <c r="T1077">
        <v>90.472417453603512</v>
      </c>
      <c r="U1077">
        <v>2.7735735584863375</v>
      </c>
      <c r="V1077">
        <v>-0.15231437986527399</v>
      </c>
      <c r="W1077">
        <v>3.49635939345109E-2</v>
      </c>
      <c r="X1077">
        <v>-0.19627808847033801</v>
      </c>
      <c r="Y1077">
        <v>-0.57382446736590997</v>
      </c>
      <c r="Z1077">
        <v>-0.74335605457542497</v>
      </c>
      <c r="AA1077">
        <v>-0.53588051656191904</v>
      </c>
      <c r="AB1077">
        <v>3937</v>
      </c>
      <c r="AC1077">
        <v>0</v>
      </c>
      <c r="AD1077">
        <v>1</v>
      </c>
      <c r="AE1077">
        <v>-0.72244456620022002</v>
      </c>
      <c r="AF1077">
        <v>-2.5542062009751998</v>
      </c>
      <c r="AG1077">
        <v>-1.59785936865864</v>
      </c>
      <c r="AH1077">
        <v>1.00217914648119</v>
      </c>
      <c r="AI1077">
        <v>-1.1191616488907301</v>
      </c>
      <c r="AJ1077">
        <v>1.7625428429852099</v>
      </c>
      <c r="AK1077">
        <v>47.259622</v>
      </c>
      <c r="AL1077">
        <v>-7.8518000000000004E-2</v>
      </c>
      <c r="AM1077">
        <v>48.667000000000002</v>
      </c>
      <c r="AN1077">
        <v>2.3245</v>
      </c>
    </row>
    <row r="1078" spans="1:40" x14ac:dyDescent="0.35">
      <c r="A1078">
        <v>1329</v>
      </c>
      <c r="B1078">
        <v>42</v>
      </c>
      <c r="C1078" t="s">
        <v>48</v>
      </c>
      <c r="D1078" t="s">
        <v>41</v>
      </c>
      <c r="E1078" t="s">
        <v>42</v>
      </c>
      <c r="F1078" t="s">
        <v>49</v>
      </c>
      <c r="G1078">
        <v>5</v>
      </c>
      <c r="H1078">
        <v>25</v>
      </c>
      <c r="I1078">
        <v>4</v>
      </c>
      <c r="J1078" t="s">
        <v>50</v>
      </c>
      <c r="K1078" t="s">
        <v>46</v>
      </c>
      <c r="L1078" t="s">
        <v>57</v>
      </c>
      <c r="M1078">
        <v>285.09606853167969</v>
      </c>
      <c r="N1078">
        <v>327</v>
      </c>
      <c r="O1078">
        <v>246</v>
      </c>
      <c r="P1078">
        <v>147</v>
      </c>
      <c r="Q1078">
        <v>0.69314718055994529</v>
      </c>
      <c r="R1078">
        <v>3.6109179126442243</v>
      </c>
      <c r="S1078">
        <v>5.8833223884882786</v>
      </c>
      <c r="T1078">
        <v>90.922105263157903</v>
      </c>
      <c r="U1078">
        <v>2.3923758041545438</v>
      </c>
      <c r="V1078">
        <v>-0.399596989308249</v>
      </c>
      <c r="W1078">
        <v>-0.58810405700346202</v>
      </c>
      <c r="X1078">
        <v>-0.29041857108635599</v>
      </c>
      <c r="Y1078">
        <v>-0.846122564821426</v>
      </c>
      <c r="Z1078">
        <v>-0.92679578564836795</v>
      </c>
      <c r="AA1078">
        <v>0.86332342905974202</v>
      </c>
      <c r="AB1078">
        <v>2050</v>
      </c>
      <c r="AC1078">
        <v>1</v>
      </c>
      <c r="AD1078">
        <v>2</v>
      </c>
      <c r="AE1078">
        <v>-0.51011828243844404</v>
      </c>
      <c r="AF1078">
        <v>0.1778729263114</v>
      </c>
      <c r="AG1078">
        <v>1.3928716482961201</v>
      </c>
      <c r="AH1078">
        <v>0.96547961343749999</v>
      </c>
      <c r="AI1078">
        <v>0.86621188176036001</v>
      </c>
      <c r="AJ1078">
        <v>-1.1015838087751399</v>
      </c>
      <c r="AK1078">
        <v>47.023905999999997</v>
      </c>
      <c r="AL1078">
        <v>4.8380429999999999</v>
      </c>
      <c r="AM1078">
        <v>48.906999999999996</v>
      </c>
      <c r="AN1078">
        <v>2.2450000000000001</v>
      </c>
    </row>
    <row r="1079" spans="1:40" x14ac:dyDescent="0.35">
      <c r="A1079">
        <v>1330</v>
      </c>
      <c r="B1079">
        <v>72</v>
      </c>
      <c r="C1079" t="s">
        <v>40</v>
      </c>
      <c r="D1079" t="s">
        <v>52</v>
      </c>
      <c r="E1079" t="s">
        <v>68</v>
      </c>
      <c r="F1079" t="s">
        <v>43</v>
      </c>
      <c r="G1079">
        <v>6</v>
      </c>
      <c r="H1079">
        <v>36</v>
      </c>
      <c r="I1079">
        <v>7</v>
      </c>
      <c r="J1079" t="s">
        <v>50</v>
      </c>
      <c r="K1079" t="s">
        <v>46</v>
      </c>
      <c r="L1079" t="s">
        <v>51</v>
      </c>
      <c r="M1079">
        <v>320.69041887723353</v>
      </c>
      <c r="N1079">
        <v>432</v>
      </c>
      <c r="O1079">
        <v>310</v>
      </c>
      <c r="P1079">
        <v>334</v>
      </c>
      <c r="Q1079">
        <v>0</v>
      </c>
      <c r="R1079">
        <v>1.3862943611198906</v>
      </c>
      <c r="S1079">
        <v>4.3438054218536841</v>
      </c>
      <c r="T1079">
        <v>91.16</v>
      </c>
      <c r="U1079">
        <v>2.3174698847378039</v>
      </c>
      <c r="V1079">
        <v>-0.58471966768986094</v>
      </c>
      <c r="W1079">
        <v>-0.55557078097057</v>
      </c>
      <c r="X1079">
        <v>-0.47566183223429498</v>
      </c>
      <c r="Y1079">
        <v>-0.95884680312505799</v>
      </c>
      <c r="Z1079">
        <v>-0.76521334103430205</v>
      </c>
      <c r="AA1079">
        <v>-0.77245900699560299</v>
      </c>
      <c r="AB1079">
        <v>1376</v>
      </c>
      <c r="AC1079">
        <v>0</v>
      </c>
      <c r="AD1079">
        <v>2</v>
      </c>
      <c r="AE1079">
        <v>-1.2769936012368599</v>
      </c>
      <c r="AF1079">
        <v>0.44861421156330183</v>
      </c>
      <c r="AG1079">
        <v>0.33131644160826951</v>
      </c>
      <c r="AH1079">
        <v>1.0681525036895994</v>
      </c>
      <c r="AI1079">
        <v>0.24366779578255601</v>
      </c>
      <c r="AJ1079">
        <v>-2.4332604583740401E-2</v>
      </c>
      <c r="AK1079">
        <v>47.815207299999997</v>
      </c>
      <c r="AL1079">
        <v>3.8001657</v>
      </c>
      <c r="AM1079">
        <v>50.640682937000001</v>
      </c>
      <c r="AN1079">
        <v>4.6610704270000003</v>
      </c>
    </row>
    <row r="1080" spans="1:40" x14ac:dyDescent="0.35">
      <c r="A1080">
        <v>1331</v>
      </c>
      <c r="B1080">
        <v>29.5</v>
      </c>
      <c r="C1080" t="s">
        <v>48</v>
      </c>
      <c r="D1080" t="s">
        <v>66</v>
      </c>
      <c r="E1080" t="s">
        <v>42</v>
      </c>
      <c r="F1080" t="s">
        <v>53</v>
      </c>
      <c r="G1080">
        <v>4</v>
      </c>
      <c r="H1080">
        <v>16</v>
      </c>
      <c r="I1080">
        <v>5</v>
      </c>
      <c r="J1080" t="s">
        <v>45</v>
      </c>
      <c r="K1080" t="s">
        <v>46</v>
      </c>
      <c r="L1080" t="s">
        <v>59</v>
      </c>
      <c r="M1080">
        <v>42.085050860046408</v>
      </c>
      <c r="N1080">
        <v>23</v>
      </c>
      <c r="O1080">
        <v>30</v>
      </c>
      <c r="P1080">
        <v>21</v>
      </c>
      <c r="Q1080">
        <v>1.3862943611198906</v>
      </c>
      <c r="R1080">
        <v>1.3862943611198906</v>
      </c>
      <c r="S1080">
        <v>4.9972122737641147</v>
      </c>
      <c r="T1080">
        <v>90.035146103896111</v>
      </c>
      <c r="U1080">
        <v>1.418823059726001</v>
      </c>
      <c r="V1080">
        <v>-0.52223564926899602</v>
      </c>
      <c r="W1080">
        <v>-0.46072710968150399</v>
      </c>
      <c r="X1080">
        <v>-0.361786268345754</v>
      </c>
      <c r="Y1080">
        <v>-0.552694479448822</v>
      </c>
      <c r="Z1080">
        <v>2.1676297177028899E-2</v>
      </c>
      <c r="AA1080">
        <v>0.625223797005378</v>
      </c>
      <c r="AB1080">
        <v>2234.6992515788952</v>
      </c>
      <c r="AC1080">
        <v>0</v>
      </c>
      <c r="AD1080">
        <v>0.12112735591028891</v>
      </c>
      <c r="AE1080">
        <v>-0.60610368582010199</v>
      </c>
      <c r="AF1080">
        <v>-0.99998421992724296</v>
      </c>
      <c r="AG1080">
        <v>1.8608479265433699</v>
      </c>
      <c r="AH1080">
        <v>-1.29944534740318</v>
      </c>
      <c r="AI1080">
        <v>-2.28145682549926</v>
      </c>
      <c r="AJ1080">
        <v>0.85482270367548496</v>
      </c>
      <c r="AK1080">
        <v>47.411035099999999</v>
      </c>
      <c r="AL1080">
        <v>0.98369799999999996</v>
      </c>
      <c r="AM1080">
        <v>47.251124999999995</v>
      </c>
      <c r="AN1080">
        <v>0.47825000000000006</v>
      </c>
    </row>
    <row r="1081" spans="1:40" x14ac:dyDescent="0.35">
      <c r="A1081">
        <v>1332</v>
      </c>
      <c r="B1081">
        <v>72</v>
      </c>
      <c r="C1081" t="s">
        <v>40</v>
      </c>
      <c r="D1081" t="s">
        <v>52</v>
      </c>
      <c r="E1081" t="s">
        <v>42</v>
      </c>
      <c r="F1081" t="s">
        <v>53</v>
      </c>
      <c r="G1081">
        <v>5</v>
      </c>
      <c r="H1081">
        <v>25</v>
      </c>
      <c r="I1081">
        <v>5</v>
      </c>
      <c r="J1081" t="s">
        <v>56</v>
      </c>
      <c r="K1081" t="s">
        <v>46</v>
      </c>
      <c r="L1081" t="s">
        <v>55</v>
      </c>
      <c r="M1081">
        <v>353.78757334087493</v>
      </c>
      <c r="N1081">
        <v>457</v>
      </c>
      <c r="O1081">
        <v>303</v>
      </c>
      <c r="P1081">
        <v>313</v>
      </c>
      <c r="Q1081">
        <v>2.0794415416798357</v>
      </c>
      <c r="R1081">
        <v>2.3025850929940459</v>
      </c>
      <c r="S1081">
        <v>3.2580965380214821</v>
      </c>
      <c r="T1081">
        <v>95.12</v>
      </c>
      <c r="U1081">
        <v>0</v>
      </c>
      <c r="V1081">
        <v>1.89305099905856</v>
      </c>
      <c r="W1081">
        <v>0.59880690621441701</v>
      </c>
      <c r="X1081">
        <v>1.1856460040685599</v>
      </c>
      <c r="Y1081">
        <v>-0.15565097555555901</v>
      </c>
      <c r="Z1081">
        <v>-0.22748295097212001</v>
      </c>
      <c r="AA1081">
        <v>1.0415013010201299</v>
      </c>
      <c r="AB1081">
        <v>2939.9504036908884</v>
      </c>
      <c r="AC1081">
        <v>2</v>
      </c>
      <c r="AD1081">
        <v>0.42868127643214149</v>
      </c>
      <c r="AE1081">
        <v>-2.40641039566141E-2</v>
      </c>
      <c r="AF1081">
        <v>0.35269522042441398</v>
      </c>
      <c r="AG1081">
        <v>-0.17766087442036499</v>
      </c>
      <c r="AH1081">
        <v>-0.69661839257831004</v>
      </c>
      <c r="AI1081">
        <v>-1.5808643643828399</v>
      </c>
      <c r="AJ1081">
        <v>1.26647119855234</v>
      </c>
      <c r="AK1081">
        <v>48.0777517</v>
      </c>
      <c r="AL1081">
        <v>7.3579641000000002</v>
      </c>
      <c r="AM1081">
        <v>45.438000000000002</v>
      </c>
      <c r="AN1081">
        <v>4.7735000000000003</v>
      </c>
    </row>
    <row r="1082" spans="1:40" x14ac:dyDescent="0.35">
      <c r="A1082">
        <v>1334</v>
      </c>
      <c r="B1082">
        <v>72</v>
      </c>
      <c r="C1082" t="s">
        <v>40</v>
      </c>
      <c r="D1082" t="s">
        <v>52</v>
      </c>
      <c r="E1082" t="s">
        <v>42</v>
      </c>
      <c r="F1082" t="s">
        <v>49</v>
      </c>
      <c r="G1082">
        <v>5</v>
      </c>
      <c r="H1082">
        <v>25</v>
      </c>
      <c r="I1082">
        <v>3</v>
      </c>
      <c r="J1082" t="s">
        <v>56</v>
      </c>
      <c r="K1082" t="s">
        <v>46</v>
      </c>
      <c r="L1082" t="s">
        <v>74</v>
      </c>
      <c r="M1082">
        <v>580.46939306352419</v>
      </c>
      <c r="N1082">
        <v>718</v>
      </c>
      <c r="O1082">
        <v>421</v>
      </c>
      <c r="P1082">
        <v>384</v>
      </c>
      <c r="Q1082">
        <v>1.6094379124341003</v>
      </c>
      <c r="R1082">
        <v>2.5649493574615367</v>
      </c>
      <c r="S1082">
        <v>4.8202815656050371</v>
      </c>
      <c r="T1082">
        <v>91.984920634920627</v>
      </c>
      <c r="U1082">
        <v>1.0351430572167302</v>
      </c>
      <c r="V1082">
        <v>-0.45376679124596098</v>
      </c>
      <c r="W1082">
        <v>-0.56138574648679695</v>
      </c>
      <c r="X1082">
        <v>-0.92192590083580195</v>
      </c>
      <c r="Y1082">
        <v>-1.17232967929859</v>
      </c>
      <c r="Z1082">
        <v>-0.98267194414701198</v>
      </c>
      <c r="AA1082">
        <v>-0.89586780259421905</v>
      </c>
      <c r="AB1082">
        <v>1270</v>
      </c>
      <c r="AC1082">
        <v>3</v>
      </c>
      <c r="AD1082">
        <v>1</v>
      </c>
      <c r="AE1082">
        <v>-1.1438350904766701</v>
      </c>
      <c r="AF1082">
        <v>-0.36940858247423503</v>
      </c>
      <c r="AG1082">
        <v>-1.2421239672418101</v>
      </c>
      <c r="AH1082">
        <v>1.39371267098009</v>
      </c>
      <c r="AI1082">
        <v>0.108531669243205</v>
      </c>
      <c r="AJ1082">
        <v>-1.03354828426958</v>
      </c>
      <c r="AK1082">
        <v>46.672161000000003</v>
      </c>
      <c r="AL1082">
        <v>5.558465</v>
      </c>
      <c r="AM1082">
        <v>48.065999999999995</v>
      </c>
      <c r="AN1082">
        <v>-1.8641999999999999</v>
      </c>
    </row>
    <row r="1083" spans="1:40" x14ac:dyDescent="0.35">
      <c r="A1083">
        <v>1336</v>
      </c>
      <c r="B1083">
        <v>57</v>
      </c>
      <c r="C1083" t="s">
        <v>40</v>
      </c>
      <c r="D1083" t="s">
        <v>41</v>
      </c>
      <c r="E1083" t="s">
        <v>42</v>
      </c>
      <c r="F1083" t="s">
        <v>61</v>
      </c>
      <c r="G1083">
        <v>5</v>
      </c>
      <c r="H1083">
        <v>25</v>
      </c>
      <c r="I1083">
        <v>7</v>
      </c>
      <c r="J1083" t="s">
        <v>56</v>
      </c>
      <c r="K1083" t="s">
        <v>46</v>
      </c>
      <c r="L1083" t="s">
        <v>77</v>
      </c>
      <c r="M1083">
        <v>242.8555341190787</v>
      </c>
      <c r="N1083">
        <v>327</v>
      </c>
      <c r="O1083">
        <v>202</v>
      </c>
      <c r="P1083">
        <v>166</v>
      </c>
      <c r="Q1083">
        <v>0</v>
      </c>
      <c r="R1083">
        <v>2.3978952727983707</v>
      </c>
      <c r="S1083">
        <v>5.1416635565026603</v>
      </c>
      <c r="T1083">
        <v>90.472417453603512</v>
      </c>
      <c r="U1083">
        <v>2.7735735584863375</v>
      </c>
      <c r="V1083">
        <v>-0.15231437986527399</v>
      </c>
      <c r="W1083">
        <v>3.49635939345109E-2</v>
      </c>
      <c r="X1083">
        <v>-0.19627808847033801</v>
      </c>
      <c r="Y1083">
        <v>-0.57382446736590997</v>
      </c>
      <c r="Z1083">
        <v>-0.74335605457542497</v>
      </c>
      <c r="AA1083">
        <v>-0.53588051656191904</v>
      </c>
      <c r="AB1083">
        <v>3937</v>
      </c>
      <c r="AC1083">
        <v>0</v>
      </c>
      <c r="AD1083">
        <v>1</v>
      </c>
      <c r="AE1083">
        <v>-0.72244456620022002</v>
      </c>
      <c r="AF1083">
        <v>-2.1269319903835702</v>
      </c>
      <c r="AG1083">
        <v>-7.2539185954225094E-2</v>
      </c>
      <c r="AH1083">
        <v>9.0873831453848003E-2</v>
      </c>
      <c r="AI1083">
        <v>-4.892120994732E-2</v>
      </c>
      <c r="AJ1083">
        <v>-0.26658459104443999</v>
      </c>
      <c r="AK1083">
        <v>47.259622</v>
      </c>
      <c r="AL1083">
        <v>-7.8518000000000004E-2</v>
      </c>
      <c r="AM1083">
        <v>48.78</v>
      </c>
      <c r="AN1083">
        <v>2.2610000000000001</v>
      </c>
    </row>
    <row r="1084" spans="1:40" x14ac:dyDescent="0.35">
      <c r="A1084">
        <v>1337</v>
      </c>
      <c r="B1084">
        <v>72</v>
      </c>
      <c r="C1084" t="s">
        <v>48</v>
      </c>
      <c r="D1084" t="s">
        <v>52</v>
      </c>
      <c r="E1084" t="s">
        <v>42</v>
      </c>
      <c r="F1084" t="s">
        <v>49</v>
      </c>
      <c r="G1084">
        <v>4</v>
      </c>
      <c r="H1084">
        <v>16</v>
      </c>
      <c r="I1084">
        <v>6</v>
      </c>
      <c r="J1084" t="s">
        <v>56</v>
      </c>
      <c r="K1084" t="s">
        <v>46</v>
      </c>
      <c r="L1084" t="s">
        <v>62</v>
      </c>
      <c r="M1084">
        <v>53.668673087930863</v>
      </c>
      <c r="N1084">
        <v>94</v>
      </c>
      <c r="O1084">
        <v>65</v>
      </c>
      <c r="P1084">
        <v>104</v>
      </c>
      <c r="Q1084">
        <v>0.69314718055994529</v>
      </c>
      <c r="R1084">
        <v>3.2580965380214821</v>
      </c>
      <c r="S1084">
        <v>3.2580965380214821</v>
      </c>
      <c r="T1084">
        <v>95.68</v>
      </c>
      <c r="U1084">
        <v>0</v>
      </c>
      <c r="V1084">
        <v>1.82802042479695</v>
      </c>
      <c r="W1084">
        <v>0.99424279543483596</v>
      </c>
      <c r="X1084">
        <v>0.99177342203587404</v>
      </c>
      <c r="Y1084">
        <v>-0.96278755162326501</v>
      </c>
      <c r="Z1084">
        <v>-0.75605764486205096</v>
      </c>
      <c r="AA1084">
        <v>-0.80037586101695801</v>
      </c>
      <c r="AB1084">
        <v>2092.91</v>
      </c>
      <c r="AC1084">
        <v>0</v>
      </c>
      <c r="AD1084">
        <v>2.1</v>
      </c>
      <c r="AE1084">
        <v>-1.0768626388726401</v>
      </c>
      <c r="AF1084">
        <v>1.86076946109151</v>
      </c>
      <c r="AG1084">
        <v>-0.81775115149161204</v>
      </c>
      <c r="AH1084">
        <v>0.95029725542181898</v>
      </c>
      <c r="AI1084">
        <v>0.76750837639321301</v>
      </c>
      <c r="AJ1084">
        <v>-0.55942253167020795</v>
      </c>
      <c r="AK1084">
        <v>49.042560999999999</v>
      </c>
      <c r="AL1084">
        <v>3.9528660000000002</v>
      </c>
      <c r="AM1084">
        <v>49.489363636363649</v>
      </c>
      <c r="AN1084">
        <v>3.6753181818181817</v>
      </c>
    </row>
    <row r="1085" spans="1:40" x14ac:dyDescent="0.35">
      <c r="A1085">
        <v>1338</v>
      </c>
      <c r="B1085">
        <v>29.5</v>
      </c>
      <c r="C1085" t="s">
        <v>48</v>
      </c>
      <c r="D1085" t="s">
        <v>66</v>
      </c>
      <c r="E1085" t="s">
        <v>42</v>
      </c>
      <c r="F1085" t="s">
        <v>53</v>
      </c>
      <c r="G1085">
        <v>3</v>
      </c>
      <c r="H1085">
        <v>9</v>
      </c>
      <c r="I1085">
        <v>3</v>
      </c>
      <c r="J1085" t="s">
        <v>56</v>
      </c>
      <c r="K1085" t="s">
        <v>46</v>
      </c>
      <c r="L1085" t="s">
        <v>59</v>
      </c>
      <c r="M1085">
        <v>226.26790735505151</v>
      </c>
      <c r="N1085">
        <v>335</v>
      </c>
      <c r="O1085">
        <v>216</v>
      </c>
      <c r="P1085">
        <v>200</v>
      </c>
      <c r="Q1085">
        <v>1.3862943611198906</v>
      </c>
      <c r="R1085">
        <v>1.3862943611198906</v>
      </c>
      <c r="S1085">
        <v>4.9972122737641147</v>
      </c>
      <c r="T1085">
        <v>90.035146103896111</v>
      </c>
      <c r="U1085">
        <v>1.418823059726001</v>
      </c>
      <c r="V1085">
        <v>-0.52223564926899602</v>
      </c>
      <c r="W1085">
        <v>-0.46072710968150399</v>
      </c>
      <c r="X1085">
        <v>-0.361786268345754</v>
      </c>
      <c r="Y1085">
        <v>-0.552694479448822</v>
      </c>
      <c r="Z1085">
        <v>2.1676297177028899E-2</v>
      </c>
      <c r="AA1085">
        <v>0.625223797005378</v>
      </c>
      <c r="AB1085">
        <v>2234.6992515788952</v>
      </c>
      <c r="AC1085">
        <v>0</v>
      </c>
      <c r="AD1085">
        <v>0.12112735591028891</v>
      </c>
      <c r="AE1085">
        <v>-0.60610368582010199</v>
      </c>
      <c r="AF1085">
        <v>-0.92312975004005104</v>
      </c>
      <c r="AG1085">
        <v>0.33580818714223998</v>
      </c>
      <c r="AH1085">
        <v>-1.16126788991055</v>
      </c>
      <c r="AI1085">
        <v>-2.9038654316570498</v>
      </c>
      <c r="AJ1085">
        <v>0.356768243298624</v>
      </c>
      <c r="AK1085">
        <v>47.411035099999999</v>
      </c>
      <c r="AL1085">
        <v>0.98369799999999996</v>
      </c>
      <c r="AM1085">
        <v>49.442206599999999</v>
      </c>
      <c r="AN1085">
        <v>1.0985132</v>
      </c>
    </row>
    <row r="1086" spans="1:40" x14ac:dyDescent="0.35">
      <c r="A1086">
        <v>1340</v>
      </c>
      <c r="B1086">
        <v>57</v>
      </c>
      <c r="C1086" t="s">
        <v>40</v>
      </c>
      <c r="D1086" t="s">
        <v>66</v>
      </c>
      <c r="E1086" t="s">
        <v>68</v>
      </c>
      <c r="F1086" t="s">
        <v>49</v>
      </c>
      <c r="G1086">
        <v>5</v>
      </c>
      <c r="H1086">
        <v>25</v>
      </c>
      <c r="I1086">
        <v>7</v>
      </c>
      <c r="J1086" t="s">
        <v>56</v>
      </c>
      <c r="K1086" t="s">
        <v>46</v>
      </c>
      <c r="L1086" t="s">
        <v>55</v>
      </c>
      <c r="M1086">
        <v>345.8268988977585</v>
      </c>
      <c r="N1086">
        <v>504</v>
      </c>
      <c r="O1086">
        <v>336</v>
      </c>
      <c r="P1086">
        <v>293</v>
      </c>
      <c r="Q1086">
        <v>2.0794415416798357</v>
      </c>
      <c r="R1086">
        <v>2.3025850929940459</v>
      </c>
      <c r="S1086">
        <v>3.2580965380214821</v>
      </c>
      <c r="T1086">
        <v>95.12</v>
      </c>
      <c r="U1086">
        <v>0</v>
      </c>
      <c r="V1086">
        <v>1.89305099905856</v>
      </c>
      <c r="W1086">
        <v>0.59880690621441701</v>
      </c>
      <c r="X1086">
        <v>1.1856460040685599</v>
      </c>
      <c r="Y1086">
        <v>-0.15565097555555901</v>
      </c>
      <c r="Z1086">
        <v>-0.22748295097212001</v>
      </c>
      <c r="AA1086">
        <v>1.0415013010201299</v>
      </c>
      <c r="AB1086">
        <v>2939.9504036908884</v>
      </c>
      <c r="AC1086">
        <v>2</v>
      </c>
      <c r="AD1086">
        <v>0.42868127643214149</v>
      </c>
      <c r="AE1086">
        <v>-2.40641039566141E-2</v>
      </c>
      <c r="AF1086">
        <v>0.72133409775611301</v>
      </c>
      <c r="AG1086">
        <v>-0.81311318019144996</v>
      </c>
      <c r="AH1086">
        <v>-5.7428776328105197E-2</v>
      </c>
      <c r="AI1086">
        <v>-1.41148171981926</v>
      </c>
      <c r="AJ1086">
        <v>0.88054975892930698</v>
      </c>
      <c r="AK1086">
        <v>48.0777517</v>
      </c>
      <c r="AL1086">
        <v>7.3579641000000002</v>
      </c>
      <c r="AM1086">
        <v>50.640682937000001</v>
      </c>
      <c r="AN1086">
        <v>4.6610704270000003</v>
      </c>
    </row>
    <row r="1087" spans="1:40" x14ac:dyDescent="0.35">
      <c r="A1087">
        <v>1341</v>
      </c>
      <c r="B1087">
        <v>57</v>
      </c>
      <c r="C1087" t="s">
        <v>40</v>
      </c>
      <c r="D1087" t="s">
        <v>41</v>
      </c>
      <c r="E1087" t="s">
        <v>68</v>
      </c>
      <c r="F1087" t="s">
        <v>49</v>
      </c>
      <c r="G1087">
        <v>7</v>
      </c>
      <c r="H1087">
        <v>49</v>
      </c>
      <c r="I1087">
        <v>6</v>
      </c>
      <c r="J1087" t="s">
        <v>50</v>
      </c>
      <c r="K1087" t="s">
        <v>46</v>
      </c>
      <c r="L1087" t="s">
        <v>55</v>
      </c>
      <c r="M1087">
        <v>345.8268988977585</v>
      </c>
      <c r="N1087">
        <v>504</v>
      </c>
      <c r="O1087">
        <v>336</v>
      </c>
      <c r="P1087">
        <v>293</v>
      </c>
      <c r="Q1087">
        <v>2.0794415416798357</v>
      </c>
      <c r="R1087">
        <v>2.3025850929940459</v>
      </c>
      <c r="S1087">
        <v>3.2580965380214821</v>
      </c>
      <c r="T1087">
        <v>95.12</v>
      </c>
      <c r="U1087">
        <v>0</v>
      </c>
      <c r="V1087">
        <v>1.89305099905856</v>
      </c>
      <c r="W1087">
        <v>0.59880690621441701</v>
      </c>
      <c r="X1087">
        <v>1.1856460040685599</v>
      </c>
      <c r="Y1087">
        <v>-0.15565097555555901</v>
      </c>
      <c r="Z1087">
        <v>-0.22748295097212001</v>
      </c>
      <c r="AA1087">
        <v>1.0415013010201299</v>
      </c>
      <c r="AB1087">
        <v>2939.9504036908884</v>
      </c>
      <c r="AC1087">
        <v>2</v>
      </c>
      <c r="AD1087">
        <v>0.42868127643214149</v>
      </c>
      <c r="AE1087">
        <v>-2.40641039566141E-2</v>
      </c>
      <c r="AF1087">
        <v>-1.11188104459915</v>
      </c>
      <c r="AG1087">
        <v>-0.40208322337350499</v>
      </c>
      <c r="AH1087">
        <v>0.54584089959153603</v>
      </c>
      <c r="AI1087">
        <v>-1.0312795370752501</v>
      </c>
      <c r="AJ1087">
        <v>1.14712048055839E-2</v>
      </c>
      <c r="AK1087">
        <v>48.0777517</v>
      </c>
      <c r="AL1087">
        <v>7.3579641000000002</v>
      </c>
      <c r="AM1087">
        <v>50.640682937000001</v>
      </c>
      <c r="AN1087">
        <v>4.6610704270000003</v>
      </c>
    </row>
    <row r="1088" spans="1:40" x14ac:dyDescent="0.35">
      <c r="A1088">
        <v>1342</v>
      </c>
      <c r="B1088">
        <v>42</v>
      </c>
      <c r="C1088" t="s">
        <v>40</v>
      </c>
      <c r="D1088" t="s">
        <v>66</v>
      </c>
      <c r="E1088" t="s">
        <v>42</v>
      </c>
      <c r="F1088" t="s">
        <v>61</v>
      </c>
      <c r="G1088">
        <v>5</v>
      </c>
      <c r="H1088">
        <v>25</v>
      </c>
      <c r="I1088">
        <v>6</v>
      </c>
      <c r="J1088" t="s">
        <v>50</v>
      </c>
      <c r="K1088" t="s">
        <v>46</v>
      </c>
      <c r="L1088" t="s">
        <v>81</v>
      </c>
      <c r="M1088">
        <v>235.43812589765719</v>
      </c>
      <c r="N1088">
        <v>600</v>
      </c>
      <c r="O1088">
        <v>361</v>
      </c>
      <c r="P1088">
        <v>345</v>
      </c>
      <c r="Q1088">
        <v>0</v>
      </c>
      <c r="R1088">
        <v>0</v>
      </c>
      <c r="S1088">
        <v>4.0430512678345503</v>
      </c>
      <c r="T1088">
        <v>88.705120018058608</v>
      </c>
      <c r="U1088">
        <v>1.1736806104474848</v>
      </c>
      <c r="V1088">
        <v>-0.47558929701305802</v>
      </c>
      <c r="W1088">
        <v>-0.86536000504125898</v>
      </c>
      <c r="X1088">
        <v>-0.756079468432718</v>
      </c>
      <c r="Y1088">
        <v>-0.29991099617686701</v>
      </c>
      <c r="Z1088">
        <v>-0.41295088194839003</v>
      </c>
      <c r="AA1088">
        <v>-1.4747044340851601</v>
      </c>
      <c r="AB1088">
        <v>2397.9202643171807</v>
      </c>
      <c r="AC1088">
        <v>4.5123348017621154</v>
      </c>
      <c r="AD1088">
        <v>0.89074889867841411</v>
      </c>
      <c r="AE1088">
        <v>2.0319785812814501</v>
      </c>
      <c r="AF1088">
        <v>0.94451627797849202</v>
      </c>
      <c r="AG1088">
        <v>0.83649047019311396</v>
      </c>
      <c r="AH1088">
        <v>-0.18207120073806701</v>
      </c>
      <c r="AI1088">
        <v>0.61531408119892705</v>
      </c>
      <c r="AJ1088">
        <v>-0.340691734971386</v>
      </c>
      <c r="AK1088">
        <v>48.862724999999998</v>
      </c>
      <c r="AL1088">
        <v>2.2875920000000001</v>
      </c>
      <c r="AM1088">
        <v>47.284333333333336</v>
      </c>
      <c r="AN1088">
        <v>0.18033333333333332</v>
      </c>
    </row>
    <row r="1089" spans="1:40" x14ac:dyDescent="0.35">
      <c r="A1089">
        <v>1343</v>
      </c>
      <c r="B1089">
        <v>72</v>
      </c>
      <c r="C1089" t="s">
        <v>40</v>
      </c>
      <c r="D1089" t="s">
        <v>52</v>
      </c>
      <c r="E1089" t="s">
        <v>42</v>
      </c>
      <c r="F1089" t="s">
        <v>53</v>
      </c>
      <c r="G1089">
        <v>6</v>
      </c>
      <c r="H1089">
        <v>36</v>
      </c>
      <c r="I1089">
        <v>3</v>
      </c>
      <c r="J1089" t="s">
        <v>56</v>
      </c>
      <c r="K1089" t="s">
        <v>46</v>
      </c>
      <c r="L1089" t="s">
        <v>67</v>
      </c>
      <c r="M1089">
        <v>331.31715631293821</v>
      </c>
      <c r="N1089">
        <v>394</v>
      </c>
      <c r="O1089">
        <v>210</v>
      </c>
      <c r="P1089">
        <v>111</v>
      </c>
      <c r="Q1089">
        <v>0</v>
      </c>
      <c r="R1089">
        <v>1.0986122886681098</v>
      </c>
      <c r="S1089">
        <v>4.499809670330265</v>
      </c>
      <c r="T1089">
        <v>90.053710317460329</v>
      </c>
      <c r="U1089">
        <v>1.5728028449904734</v>
      </c>
      <c r="V1089">
        <v>-0.577850340007529</v>
      </c>
      <c r="W1089">
        <v>-0.32460727773589898</v>
      </c>
      <c r="X1089">
        <v>-0.54369568891204501</v>
      </c>
      <c r="Y1089">
        <v>-0.77598924050104101</v>
      </c>
      <c r="Z1089">
        <v>0.47668876811384397</v>
      </c>
      <c r="AA1089">
        <v>0.85617757356637403</v>
      </c>
      <c r="AB1089">
        <v>2565</v>
      </c>
      <c r="AC1089">
        <v>1</v>
      </c>
      <c r="AD1089">
        <v>0</v>
      </c>
      <c r="AE1089">
        <v>-0.51011828243844404</v>
      </c>
      <c r="AF1089">
        <v>0.927041421280556</v>
      </c>
      <c r="AG1089">
        <v>0.87165176093337404</v>
      </c>
      <c r="AH1089">
        <v>-0.56880037087415503</v>
      </c>
      <c r="AI1089">
        <v>-6.0662245525505497E-2</v>
      </c>
      <c r="AJ1089">
        <v>-0.59008510766903499</v>
      </c>
      <c r="AK1089">
        <v>46.303668000000002</v>
      </c>
      <c r="AL1089">
        <v>4.8322269999999996</v>
      </c>
      <c r="AM1089">
        <v>48.795999999999999</v>
      </c>
      <c r="AN1089">
        <v>2.4209999999999998</v>
      </c>
    </row>
    <row r="1090" spans="1:40" x14ac:dyDescent="0.35">
      <c r="A1090">
        <v>1344</v>
      </c>
      <c r="B1090">
        <v>57</v>
      </c>
      <c r="C1090" t="s">
        <v>40</v>
      </c>
      <c r="D1090" t="s">
        <v>41</v>
      </c>
      <c r="E1090" t="s">
        <v>42</v>
      </c>
      <c r="F1090" t="s">
        <v>49</v>
      </c>
      <c r="G1090">
        <v>6</v>
      </c>
      <c r="H1090">
        <v>36</v>
      </c>
      <c r="I1090">
        <v>3</v>
      </c>
      <c r="J1090" t="s">
        <v>50</v>
      </c>
      <c r="K1090" t="s">
        <v>46</v>
      </c>
      <c r="L1090" t="s">
        <v>58</v>
      </c>
      <c r="M1090">
        <v>458.05193649486313</v>
      </c>
      <c r="N1090">
        <v>570</v>
      </c>
      <c r="O1090">
        <v>405</v>
      </c>
      <c r="P1090">
        <v>249</v>
      </c>
      <c r="Q1090">
        <v>3.2580965380214821</v>
      </c>
      <c r="R1090">
        <v>2.8903717578961645</v>
      </c>
      <c r="S1090">
        <v>4.7535901911063645</v>
      </c>
      <c r="T1090">
        <v>90.794285714285706</v>
      </c>
      <c r="U1090">
        <v>0</v>
      </c>
      <c r="V1090">
        <v>0.63905639120027702</v>
      </c>
      <c r="W1090">
        <v>0.692565001186083</v>
      </c>
      <c r="X1090">
        <v>0.56469097254324596</v>
      </c>
      <c r="Y1090">
        <v>1.4483117406157899</v>
      </c>
      <c r="Z1090">
        <v>1.7680602694732599</v>
      </c>
      <c r="AA1090">
        <v>0.26366440732357699</v>
      </c>
      <c r="AB1090">
        <v>4236</v>
      </c>
      <c r="AC1090">
        <v>0</v>
      </c>
      <c r="AD1090">
        <v>4</v>
      </c>
      <c r="AE1090">
        <v>1.6751267091712101</v>
      </c>
      <c r="AF1090">
        <v>0.84952730071041804</v>
      </c>
      <c r="AG1090">
        <v>0.60881049645361696</v>
      </c>
      <c r="AH1090">
        <v>0.49358185277803202</v>
      </c>
      <c r="AI1090">
        <v>1.0789016819175701</v>
      </c>
      <c r="AJ1090">
        <v>-0.689432237238777</v>
      </c>
      <c r="AK1090">
        <v>45.198478000000001</v>
      </c>
      <c r="AL1090">
        <v>-0.74874399999999997</v>
      </c>
      <c r="AM1090">
        <v>48.75</v>
      </c>
      <c r="AN1090">
        <v>2.2989999999999999</v>
      </c>
    </row>
    <row r="1091" spans="1:40" x14ac:dyDescent="0.35">
      <c r="A1091">
        <v>1345</v>
      </c>
      <c r="B1091">
        <v>72</v>
      </c>
      <c r="C1091" t="s">
        <v>40</v>
      </c>
      <c r="D1091" t="s">
        <v>52</v>
      </c>
      <c r="E1091" t="s">
        <v>42</v>
      </c>
      <c r="F1091" t="s">
        <v>43</v>
      </c>
      <c r="G1091">
        <v>7</v>
      </c>
      <c r="H1091">
        <v>49</v>
      </c>
      <c r="I1091">
        <v>6</v>
      </c>
      <c r="J1091" t="s">
        <v>50</v>
      </c>
      <c r="K1091" t="s">
        <v>46</v>
      </c>
      <c r="L1091" t="s">
        <v>55</v>
      </c>
      <c r="M1091">
        <v>382.44786509875593</v>
      </c>
      <c r="N1091">
        <v>529</v>
      </c>
      <c r="O1091">
        <v>374</v>
      </c>
      <c r="P1091">
        <v>212</v>
      </c>
      <c r="Q1091">
        <v>2.0794415416798357</v>
      </c>
      <c r="R1091">
        <v>2.3025850929940459</v>
      </c>
      <c r="S1091">
        <v>3.2580965380214821</v>
      </c>
      <c r="T1091">
        <v>95.12</v>
      </c>
      <c r="U1091">
        <v>0</v>
      </c>
      <c r="V1091">
        <v>1.89305099905856</v>
      </c>
      <c r="W1091">
        <v>0.59880690621441701</v>
      </c>
      <c r="X1091">
        <v>1.1856460040685599</v>
      </c>
      <c r="Y1091">
        <v>-0.15565097555555901</v>
      </c>
      <c r="Z1091">
        <v>-0.22748295097212001</v>
      </c>
      <c r="AA1091">
        <v>1.0415013010201299</v>
      </c>
      <c r="AB1091">
        <v>2939.9504036908884</v>
      </c>
      <c r="AC1091">
        <v>2</v>
      </c>
      <c r="AD1091">
        <v>0.42868127643214149</v>
      </c>
      <c r="AE1091">
        <v>-2.40641039566141E-2</v>
      </c>
      <c r="AF1091">
        <v>-0.15056638615050499</v>
      </c>
      <c r="AG1091">
        <v>-1.18111346434727</v>
      </c>
      <c r="AH1091">
        <v>-0.26480836283653902</v>
      </c>
      <c r="AI1091">
        <v>-0.63112988522343905</v>
      </c>
      <c r="AJ1091">
        <v>-0.38995738583915701</v>
      </c>
      <c r="AK1091">
        <v>48.0777517</v>
      </c>
      <c r="AL1091">
        <v>7.3579641000000002</v>
      </c>
      <c r="AM1091">
        <v>49.111250000000013</v>
      </c>
      <c r="AN1091">
        <v>2.402833333333334</v>
      </c>
    </row>
    <row r="1092" spans="1:40" x14ac:dyDescent="0.35">
      <c r="A1092">
        <v>1346</v>
      </c>
      <c r="B1092">
        <v>72</v>
      </c>
      <c r="C1092" t="s">
        <v>40</v>
      </c>
      <c r="D1092" t="s">
        <v>52</v>
      </c>
      <c r="E1092" t="s">
        <v>42</v>
      </c>
      <c r="F1092" t="s">
        <v>49</v>
      </c>
      <c r="G1092">
        <v>4</v>
      </c>
      <c r="H1092">
        <v>16</v>
      </c>
      <c r="I1092">
        <v>3</v>
      </c>
      <c r="J1092" t="s">
        <v>56</v>
      </c>
      <c r="K1092" t="s">
        <v>46</v>
      </c>
      <c r="L1092" t="s">
        <v>60</v>
      </c>
      <c r="M1092">
        <v>572.97039851888451</v>
      </c>
      <c r="N1092">
        <v>704</v>
      </c>
      <c r="O1092">
        <v>480</v>
      </c>
      <c r="P1092">
        <v>291</v>
      </c>
      <c r="Q1092">
        <v>3.8501476017100584</v>
      </c>
      <c r="R1092">
        <v>2.9957322735539909</v>
      </c>
      <c r="S1092">
        <v>5.4424177105217932</v>
      </c>
      <c r="T1092">
        <v>88.975873222691746</v>
      </c>
      <c r="U1092">
        <v>2.5514539469641888</v>
      </c>
      <c r="V1092">
        <v>2.9336799326863701</v>
      </c>
      <c r="W1092">
        <v>3.3730943146768602</v>
      </c>
      <c r="X1092">
        <v>3.6072071704345601</v>
      </c>
      <c r="Y1092">
        <v>-0.19189497559235799</v>
      </c>
      <c r="Z1092">
        <v>0.17569111512999699</v>
      </c>
      <c r="AA1092">
        <v>-0.304970615080496</v>
      </c>
      <c r="AB1092">
        <v>1906.836709612184</v>
      </c>
      <c r="AC1092">
        <v>0.7978420820676605</v>
      </c>
      <c r="AD1092">
        <v>2.1056638128240834</v>
      </c>
      <c r="AE1092">
        <v>-0.25037207080954499</v>
      </c>
      <c r="AF1092">
        <v>-0.15361290495968799</v>
      </c>
      <c r="AG1092">
        <v>9.5820530184152E-2</v>
      </c>
      <c r="AH1092">
        <v>4.6457970124230098E-3</v>
      </c>
      <c r="AI1092">
        <v>-0.32004523182792199</v>
      </c>
      <c r="AJ1092">
        <v>-1.5068795371575601</v>
      </c>
      <c r="AK1092">
        <v>44.055988999999997</v>
      </c>
      <c r="AL1092">
        <v>4.8317350000000001</v>
      </c>
      <c r="AM1092">
        <v>48.884000000000007</v>
      </c>
      <c r="AN1092">
        <v>2.238</v>
      </c>
    </row>
    <row r="1093" spans="1:40" x14ac:dyDescent="0.35">
      <c r="A1093">
        <v>1347</v>
      </c>
      <c r="B1093">
        <v>57</v>
      </c>
      <c r="C1093" t="s">
        <v>40</v>
      </c>
      <c r="D1093" t="s">
        <v>66</v>
      </c>
      <c r="E1093" t="s">
        <v>42</v>
      </c>
      <c r="F1093" t="s">
        <v>61</v>
      </c>
      <c r="G1093">
        <v>4</v>
      </c>
      <c r="H1093">
        <v>16</v>
      </c>
      <c r="I1093">
        <v>4</v>
      </c>
      <c r="J1093" t="s">
        <v>50</v>
      </c>
      <c r="K1093" t="s">
        <v>46</v>
      </c>
      <c r="L1093" t="s">
        <v>57</v>
      </c>
      <c r="M1093">
        <v>449.57466021028029</v>
      </c>
      <c r="N1093">
        <v>543</v>
      </c>
      <c r="O1093">
        <v>351</v>
      </c>
      <c r="P1093">
        <v>645</v>
      </c>
      <c r="Q1093">
        <v>0.69314718055994529</v>
      </c>
      <c r="R1093">
        <v>3.6109179126442243</v>
      </c>
      <c r="S1093">
        <v>5.8833223884882786</v>
      </c>
      <c r="T1093">
        <v>90.922105263157903</v>
      </c>
      <c r="U1093">
        <v>2.3923758041545438</v>
      </c>
      <c r="V1093">
        <v>-0.399596989308249</v>
      </c>
      <c r="W1093">
        <v>-0.58810405700346202</v>
      </c>
      <c r="X1093">
        <v>-0.29041857108635599</v>
      </c>
      <c r="Y1093">
        <v>-0.846122564821426</v>
      </c>
      <c r="Z1093">
        <v>-0.92679578564836795</v>
      </c>
      <c r="AA1093">
        <v>0.86332342905974202</v>
      </c>
      <c r="AB1093">
        <v>2050</v>
      </c>
      <c r="AC1093">
        <v>1</v>
      </c>
      <c r="AD1093">
        <v>2</v>
      </c>
      <c r="AE1093">
        <v>-0.51011828243844404</v>
      </c>
      <c r="AF1093">
        <v>-0.95961877578633503</v>
      </c>
      <c r="AG1093">
        <v>-1.14558531421545</v>
      </c>
      <c r="AH1093">
        <v>-0.56403116906752504</v>
      </c>
      <c r="AI1093">
        <v>-2.5705927409763301</v>
      </c>
      <c r="AJ1093">
        <v>-0.17587060288848799</v>
      </c>
      <c r="AK1093">
        <v>47.023905999999997</v>
      </c>
      <c r="AL1093">
        <v>4.8380429999999999</v>
      </c>
      <c r="AM1093">
        <v>49.235249999999994</v>
      </c>
      <c r="AN1093">
        <v>-0.22750000000000001</v>
      </c>
    </row>
    <row r="1094" spans="1:40" x14ac:dyDescent="0.35">
      <c r="A1094">
        <v>1348</v>
      </c>
      <c r="B1094">
        <v>72</v>
      </c>
      <c r="C1094" t="s">
        <v>40</v>
      </c>
      <c r="D1094" t="s">
        <v>52</v>
      </c>
      <c r="E1094" t="s">
        <v>42</v>
      </c>
      <c r="F1094" t="s">
        <v>49</v>
      </c>
      <c r="G1094">
        <v>7</v>
      </c>
      <c r="H1094">
        <v>49</v>
      </c>
      <c r="I1094">
        <v>5</v>
      </c>
      <c r="J1094" t="s">
        <v>56</v>
      </c>
      <c r="K1094" t="s">
        <v>46</v>
      </c>
      <c r="L1094" t="s">
        <v>47</v>
      </c>
      <c r="M1094">
        <v>424.09995417799809</v>
      </c>
      <c r="N1094">
        <v>559</v>
      </c>
      <c r="O1094">
        <v>421</v>
      </c>
      <c r="P1094">
        <v>478</v>
      </c>
      <c r="Q1094">
        <v>5.9107966440405271</v>
      </c>
      <c r="R1094">
        <v>6.4997870406558542</v>
      </c>
      <c r="S1094">
        <v>8.6415324656718457</v>
      </c>
      <c r="T1094">
        <v>89.265350482850479</v>
      </c>
      <c r="U1094">
        <v>1.4417786561042019</v>
      </c>
      <c r="V1094">
        <v>-0.22886708829074301</v>
      </c>
      <c r="W1094">
        <v>0.28745285629339301</v>
      </c>
      <c r="X1094">
        <v>-0.15627425222847</v>
      </c>
      <c r="Y1094">
        <v>1.45226138127617</v>
      </c>
      <c r="Z1094">
        <v>0.98247225355557</v>
      </c>
      <c r="AA1094">
        <v>0.627775520474398</v>
      </c>
      <c r="AB1094">
        <v>3362.2959371744532</v>
      </c>
      <c r="AC1094">
        <v>2.8998317172850387</v>
      </c>
      <c r="AD1094">
        <v>2.9499158586425196</v>
      </c>
      <c r="AE1094">
        <v>1.06273170356322</v>
      </c>
      <c r="AF1094">
        <v>1.5111116384855701</v>
      </c>
      <c r="AG1094">
        <v>1.1500609789993801</v>
      </c>
      <c r="AH1094">
        <v>5.2344572583151498E-2</v>
      </c>
      <c r="AI1094">
        <v>0.19061360848967801</v>
      </c>
      <c r="AJ1094">
        <v>-0.31957534951477401</v>
      </c>
      <c r="AK1094">
        <v>43.3535629403058</v>
      </c>
      <c r="AL1094">
        <v>3.21615314793977</v>
      </c>
      <c r="AM1094">
        <v>46.584000000000003</v>
      </c>
      <c r="AN1094">
        <v>0.36</v>
      </c>
    </row>
    <row r="1095" spans="1:40" x14ac:dyDescent="0.35">
      <c r="A1095">
        <v>1349</v>
      </c>
      <c r="B1095">
        <v>72</v>
      </c>
      <c r="C1095" t="s">
        <v>40</v>
      </c>
      <c r="D1095" t="s">
        <v>52</v>
      </c>
      <c r="E1095" t="s">
        <v>42</v>
      </c>
      <c r="F1095" t="s">
        <v>49</v>
      </c>
      <c r="G1095">
        <v>4</v>
      </c>
      <c r="H1095">
        <v>16</v>
      </c>
      <c r="I1095">
        <v>7</v>
      </c>
      <c r="J1095" t="s">
        <v>50</v>
      </c>
      <c r="K1095" t="s">
        <v>46</v>
      </c>
      <c r="L1095" t="s">
        <v>71</v>
      </c>
      <c r="M1095">
        <v>78.973095861091025</v>
      </c>
      <c r="N1095">
        <v>158</v>
      </c>
      <c r="O1095">
        <v>90</v>
      </c>
      <c r="P1095">
        <v>147</v>
      </c>
      <c r="Q1095">
        <v>4.5747109785033828</v>
      </c>
      <c r="R1095">
        <v>3.5263605246161616</v>
      </c>
      <c r="S1095">
        <v>5.1416635565026603</v>
      </c>
      <c r="T1095">
        <v>92.265120976563693</v>
      </c>
      <c r="U1095">
        <v>2.9351954657362995</v>
      </c>
      <c r="V1095">
        <v>-8.3509539921858403E-2</v>
      </c>
      <c r="W1095">
        <v>-8.6188355584626702E-2</v>
      </c>
      <c r="X1095">
        <v>-6.2117403422328299E-2</v>
      </c>
      <c r="Y1095">
        <v>-0.51135009403950604</v>
      </c>
      <c r="Z1095">
        <v>-0.669554030021006</v>
      </c>
      <c r="AA1095">
        <v>-1.4915282051312999</v>
      </c>
      <c r="AB1095">
        <v>1813.5248996931791</v>
      </c>
      <c r="AC1095">
        <v>1.6535284399339156</v>
      </c>
      <c r="AD1095">
        <v>0.49421760679726223</v>
      </c>
      <c r="AE1095">
        <v>-0.18520258641298501</v>
      </c>
      <c r="AF1095">
        <v>0.34193256484933998</v>
      </c>
      <c r="AG1095">
        <v>-0.78415869110390701</v>
      </c>
      <c r="AH1095">
        <v>5.0701825645256902E-2</v>
      </c>
      <c r="AI1095">
        <v>-1.29634767118714</v>
      </c>
      <c r="AJ1095">
        <v>0.274687683354923</v>
      </c>
      <c r="AK1095">
        <v>45.071283999999999</v>
      </c>
      <c r="AL1095">
        <v>4.8370730000000002</v>
      </c>
      <c r="AM1095">
        <v>45.713722222222231</v>
      </c>
      <c r="AN1095">
        <v>5.265611111111113</v>
      </c>
    </row>
    <row r="1096" spans="1:40" x14ac:dyDescent="0.35">
      <c r="A1096">
        <v>1350</v>
      </c>
      <c r="B1096">
        <v>72</v>
      </c>
      <c r="C1096" t="s">
        <v>40</v>
      </c>
      <c r="D1096" t="s">
        <v>52</v>
      </c>
      <c r="E1096" t="s">
        <v>42</v>
      </c>
      <c r="F1096" t="s">
        <v>49</v>
      </c>
      <c r="G1096">
        <v>5</v>
      </c>
      <c r="H1096">
        <v>25</v>
      </c>
      <c r="I1096">
        <v>6</v>
      </c>
      <c r="J1096" t="s">
        <v>50</v>
      </c>
      <c r="K1096" t="s">
        <v>46</v>
      </c>
      <c r="L1096" t="s">
        <v>77</v>
      </c>
      <c r="M1096">
        <v>250.67819278611029</v>
      </c>
      <c r="N1096">
        <v>316</v>
      </c>
      <c r="O1096">
        <v>191</v>
      </c>
      <c r="P1096">
        <v>168</v>
      </c>
      <c r="Q1096">
        <v>0</v>
      </c>
      <c r="R1096">
        <v>2.3978952727983707</v>
      </c>
      <c r="S1096">
        <v>5.1416635565026603</v>
      </c>
      <c r="T1096">
        <v>90.472417453603512</v>
      </c>
      <c r="U1096">
        <v>2.7735735584863375</v>
      </c>
      <c r="V1096">
        <v>-0.15231437986527399</v>
      </c>
      <c r="W1096">
        <v>3.49635939345109E-2</v>
      </c>
      <c r="X1096">
        <v>-0.19627808847033801</v>
      </c>
      <c r="Y1096">
        <v>-0.57382446736590997</v>
      </c>
      <c r="Z1096">
        <v>-0.74335605457542497</v>
      </c>
      <c r="AA1096">
        <v>-0.53588051656191904</v>
      </c>
      <c r="AB1096">
        <v>3937</v>
      </c>
      <c r="AC1096">
        <v>0</v>
      </c>
      <c r="AD1096">
        <v>1</v>
      </c>
      <c r="AE1096">
        <v>-0.72244456620022002</v>
      </c>
      <c r="AF1096">
        <v>0.50173000935851197</v>
      </c>
      <c r="AG1096">
        <v>-0.55254437043402005</v>
      </c>
      <c r="AH1096">
        <v>-0.35642548318505501</v>
      </c>
      <c r="AI1096">
        <v>0.28529762769752698</v>
      </c>
      <c r="AJ1096">
        <v>-0.95377334957454996</v>
      </c>
      <c r="AK1096">
        <v>47.259622</v>
      </c>
      <c r="AL1096">
        <v>-7.8518000000000004E-2</v>
      </c>
      <c r="AM1096">
        <v>48.927</v>
      </c>
      <c r="AN1096">
        <v>2.1880000000000002</v>
      </c>
    </row>
    <row r="1097" spans="1:40" x14ac:dyDescent="0.35">
      <c r="A1097">
        <v>1352</v>
      </c>
      <c r="B1097">
        <v>57</v>
      </c>
      <c r="C1097" t="s">
        <v>40</v>
      </c>
      <c r="D1097" t="s">
        <v>41</v>
      </c>
      <c r="E1097" t="s">
        <v>42</v>
      </c>
      <c r="F1097" t="s">
        <v>49</v>
      </c>
      <c r="G1097">
        <v>6</v>
      </c>
      <c r="H1097">
        <v>36</v>
      </c>
      <c r="I1097">
        <v>6</v>
      </c>
      <c r="J1097" t="s">
        <v>50</v>
      </c>
      <c r="K1097" t="s">
        <v>46</v>
      </c>
      <c r="L1097" t="s">
        <v>77</v>
      </c>
      <c r="M1097">
        <v>258.08770783519662</v>
      </c>
      <c r="N1097">
        <v>323</v>
      </c>
      <c r="O1097">
        <v>201</v>
      </c>
      <c r="P1097">
        <v>249</v>
      </c>
      <c r="Q1097">
        <v>0</v>
      </c>
      <c r="R1097">
        <v>2.3978952727983707</v>
      </c>
      <c r="S1097">
        <v>5.1416635565026603</v>
      </c>
      <c r="T1097">
        <v>90.472417453603512</v>
      </c>
      <c r="U1097">
        <v>2.7735735584863375</v>
      </c>
      <c r="V1097">
        <v>-0.15231437986527399</v>
      </c>
      <c r="W1097">
        <v>3.49635939345109E-2</v>
      </c>
      <c r="X1097">
        <v>-0.19627808847033801</v>
      </c>
      <c r="Y1097">
        <v>-0.57382446736590997</v>
      </c>
      <c r="Z1097">
        <v>-0.74335605457542497</v>
      </c>
      <c r="AA1097">
        <v>-0.53588051656191904</v>
      </c>
      <c r="AB1097">
        <v>3937</v>
      </c>
      <c r="AC1097">
        <v>0</v>
      </c>
      <c r="AD1097">
        <v>1</v>
      </c>
      <c r="AE1097">
        <v>-0.72244456620022002</v>
      </c>
      <c r="AF1097">
        <v>-0.18190409548992301</v>
      </c>
      <c r="AG1097">
        <v>0.162795564665315</v>
      </c>
      <c r="AH1097">
        <v>3.0395196499420898E-3</v>
      </c>
      <c r="AI1097">
        <v>0.158153608685877</v>
      </c>
      <c r="AJ1097">
        <v>-3.1670693029550702E-2</v>
      </c>
      <c r="AK1097">
        <v>47.259622</v>
      </c>
      <c r="AL1097">
        <v>-7.8518000000000004E-2</v>
      </c>
      <c r="AM1097">
        <v>49.442206599999999</v>
      </c>
      <c r="AN1097">
        <v>1.0985132</v>
      </c>
    </row>
    <row r="1098" spans="1:40" x14ac:dyDescent="0.35">
      <c r="A1098">
        <v>1353</v>
      </c>
      <c r="B1098">
        <v>72</v>
      </c>
      <c r="C1098" t="s">
        <v>40</v>
      </c>
      <c r="D1098" t="s">
        <v>52</v>
      </c>
      <c r="E1098" t="s">
        <v>42</v>
      </c>
      <c r="F1098" t="s">
        <v>49</v>
      </c>
      <c r="G1098">
        <v>3</v>
      </c>
      <c r="H1098">
        <v>9</v>
      </c>
      <c r="I1098">
        <v>6</v>
      </c>
      <c r="J1098" t="s">
        <v>56</v>
      </c>
      <c r="K1098" t="s">
        <v>46</v>
      </c>
      <c r="L1098" t="s">
        <v>78</v>
      </c>
      <c r="M1098">
        <v>103.60701525661391</v>
      </c>
      <c r="N1098">
        <v>166</v>
      </c>
      <c r="O1098">
        <v>185</v>
      </c>
      <c r="P1098">
        <v>623</v>
      </c>
      <c r="Q1098">
        <v>0</v>
      </c>
      <c r="R1098">
        <v>0</v>
      </c>
      <c r="S1098">
        <v>3.784189633918261</v>
      </c>
      <c r="T1098">
        <v>88.642856449106446</v>
      </c>
      <c r="U1098">
        <v>1.0940428522509147</v>
      </c>
      <c r="V1098">
        <v>8.5508000285955607E-3</v>
      </c>
      <c r="W1098">
        <v>-0.51120442009665101</v>
      </c>
      <c r="X1098">
        <v>-0.50395056569549701</v>
      </c>
      <c r="Y1098">
        <v>-1.08176131679965</v>
      </c>
      <c r="Z1098">
        <v>-1.2254354371323599</v>
      </c>
      <c r="AA1098">
        <v>-2.1159072764009799</v>
      </c>
      <c r="AB1098">
        <v>465.17385257301805</v>
      </c>
      <c r="AC1098">
        <v>0.43254520166898469</v>
      </c>
      <c r="AD1098">
        <v>0.43254520166898469</v>
      </c>
      <c r="AE1098">
        <v>7.7424783941295205E-2</v>
      </c>
      <c r="AF1098">
        <v>-2.1204137653149699E-2</v>
      </c>
      <c r="AG1098">
        <v>-0.89471319011836203</v>
      </c>
      <c r="AH1098">
        <v>-3.2046787321836701</v>
      </c>
      <c r="AI1098">
        <v>-2.5629754126353999</v>
      </c>
      <c r="AJ1098">
        <v>0.59885463489694302</v>
      </c>
      <c r="AK1098">
        <v>42.680641999999999</v>
      </c>
      <c r="AL1098">
        <v>9.3018979999999996</v>
      </c>
      <c r="AM1098">
        <v>41.814999999999998</v>
      </c>
      <c r="AN1098">
        <v>8.84</v>
      </c>
    </row>
    <row r="1099" spans="1:40" x14ac:dyDescent="0.35">
      <c r="A1099">
        <v>1354</v>
      </c>
      <c r="B1099">
        <v>57</v>
      </c>
      <c r="C1099" t="s">
        <v>48</v>
      </c>
      <c r="D1099" t="s">
        <v>52</v>
      </c>
      <c r="E1099" t="s">
        <v>42</v>
      </c>
      <c r="F1099" t="s">
        <v>49</v>
      </c>
      <c r="G1099">
        <v>5</v>
      </c>
      <c r="H1099">
        <v>25</v>
      </c>
      <c r="I1099">
        <v>7</v>
      </c>
      <c r="J1099" t="s">
        <v>56</v>
      </c>
      <c r="K1099" t="s">
        <v>46</v>
      </c>
      <c r="L1099" t="s">
        <v>60</v>
      </c>
      <c r="M1099">
        <v>70.633896179640985</v>
      </c>
      <c r="N1099">
        <v>109</v>
      </c>
      <c r="O1099">
        <v>82</v>
      </c>
      <c r="P1099">
        <v>333</v>
      </c>
      <c r="Q1099">
        <v>3.8501476017100584</v>
      </c>
      <c r="R1099">
        <v>2.9957322735539909</v>
      </c>
      <c r="S1099">
        <v>5.4424177105217932</v>
      </c>
      <c r="T1099">
        <v>88.975873222691746</v>
      </c>
      <c r="U1099">
        <v>2.5514539469641888</v>
      </c>
      <c r="V1099">
        <v>2.9336799326863701</v>
      </c>
      <c r="W1099">
        <v>3.3730943146768602</v>
      </c>
      <c r="X1099">
        <v>3.6072071704345601</v>
      </c>
      <c r="Y1099">
        <v>-0.19189497559235799</v>
      </c>
      <c r="Z1099">
        <v>0.17569111512999699</v>
      </c>
      <c r="AA1099">
        <v>-0.304970615080496</v>
      </c>
      <c r="AB1099">
        <v>1906.836709612184</v>
      </c>
      <c r="AC1099">
        <v>0.7978420820676605</v>
      </c>
      <c r="AD1099">
        <v>2.1056638128240834</v>
      </c>
      <c r="AE1099">
        <v>-0.25037207080954499</v>
      </c>
      <c r="AF1099">
        <v>1.0996817729050301</v>
      </c>
      <c r="AG1099">
        <v>0.28013037904507698</v>
      </c>
      <c r="AH1099">
        <v>-0.15466738251856099</v>
      </c>
      <c r="AI1099">
        <v>0.35885984819398298</v>
      </c>
      <c r="AJ1099">
        <v>-0.76025143117204397</v>
      </c>
      <c r="AK1099">
        <v>44.055988999999997</v>
      </c>
      <c r="AL1099">
        <v>4.8317350000000001</v>
      </c>
      <c r="AM1099">
        <v>44.606850000000009</v>
      </c>
      <c r="AN1099">
        <v>4.3914999999999997</v>
      </c>
    </row>
    <row r="1100" spans="1:40" x14ac:dyDescent="0.35">
      <c r="A1100">
        <v>1355</v>
      </c>
      <c r="B1100">
        <v>57</v>
      </c>
      <c r="C1100" t="s">
        <v>40</v>
      </c>
      <c r="D1100" t="s">
        <v>41</v>
      </c>
      <c r="E1100" t="s">
        <v>42</v>
      </c>
      <c r="F1100" t="s">
        <v>49</v>
      </c>
      <c r="G1100">
        <v>4</v>
      </c>
      <c r="H1100">
        <v>16</v>
      </c>
      <c r="I1100">
        <v>3</v>
      </c>
      <c r="J1100" t="s">
        <v>56</v>
      </c>
      <c r="K1100" t="s">
        <v>44</v>
      </c>
      <c r="L1100" t="s">
        <v>69</v>
      </c>
      <c r="M1100">
        <v>278.05088482234089</v>
      </c>
      <c r="N1100">
        <v>346</v>
      </c>
      <c r="O1100">
        <v>190</v>
      </c>
      <c r="P1100">
        <v>154</v>
      </c>
      <c r="Q1100">
        <v>2.3978952727983707</v>
      </c>
      <c r="R1100">
        <v>4.5538768916005408</v>
      </c>
      <c r="S1100">
        <v>5.4847969334906548</v>
      </c>
      <c r="T1100">
        <v>93.296000000000006</v>
      </c>
      <c r="U1100">
        <v>2.2325431437911538</v>
      </c>
      <c r="V1100">
        <v>-0.44922684044461197</v>
      </c>
      <c r="W1100">
        <v>-0.76855194782346203</v>
      </c>
      <c r="X1100">
        <v>-0.44700324392789598</v>
      </c>
      <c r="Y1100">
        <v>-0.846122564821426</v>
      </c>
      <c r="Z1100">
        <v>-0.92679578564836795</v>
      </c>
      <c r="AA1100">
        <v>0.86332342905974202</v>
      </c>
      <c r="AB1100">
        <v>2050</v>
      </c>
      <c r="AC1100">
        <v>1</v>
      </c>
      <c r="AD1100">
        <v>2</v>
      </c>
      <c r="AE1100">
        <v>-0.51011828243844404</v>
      </c>
      <c r="AF1100">
        <v>-0.60371450360757295</v>
      </c>
      <c r="AG1100">
        <v>1.8057378866873699</v>
      </c>
      <c r="AH1100">
        <v>-1.50367819405881</v>
      </c>
      <c r="AI1100">
        <v>-0.58370148313615799</v>
      </c>
      <c r="AJ1100">
        <v>0.469819906351299</v>
      </c>
      <c r="AK1100">
        <v>47.177235000000003</v>
      </c>
      <c r="AL1100">
        <v>4.964315</v>
      </c>
      <c r="AM1100">
        <v>48.898000000000003</v>
      </c>
      <c r="AN1100">
        <v>2.2559999999999998</v>
      </c>
    </row>
    <row r="1101" spans="1:40" x14ac:dyDescent="0.35">
      <c r="A1101">
        <v>1357</v>
      </c>
      <c r="B1101">
        <v>57</v>
      </c>
      <c r="C1101" t="s">
        <v>40</v>
      </c>
      <c r="D1101" t="s">
        <v>41</v>
      </c>
      <c r="E1101" t="s">
        <v>42</v>
      </c>
      <c r="F1101" t="s">
        <v>49</v>
      </c>
      <c r="G1101">
        <v>6</v>
      </c>
      <c r="H1101">
        <v>36</v>
      </c>
      <c r="I1101">
        <v>6</v>
      </c>
      <c r="J1101" t="s">
        <v>50</v>
      </c>
      <c r="K1101" t="s">
        <v>46</v>
      </c>
      <c r="L1101" t="s">
        <v>57</v>
      </c>
      <c r="M1101">
        <v>270.10982779124788</v>
      </c>
      <c r="N1101">
        <v>317</v>
      </c>
      <c r="O1101">
        <v>216</v>
      </c>
      <c r="P1101">
        <v>158</v>
      </c>
      <c r="Q1101">
        <v>0.69314718055994529</v>
      </c>
      <c r="R1101">
        <v>3.6109179126442243</v>
      </c>
      <c r="S1101">
        <v>5.8833223884882786</v>
      </c>
      <c r="T1101">
        <v>90.922105263157903</v>
      </c>
      <c r="U1101">
        <v>2.3923758041545438</v>
      </c>
      <c r="V1101">
        <v>-0.399596989308249</v>
      </c>
      <c r="W1101">
        <v>-0.58810405700346202</v>
      </c>
      <c r="X1101">
        <v>-0.29041857108635599</v>
      </c>
      <c r="Y1101">
        <v>-0.846122564821426</v>
      </c>
      <c r="Z1101">
        <v>-0.92679578564836795</v>
      </c>
      <c r="AA1101">
        <v>0.86332342905974202</v>
      </c>
      <c r="AB1101">
        <v>2050</v>
      </c>
      <c r="AC1101">
        <v>1</v>
      </c>
      <c r="AD1101">
        <v>2</v>
      </c>
      <c r="AE1101">
        <v>-0.51011828243844404</v>
      </c>
      <c r="AF1101">
        <v>-0.55798229758593498</v>
      </c>
      <c r="AG1101">
        <v>-1.3851464668834701</v>
      </c>
      <c r="AH1101">
        <v>1.4692248524495</v>
      </c>
      <c r="AI1101">
        <v>-0.58244515594290502</v>
      </c>
      <c r="AJ1101">
        <v>1.4539452571578499</v>
      </c>
      <c r="AK1101">
        <v>47.023905999999997</v>
      </c>
      <c r="AL1101">
        <v>4.8380429999999999</v>
      </c>
      <c r="AM1101">
        <v>48.792999999999999</v>
      </c>
      <c r="AN1101">
        <v>2.36</v>
      </c>
    </row>
    <row r="1102" spans="1:40" x14ac:dyDescent="0.35">
      <c r="A1102">
        <v>1358</v>
      </c>
      <c r="B1102">
        <v>72</v>
      </c>
      <c r="C1102" t="s">
        <v>40</v>
      </c>
      <c r="D1102" t="s">
        <v>52</v>
      </c>
      <c r="E1102" t="s">
        <v>42</v>
      </c>
      <c r="F1102" t="s">
        <v>43</v>
      </c>
      <c r="G1102">
        <v>3</v>
      </c>
      <c r="H1102">
        <v>9</v>
      </c>
      <c r="I1102">
        <v>6</v>
      </c>
      <c r="J1102" t="s">
        <v>45</v>
      </c>
      <c r="K1102" t="s">
        <v>46</v>
      </c>
      <c r="L1102" t="s">
        <v>58</v>
      </c>
      <c r="M1102">
        <v>254.44676120113519</v>
      </c>
      <c r="N1102">
        <v>298</v>
      </c>
      <c r="O1102">
        <v>209</v>
      </c>
      <c r="P1102">
        <v>231</v>
      </c>
      <c r="Q1102">
        <v>3.2580965380214821</v>
      </c>
      <c r="R1102">
        <v>2.8903717578961645</v>
      </c>
      <c r="S1102">
        <v>4.7535901911063645</v>
      </c>
      <c r="T1102">
        <v>90.794285714285706</v>
      </c>
      <c r="U1102">
        <v>0</v>
      </c>
      <c r="V1102">
        <v>0.63905639120027702</v>
      </c>
      <c r="W1102">
        <v>0.692565001186083</v>
      </c>
      <c r="X1102">
        <v>0.56469097254324596</v>
      </c>
      <c r="Y1102">
        <v>1.4483117406157899</v>
      </c>
      <c r="Z1102">
        <v>1.7680602694732599</v>
      </c>
      <c r="AA1102">
        <v>0.26366440732357699</v>
      </c>
      <c r="AB1102">
        <v>4236</v>
      </c>
      <c r="AC1102">
        <v>0</v>
      </c>
      <c r="AD1102">
        <v>4</v>
      </c>
      <c r="AE1102">
        <v>1.6751267091712101</v>
      </c>
      <c r="AF1102">
        <v>-1.2400200302046001</v>
      </c>
      <c r="AG1102">
        <v>0.55704447945867896</v>
      </c>
      <c r="AH1102">
        <v>1.27117790944858</v>
      </c>
      <c r="AI1102">
        <v>-1.6026098930266599</v>
      </c>
      <c r="AJ1102">
        <v>-2.2458009655536699</v>
      </c>
      <c r="AK1102">
        <v>45.198478000000001</v>
      </c>
      <c r="AL1102">
        <v>-0.74874399999999997</v>
      </c>
      <c r="AM1102">
        <v>43.235894736842113</v>
      </c>
      <c r="AN1102">
        <v>0.88642105263157911</v>
      </c>
    </row>
    <row r="1103" spans="1:40" x14ac:dyDescent="0.35">
      <c r="A1103">
        <v>1359</v>
      </c>
      <c r="B1103">
        <v>57</v>
      </c>
      <c r="C1103" t="s">
        <v>40</v>
      </c>
      <c r="D1103" t="s">
        <v>66</v>
      </c>
      <c r="E1103" t="s">
        <v>42</v>
      </c>
      <c r="F1103" t="s">
        <v>49</v>
      </c>
      <c r="G1103">
        <v>5</v>
      </c>
      <c r="H1103">
        <v>25</v>
      </c>
      <c r="I1103">
        <v>5</v>
      </c>
      <c r="J1103" t="s">
        <v>45</v>
      </c>
      <c r="K1103" t="s">
        <v>46</v>
      </c>
      <c r="L1103" t="s">
        <v>71</v>
      </c>
      <c r="M1103">
        <v>469.5502165293679</v>
      </c>
      <c r="N1103">
        <v>133</v>
      </c>
      <c r="O1103">
        <v>85</v>
      </c>
      <c r="P1103">
        <v>115</v>
      </c>
      <c r="Q1103">
        <v>4.5747109785033828</v>
      </c>
      <c r="R1103">
        <v>3.5263605246161616</v>
      </c>
      <c r="S1103">
        <v>5.1416635565026603</v>
      </c>
      <c r="T1103">
        <v>92.265120976563693</v>
      </c>
      <c r="U1103">
        <v>2.9351954657362995</v>
      </c>
      <c r="V1103">
        <v>-8.3509539921858403E-2</v>
      </c>
      <c r="W1103">
        <v>-8.6188355584626702E-2</v>
      </c>
      <c r="X1103">
        <v>-6.2117403422328299E-2</v>
      </c>
      <c r="Y1103">
        <v>-0.51135009403950604</v>
      </c>
      <c r="Z1103">
        <v>-0.669554030021006</v>
      </c>
      <c r="AA1103">
        <v>-1.4915282051312999</v>
      </c>
      <c r="AB1103">
        <v>1813.5248996931791</v>
      </c>
      <c r="AC1103">
        <v>1.6535284399339156</v>
      </c>
      <c r="AD1103">
        <v>0.49421760679726223</v>
      </c>
      <c r="AE1103">
        <v>-0.18520258641298501</v>
      </c>
      <c r="AF1103">
        <v>1.19427652449</v>
      </c>
      <c r="AG1103">
        <v>0.28782734115530501</v>
      </c>
      <c r="AH1103">
        <v>3.04820767157883E-2</v>
      </c>
      <c r="AI1103">
        <v>1.2847830747112801</v>
      </c>
      <c r="AJ1103">
        <v>0.64570393262453796</v>
      </c>
      <c r="AK1103">
        <v>45.071283999999999</v>
      </c>
      <c r="AL1103">
        <v>4.8370730000000002</v>
      </c>
      <c r="AM1103">
        <v>48.915000000000006</v>
      </c>
      <c r="AN1103">
        <v>2.2879999999999998</v>
      </c>
    </row>
    <row r="1104" spans="1:40" x14ac:dyDescent="0.35">
      <c r="A1104">
        <v>1360</v>
      </c>
      <c r="B1104">
        <v>57</v>
      </c>
      <c r="C1104" t="s">
        <v>40</v>
      </c>
      <c r="D1104" t="s">
        <v>66</v>
      </c>
      <c r="E1104" t="s">
        <v>42</v>
      </c>
      <c r="F1104" t="s">
        <v>61</v>
      </c>
      <c r="G1104">
        <v>6</v>
      </c>
      <c r="H1104">
        <v>36</v>
      </c>
      <c r="I1104">
        <v>7</v>
      </c>
      <c r="J1104" t="s">
        <v>50</v>
      </c>
      <c r="K1104" t="s">
        <v>46</v>
      </c>
      <c r="L1104" t="s">
        <v>72</v>
      </c>
      <c r="M1104">
        <v>485.25905051031413</v>
      </c>
      <c r="N1104">
        <v>581</v>
      </c>
      <c r="O1104">
        <v>359</v>
      </c>
      <c r="P1104">
        <v>365</v>
      </c>
      <c r="Q1104">
        <v>0.69314718055994529</v>
      </c>
      <c r="R1104">
        <v>1.3862943611198906</v>
      </c>
      <c r="S1104">
        <v>4.5538768916005408</v>
      </c>
      <c r="T1104">
        <v>89.340161030595823</v>
      </c>
      <c r="U1104">
        <v>1.4712304197281412</v>
      </c>
      <c r="V1104">
        <v>0.59716251398508702</v>
      </c>
      <c r="W1104">
        <v>0.91068296986709796</v>
      </c>
      <c r="X1104">
        <v>1.2273243988355</v>
      </c>
      <c r="Y1104">
        <v>-0.4121809470949</v>
      </c>
      <c r="Z1104">
        <v>-0.86472582726521097</v>
      </c>
      <c r="AA1104">
        <v>-1.0172779374790899</v>
      </c>
      <c r="AB1104">
        <v>1828.1689246701658</v>
      </c>
      <c r="AC1104">
        <v>1.1127464888636687</v>
      </c>
      <c r="AD1104">
        <v>1.8630656830756136</v>
      </c>
      <c r="AE1104">
        <v>-0.53926882203722504</v>
      </c>
      <c r="AF1104">
        <v>0.79582273732958797</v>
      </c>
      <c r="AG1104">
        <v>-0.36552976601665199</v>
      </c>
      <c r="AH1104">
        <v>0.30032447308140298</v>
      </c>
      <c r="AI1104">
        <v>0.334530710004872</v>
      </c>
      <c r="AJ1104">
        <v>-0.241525369511634</v>
      </c>
      <c r="AK1104">
        <v>44.503641999999999</v>
      </c>
      <c r="AL1104">
        <v>1.1863669999999999</v>
      </c>
      <c r="AM1104">
        <v>48.804000000000002</v>
      </c>
      <c r="AN1104">
        <v>2.2269999999999999</v>
      </c>
    </row>
    <row r="1105" spans="1:40" x14ac:dyDescent="0.35">
      <c r="A1105">
        <v>1361</v>
      </c>
      <c r="B1105">
        <v>57</v>
      </c>
      <c r="C1105" t="s">
        <v>40</v>
      </c>
      <c r="D1105" t="s">
        <v>52</v>
      </c>
      <c r="E1105" t="s">
        <v>42</v>
      </c>
      <c r="F1105" t="s">
        <v>49</v>
      </c>
      <c r="G1105">
        <v>4</v>
      </c>
      <c r="H1105">
        <v>16</v>
      </c>
      <c r="I1105">
        <v>5</v>
      </c>
      <c r="J1105" t="s">
        <v>56</v>
      </c>
      <c r="K1105" t="s">
        <v>46</v>
      </c>
      <c r="L1105" t="s">
        <v>55</v>
      </c>
      <c r="M1105">
        <v>552.94465655862359</v>
      </c>
      <c r="N1105">
        <v>655</v>
      </c>
      <c r="O1105">
        <v>407</v>
      </c>
      <c r="P1105">
        <v>601</v>
      </c>
      <c r="Q1105">
        <v>2.0794415416798357</v>
      </c>
      <c r="R1105">
        <v>2.3025850929940459</v>
      </c>
      <c r="S1105">
        <v>3.2580965380214821</v>
      </c>
      <c r="T1105">
        <v>95.12</v>
      </c>
      <c r="U1105">
        <v>0</v>
      </c>
      <c r="V1105">
        <v>1.89305099905856</v>
      </c>
      <c r="W1105">
        <v>0.59880690621441701</v>
      </c>
      <c r="X1105">
        <v>1.1856460040685599</v>
      </c>
      <c r="Y1105">
        <v>-0.15565097555555901</v>
      </c>
      <c r="Z1105">
        <v>-0.22748295097212001</v>
      </c>
      <c r="AA1105">
        <v>1.0415013010201299</v>
      </c>
      <c r="AB1105">
        <v>2939.9504036908884</v>
      </c>
      <c r="AC1105">
        <v>2</v>
      </c>
      <c r="AD1105">
        <v>0.42868127643214149</v>
      </c>
      <c r="AE1105">
        <v>-2.40641039566141E-2</v>
      </c>
      <c r="AF1105">
        <v>-0.98984620263977097</v>
      </c>
      <c r="AG1105">
        <v>1.7068824357713299</v>
      </c>
      <c r="AH1105">
        <v>-1.85211504077645</v>
      </c>
      <c r="AI1105">
        <v>-0.83557702471059903</v>
      </c>
      <c r="AJ1105">
        <v>5.8345752862497102E-2</v>
      </c>
      <c r="AK1105">
        <v>48.0777517</v>
      </c>
      <c r="AL1105">
        <v>7.3579641000000002</v>
      </c>
      <c r="AM1105">
        <v>45.143999999999998</v>
      </c>
      <c r="AN1105">
        <v>1.5189999999999999</v>
      </c>
    </row>
    <row r="1106" spans="1:40" x14ac:dyDescent="0.35">
      <c r="A1106">
        <v>1362</v>
      </c>
      <c r="B1106">
        <v>72</v>
      </c>
      <c r="C1106" t="s">
        <v>40</v>
      </c>
      <c r="D1106" t="s">
        <v>52</v>
      </c>
      <c r="E1106" t="s">
        <v>42</v>
      </c>
      <c r="F1106" t="s">
        <v>49</v>
      </c>
      <c r="G1106">
        <v>5</v>
      </c>
      <c r="H1106">
        <v>25</v>
      </c>
      <c r="I1106">
        <v>7</v>
      </c>
      <c r="J1106" t="s">
        <v>56</v>
      </c>
      <c r="K1106" t="s">
        <v>46</v>
      </c>
      <c r="L1106" t="s">
        <v>62</v>
      </c>
      <c r="M1106">
        <v>426.33205125238538</v>
      </c>
      <c r="N1106">
        <v>571</v>
      </c>
      <c r="O1106">
        <v>300</v>
      </c>
      <c r="P1106">
        <v>375</v>
      </c>
      <c r="Q1106">
        <v>0.69314718055994529</v>
      </c>
      <c r="R1106">
        <v>3.2580965380214821</v>
      </c>
      <c r="S1106">
        <v>3.2580965380214821</v>
      </c>
      <c r="T1106">
        <v>95.68</v>
      </c>
      <c r="U1106">
        <v>0</v>
      </c>
      <c r="V1106">
        <v>1.82802042479695</v>
      </c>
      <c r="W1106">
        <v>0.99424279543483596</v>
      </c>
      <c r="X1106">
        <v>0.99177342203587404</v>
      </c>
      <c r="Y1106">
        <v>-0.96278755162326501</v>
      </c>
      <c r="Z1106">
        <v>-0.75605764486205096</v>
      </c>
      <c r="AA1106">
        <v>-0.80037586101695801</v>
      </c>
      <c r="AB1106">
        <v>2092.91</v>
      </c>
      <c r="AC1106">
        <v>0</v>
      </c>
      <c r="AD1106">
        <v>2.1</v>
      </c>
      <c r="AE1106">
        <v>-1.0768626388726401</v>
      </c>
      <c r="AF1106">
        <v>-0.42412749496339902</v>
      </c>
      <c r="AG1106">
        <v>1.04198898606642</v>
      </c>
      <c r="AH1106">
        <v>-1.54859196437429</v>
      </c>
      <c r="AI1106">
        <v>-1.76157287825696</v>
      </c>
      <c r="AJ1106">
        <v>0.52256797281714595</v>
      </c>
      <c r="AK1106">
        <v>49.042560999999999</v>
      </c>
      <c r="AL1106">
        <v>3.9528660000000002</v>
      </c>
      <c r="AM1106">
        <v>45.261499999999998</v>
      </c>
      <c r="AN1106">
        <v>4.8492499999999996</v>
      </c>
    </row>
    <row r="1107" spans="1:40" x14ac:dyDescent="0.35">
      <c r="A1107">
        <v>1364</v>
      </c>
      <c r="B1107">
        <v>72</v>
      </c>
      <c r="C1107" t="s">
        <v>40</v>
      </c>
      <c r="D1107" t="s">
        <v>52</v>
      </c>
      <c r="E1107" t="s">
        <v>42</v>
      </c>
      <c r="F1107" t="s">
        <v>49</v>
      </c>
      <c r="G1107">
        <v>4</v>
      </c>
      <c r="H1107">
        <v>16</v>
      </c>
      <c r="I1107">
        <v>7</v>
      </c>
      <c r="J1107" t="s">
        <v>56</v>
      </c>
      <c r="K1107" t="s">
        <v>46</v>
      </c>
      <c r="L1107" t="s">
        <v>72</v>
      </c>
      <c r="M1107">
        <v>492.64404854898049</v>
      </c>
      <c r="N1107">
        <v>576</v>
      </c>
      <c r="O1107">
        <v>361</v>
      </c>
      <c r="P1107">
        <v>326</v>
      </c>
      <c r="Q1107">
        <v>0.69314718055994529</v>
      </c>
      <c r="R1107">
        <v>1.3862943611198906</v>
      </c>
      <c r="S1107">
        <v>4.5538768916005408</v>
      </c>
      <c r="T1107">
        <v>89.340161030595823</v>
      </c>
      <c r="U1107">
        <v>1.4712304197281412</v>
      </c>
      <c r="V1107">
        <v>0.59716251398508702</v>
      </c>
      <c r="W1107">
        <v>0.91068296986709796</v>
      </c>
      <c r="X1107">
        <v>1.2273243988355</v>
      </c>
      <c r="Y1107">
        <v>-0.4121809470949</v>
      </c>
      <c r="Z1107">
        <v>-0.86472582726521097</v>
      </c>
      <c r="AA1107">
        <v>-1.0172779374790899</v>
      </c>
      <c r="AB1107">
        <v>1828.1689246701658</v>
      </c>
      <c r="AC1107">
        <v>1.1127464888636687</v>
      </c>
      <c r="AD1107">
        <v>1.8630656830756136</v>
      </c>
      <c r="AE1107">
        <v>-0.53926882203722504</v>
      </c>
      <c r="AF1107">
        <v>-0.221485758468426</v>
      </c>
      <c r="AG1107">
        <v>-0.55485626567208701</v>
      </c>
      <c r="AH1107">
        <v>-0.33588769357241599</v>
      </c>
      <c r="AI1107">
        <v>-0.83689947896177397</v>
      </c>
      <c r="AJ1107">
        <v>-1.09546025063963</v>
      </c>
      <c r="AK1107">
        <v>44.503641999999999</v>
      </c>
      <c r="AL1107">
        <v>1.1863669999999999</v>
      </c>
      <c r="AM1107">
        <v>48.856372813999997</v>
      </c>
      <c r="AN1107">
        <v>2.3525296170000001</v>
      </c>
    </row>
    <row r="1108" spans="1:40" x14ac:dyDescent="0.35">
      <c r="A1108">
        <v>1365</v>
      </c>
      <c r="B1108">
        <v>57</v>
      </c>
      <c r="C1108" t="s">
        <v>40</v>
      </c>
      <c r="D1108" t="s">
        <v>52</v>
      </c>
      <c r="E1108" t="s">
        <v>68</v>
      </c>
      <c r="F1108" t="s">
        <v>49</v>
      </c>
      <c r="G1108">
        <v>5</v>
      </c>
      <c r="H1108">
        <v>25</v>
      </c>
      <c r="I1108">
        <v>4</v>
      </c>
      <c r="J1108" t="s">
        <v>50</v>
      </c>
      <c r="K1108" t="s">
        <v>46</v>
      </c>
      <c r="L1108" t="s">
        <v>60</v>
      </c>
      <c r="M1108">
        <v>733.1172243891192</v>
      </c>
      <c r="N1108">
        <v>927</v>
      </c>
      <c r="O1108">
        <v>564</v>
      </c>
      <c r="P1108">
        <v>468</v>
      </c>
      <c r="Q1108">
        <v>3.8501476017100584</v>
      </c>
      <c r="R1108">
        <v>2.9957322735539909</v>
      </c>
      <c r="S1108">
        <v>5.4424177105217932</v>
      </c>
      <c r="T1108">
        <v>88.975873222691746</v>
      </c>
      <c r="U1108">
        <v>2.5514539469641888</v>
      </c>
      <c r="V1108">
        <v>2.9336799326863701</v>
      </c>
      <c r="W1108">
        <v>3.3730943146768602</v>
      </c>
      <c r="X1108">
        <v>3.6072071704345601</v>
      </c>
      <c r="Y1108">
        <v>-0.19189497559235799</v>
      </c>
      <c r="Z1108">
        <v>0.17569111512999699</v>
      </c>
      <c r="AA1108">
        <v>-0.304970615080496</v>
      </c>
      <c r="AB1108">
        <v>1906.836709612184</v>
      </c>
      <c r="AC1108">
        <v>0.7978420820676605</v>
      </c>
      <c r="AD1108">
        <v>2.1056638128240834</v>
      </c>
      <c r="AE1108">
        <v>-0.25037207080954499</v>
      </c>
      <c r="AF1108">
        <v>-1.6261123740580301</v>
      </c>
      <c r="AG1108">
        <v>0.34448837439567997</v>
      </c>
      <c r="AH1108">
        <v>1.2263875769866399</v>
      </c>
      <c r="AI1108">
        <v>-0.29586565140737597</v>
      </c>
      <c r="AJ1108">
        <v>0.41666355301858299</v>
      </c>
      <c r="AK1108">
        <v>44.055988999999997</v>
      </c>
      <c r="AL1108">
        <v>4.8317350000000001</v>
      </c>
      <c r="AM1108">
        <v>50.640682937000001</v>
      </c>
      <c r="AN1108">
        <v>4.6610704270000003</v>
      </c>
    </row>
    <row r="1109" spans="1:40" x14ac:dyDescent="0.35">
      <c r="A1109">
        <v>1366</v>
      </c>
      <c r="B1109">
        <v>29.5</v>
      </c>
      <c r="C1109" t="s">
        <v>48</v>
      </c>
      <c r="D1109" t="s">
        <v>66</v>
      </c>
      <c r="E1109" t="s">
        <v>42</v>
      </c>
      <c r="F1109" t="s">
        <v>49</v>
      </c>
      <c r="G1109">
        <v>5</v>
      </c>
      <c r="H1109">
        <v>25</v>
      </c>
      <c r="I1109">
        <v>4</v>
      </c>
      <c r="J1109" t="s">
        <v>56</v>
      </c>
      <c r="K1109" t="s">
        <v>46</v>
      </c>
      <c r="L1109" t="s">
        <v>59</v>
      </c>
      <c r="M1109">
        <v>346.71895580679609</v>
      </c>
      <c r="N1109">
        <v>471</v>
      </c>
      <c r="O1109">
        <v>284</v>
      </c>
      <c r="P1109">
        <v>258</v>
      </c>
      <c r="Q1109">
        <v>1.3862943611198906</v>
      </c>
      <c r="R1109">
        <v>1.3862943611198906</v>
      </c>
      <c r="S1109">
        <v>4.9972122737641147</v>
      </c>
      <c r="T1109">
        <v>90.035146103896111</v>
      </c>
      <c r="U1109">
        <v>1.418823059726001</v>
      </c>
      <c r="V1109">
        <v>-0.52223564926899602</v>
      </c>
      <c r="W1109">
        <v>-0.46072710968150399</v>
      </c>
      <c r="X1109">
        <v>-0.361786268345754</v>
      </c>
      <c r="Y1109">
        <v>-0.552694479448822</v>
      </c>
      <c r="Z1109">
        <v>2.1676297177028899E-2</v>
      </c>
      <c r="AA1109">
        <v>0.625223797005378</v>
      </c>
      <c r="AB1109">
        <v>2234.6992515788952</v>
      </c>
      <c r="AC1109">
        <v>0</v>
      </c>
      <c r="AD1109">
        <v>0.12112735591028891</v>
      </c>
      <c r="AE1109">
        <v>-0.60610368582010199</v>
      </c>
      <c r="AF1109">
        <v>0.46036246548763399</v>
      </c>
      <c r="AG1109">
        <v>-0.391956145270144</v>
      </c>
      <c r="AH1109">
        <v>1.0822150476583501</v>
      </c>
      <c r="AI1109">
        <v>1.3712136295674899</v>
      </c>
      <c r="AJ1109">
        <v>-0.107176556892359</v>
      </c>
      <c r="AK1109">
        <v>47.411035099999999</v>
      </c>
      <c r="AL1109">
        <v>0.98369799999999996</v>
      </c>
      <c r="AM1109">
        <v>45.767306300000001</v>
      </c>
      <c r="AN1109">
        <v>4.8343065000000003</v>
      </c>
    </row>
    <row r="1110" spans="1:40" x14ac:dyDescent="0.35">
      <c r="A1110">
        <v>1369</v>
      </c>
      <c r="B1110">
        <v>72</v>
      </c>
      <c r="C1110" t="s">
        <v>40</v>
      </c>
      <c r="D1110" t="s">
        <v>52</v>
      </c>
      <c r="E1110" t="s">
        <v>42</v>
      </c>
      <c r="F1110" t="s">
        <v>49</v>
      </c>
      <c r="G1110">
        <v>4</v>
      </c>
      <c r="H1110">
        <v>16</v>
      </c>
      <c r="I1110">
        <v>5</v>
      </c>
      <c r="J1110" t="s">
        <v>56</v>
      </c>
      <c r="K1110" t="s">
        <v>46</v>
      </c>
      <c r="L1110" t="s">
        <v>60</v>
      </c>
      <c r="M1110">
        <v>174.32930941834331</v>
      </c>
      <c r="N1110">
        <v>216</v>
      </c>
      <c r="O1110">
        <v>162</v>
      </c>
      <c r="P1110">
        <v>144</v>
      </c>
      <c r="Q1110">
        <v>3.8501476017100584</v>
      </c>
      <c r="R1110">
        <v>2.9957322735539909</v>
      </c>
      <c r="S1110">
        <v>5.4424177105217932</v>
      </c>
      <c r="T1110">
        <v>88.975873222691746</v>
      </c>
      <c r="U1110">
        <v>2.5514539469641888</v>
      </c>
      <c r="V1110">
        <v>2.9336799326863701</v>
      </c>
      <c r="W1110">
        <v>3.3730943146768602</v>
      </c>
      <c r="X1110">
        <v>3.6072071704345601</v>
      </c>
      <c r="Y1110">
        <v>-0.19189497559235799</v>
      </c>
      <c r="Z1110">
        <v>0.17569111512999699</v>
      </c>
      <c r="AA1110">
        <v>-0.304970615080496</v>
      </c>
      <c r="AB1110">
        <v>1906.836709612184</v>
      </c>
      <c r="AC1110">
        <v>0.7978420820676605</v>
      </c>
      <c r="AD1110">
        <v>2.1056638128240834</v>
      </c>
      <c r="AE1110">
        <v>-0.25037207080954499</v>
      </c>
      <c r="AF1110">
        <v>7.2035308612953194E-2</v>
      </c>
      <c r="AG1110">
        <v>0.66858177514239003</v>
      </c>
      <c r="AH1110">
        <v>-1.16787830841883</v>
      </c>
      <c r="AI1110">
        <v>0.85694138958223498</v>
      </c>
      <c r="AJ1110">
        <v>0.52750711397485195</v>
      </c>
      <c r="AK1110">
        <v>44.055988999999997</v>
      </c>
      <c r="AL1110">
        <v>4.8317350000000001</v>
      </c>
      <c r="AM1110">
        <v>45.621999999999993</v>
      </c>
      <c r="AN1110">
        <v>4.8416666666666677</v>
      </c>
    </row>
    <row r="1111" spans="1:40" x14ac:dyDescent="0.35">
      <c r="A1111">
        <v>1370</v>
      </c>
      <c r="B1111">
        <v>72</v>
      </c>
      <c r="C1111" t="s">
        <v>40</v>
      </c>
      <c r="D1111" t="s">
        <v>52</v>
      </c>
      <c r="E1111" t="s">
        <v>42</v>
      </c>
      <c r="F1111" t="s">
        <v>49</v>
      </c>
      <c r="G1111">
        <v>5</v>
      </c>
      <c r="H1111">
        <v>25</v>
      </c>
      <c r="I1111">
        <v>6</v>
      </c>
      <c r="J1111" t="s">
        <v>56</v>
      </c>
      <c r="K1111" t="s">
        <v>46</v>
      </c>
      <c r="L1111" t="s">
        <v>67</v>
      </c>
      <c r="M1111">
        <v>63.714267826232927</v>
      </c>
      <c r="N1111">
        <v>73</v>
      </c>
      <c r="O1111">
        <v>50</v>
      </c>
      <c r="P1111">
        <v>47</v>
      </c>
      <c r="Q1111">
        <v>0</v>
      </c>
      <c r="R1111">
        <v>1.0986122886681098</v>
      </c>
      <c r="S1111">
        <v>4.499809670330265</v>
      </c>
      <c r="T1111">
        <v>90.053710317460329</v>
      </c>
      <c r="U1111">
        <v>1.5728028449904734</v>
      </c>
      <c r="V1111">
        <v>-0.577850340007529</v>
      </c>
      <c r="W1111">
        <v>-0.32460727773589898</v>
      </c>
      <c r="X1111">
        <v>-0.54369568891204501</v>
      </c>
      <c r="Y1111">
        <v>-0.77598924050104101</v>
      </c>
      <c r="Z1111">
        <v>0.47668876811384397</v>
      </c>
      <c r="AA1111">
        <v>0.85617757356637403</v>
      </c>
      <c r="AB1111">
        <v>2565</v>
      </c>
      <c r="AC1111">
        <v>1</v>
      </c>
      <c r="AD1111">
        <v>0</v>
      </c>
      <c r="AE1111">
        <v>-0.72514205471140702</v>
      </c>
      <c r="AF1111">
        <v>0.73604956012742695</v>
      </c>
      <c r="AG1111">
        <v>0.51987047505074002</v>
      </c>
      <c r="AH1111">
        <v>-1.3005552262848901</v>
      </c>
      <c r="AI1111">
        <v>0.26429085374566602</v>
      </c>
      <c r="AJ1111">
        <v>-1.41108709600884</v>
      </c>
      <c r="AK1111">
        <v>46.303668000000002</v>
      </c>
      <c r="AL1111">
        <v>4.8322269999999996</v>
      </c>
      <c r="AM1111">
        <v>45.734000000000002</v>
      </c>
      <c r="AN1111">
        <v>4.9119999999999999</v>
      </c>
    </row>
    <row r="1112" spans="1:40" x14ac:dyDescent="0.35">
      <c r="A1112">
        <v>1371</v>
      </c>
      <c r="B1112">
        <v>72</v>
      </c>
      <c r="C1112" t="s">
        <v>40</v>
      </c>
      <c r="D1112" t="s">
        <v>52</v>
      </c>
      <c r="E1112" t="s">
        <v>42</v>
      </c>
      <c r="F1112" t="s">
        <v>49</v>
      </c>
      <c r="G1112">
        <v>3</v>
      </c>
      <c r="H1112">
        <v>9</v>
      </c>
      <c r="I1112">
        <v>7</v>
      </c>
      <c r="J1112" t="s">
        <v>56</v>
      </c>
      <c r="K1112" t="s">
        <v>46</v>
      </c>
      <c r="L1112" t="s">
        <v>76</v>
      </c>
      <c r="M1112">
        <v>174.75499131198231</v>
      </c>
      <c r="N1112">
        <v>211</v>
      </c>
      <c r="O1112">
        <v>159</v>
      </c>
      <c r="P1112">
        <v>171</v>
      </c>
      <c r="Q1112">
        <v>0</v>
      </c>
      <c r="R1112">
        <v>1.0986122886681098</v>
      </c>
      <c r="S1112">
        <v>4.1588830833596715</v>
      </c>
      <c r="T1112">
        <v>91.226666666666674</v>
      </c>
      <c r="U1112">
        <v>1.418823059726001</v>
      </c>
      <c r="V1112">
        <v>-0.39095273818515502</v>
      </c>
      <c r="W1112">
        <v>-0.53446083104759001</v>
      </c>
      <c r="X1112">
        <v>-0.40804429067029002</v>
      </c>
      <c r="Y1112">
        <v>-0.56789545922357498</v>
      </c>
      <c r="Z1112">
        <v>-0.94760790482486201</v>
      </c>
      <c r="AA1112">
        <v>-1.0848673571571601</v>
      </c>
      <c r="AB1112">
        <v>1770.5103102717287</v>
      </c>
      <c r="AC1112">
        <v>0.28213528618230871</v>
      </c>
      <c r="AD1112">
        <v>1.7130468298323378</v>
      </c>
      <c r="AE1112">
        <v>-1.13486126839574</v>
      </c>
      <c r="AF1112">
        <v>-0.282288304782148</v>
      </c>
      <c r="AG1112">
        <v>-1.2403285345339501</v>
      </c>
      <c r="AH1112">
        <v>0.95326773480206695</v>
      </c>
      <c r="AI1112">
        <v>-2.4958403203445401</v>
      </c>
      <c r="AJ1112">
        <v>0.83209601362500396</v>
      </c>
      <c r="AK1112">
        <v>47.330690599999997</v>
      </c>
      <c r="AL1112">
        <v>2.8390453999999998</v>
      </c>
      <c r="AM1112">
        <v>48.884999999999998</v>
      </c>
      <c r="AN1112">
        <v>2.5089999999999999</v>
      </c>
    </row>
    <row r="1113" spans="1:40" x14ac:dyDescent="0.35">
      <c r="A1113">
        <v>1372</v>
      </c>
      <c r="B1113">
        <v>42</v>
      </c>
      <c r="C1113" t="s">
        <v>48</v>
      </c>
      <c r="D1113" t="s">
        <v>41</v>
      </c>
      <c r="E1113" t="s">
        <v>42</v>
      </c>
      <c r="F1113" t="s">
        <v>43</v>
      </c>
      <c r="G1113">
        <v>5</v>
      </c>
      <c r="H1113">
        <v>25</v>
      </c>
      <c r="I1113">
        <v>4</v>
      </c>
      <c r="J1113" t="s">
        <v>45</v>
      </c>
      <c r="K1113" t="s">
        <v>46</v>
      </c>
      <c r="L1113" t="s">
        <v>74</v>
      </c>
      <c r="M1113">
        <v>115.1379610469874</v>
      </c>
      <c r="N1113">
        <v>146</v>
      </c>
      <c r="O1113">
        <v>105</v>
      </c>
      <c r="P1113">
        <v>89</v>
      </c>
      <c r="Q1113">
        <v>1.6094379124341003</v>
      </c>
      <c r="R1113">
        <v>2.5649493574615367</v>
      </c>
      <c r="S1113">
        <v>4.8202815656050371</v>
      </c>
      <c r="T1113">
        <v>91.984920634920627</v>
      </c>
      <c r="U1113">
        <v>1.0351430572167302</v>
      </c>
      <c r="V1113">
        <v>-0.45376679124596098</v>
      </c>
      <c r="W1113">
        <v>-0.56138574648679695</v>
      </c>
      <c r="X1113">
        <v>-0.92192590083580195</v>
      </c>
      <c r="Y1113">
        <v>-1.17232967929859</v>
      </c>
      <c r="Z1113">
        <v>-0.98267194414701198</v>
      </c>
      <c r="AA1113">
        <v>-0.89586780259421905</v>
      </c>
      <c r="AB1113">
        <v>1270</v>
      </c>
      <c r="AC1113">
        <v>3</v>
      </c>
      <c r="AD1113">
        <v>1</v>
      </c>
      <c r="AE1113">
        <v>-1.1438350904766701</v>
      </c>
      <c r="AF1113">
        <v>-0.38568576814427302</v>
      </c>
      <c r="AG1113">
        <v>-1.0574392811544999</v>
      </c>
      <c r="AH1113">
        <v>-3.3095532247736399</v>
      </c>
      <c r="AI1113">
        <v>0.74455059015688696</v>
      </c>
      <c r="AJ1113">
        <v>-0.34160478409981299</v>
      </c>
      <c r="AK1113">
        <v>46.672161000000003</v>
      </c>
      <c r="AL1113">
        <v>5.558465</v>
      </c>
      <c r="AM1113">
        <v>45.767306300000001</v>
      </c>
      <c r="AN1113">
        <v>4.8343065000000003</v>
      </c>
    </row>
    <row r="1114" spans="1:40" x14ac:dyDescent="0.35">
      <c r="A1114">
        <v>1373</v>
      </c>
      <c r="B1114">
        <v>57</v>
      </c>
      <c r="C1114" t="s">
        <v>40</v>
      </c>
      <c r="D1114" t="s">
        <v>41</v>
      </c>
      <c r="E1114" t="s">
        <v>42</v>
      </c>
      <c r="F1114" t="s">
        <v>49</v>
      </c>
      <c r="G1114">
        <v>4</v>
      </c>
      <c r="H1114">
        <v>16</v>
      </c>
      <c r="I1114">
        <v>4</v>
      </c>
      <c r="J1114" t="s">
        <v>56</v>
      </c>
      <c r="K1114" t="s">
        <v>46</v>
      </c>
      <c r="L1114" t="s">
        <v>65</v>
      </c>
      <c r="M1114">
        <v>671.23208171923795</v>
      </c>
      <c r="N1114">
        <v>869</v>
      </c>
      <c r="O1114">
        <v>423</v>
      </c>
      <c r="P1114">
        <v>323</v>
      </c>
      <c r="Q1114">
        <v>0</v>
      </c>
      <c r="R1114">
        <v>0</v>
      </c>
      <c r="S1114">
        <v>4.4543472962535073</v>
      </c>
      <c r="T1114">
        <v>89.333044733044744</v>
      </c>
      <c r="U1114">
        <v>1.2554235437523662</v>
      </c>
      <c r="V1114">
        <v>1.64975517953679</v>
      </c>
      <c r="W1114">
        <v>2.4220969657957299</v>
      </c>
      <c r="X1114">
        <v>1.68128863126442</v>
      </c>
      <c r="Y1114">
        <v>2.0553398017137301</v>
      </c>
      <c r="Z1114">
        <v>2.0921400018840099</v>
      </c>
      <c r="AA1114">
        <v>2.0596698968962701</v>
      </c>
      <c r="AB1114">
        <v>3262.71</v>
      </c>
      <c r="AC1114">
        <v>0.33</v>
      </c>
      <c r="AD1114">
        <v>0.66</v>
      </c>
      <c r="AE1114">
        <v>1.9221838973381</v>
      </c>
      <c r="AF1114">
        <v>0.18300149338475</v>
      </c>
      <c r="AG1114">
        <v>0.41625314587971202</v>
      </c>
      <c r="AH1114">
        <v>-1.9290771147304999</v>
      </c>
      <c r="AI1114">
        <v>-0.23142436532048</v>
      </c>
      <c r="AJ1114">
        <v>-0.20299275766547301</v>
      </c>
      <c r="AK1114">
        <v>43.537466000000002</v>
      </c>
      <c r="AL1114">
        <v>6.4627330000000001</v>
      </c>
      <c r="AM1114">
        <v>48.856372813999997</v>
      </c>
      <c r="AN1114">
        <v>2.3525296170000001</v>
      </c>
    </row>
    <row r="1115" spans="1:40" x14ac:dyDescent="0.35">
      <c r="A1115">
        <v>1374</v>
      </c>
      <c r="B1115">
        <v>72</v>
      </c>
      <c r="C1115" t="s">
        <v>40</v>
      </c>
      <c r="D1115" t="s">
        <v>52</v>
      </c>
      <c r="E1115" t="s">
        <v>42</v>
      </c>
      <c r="F1115" t="s">
        <v>43</v>
      </c>
      <c r="G1115">
        <v>6</v>
      </c>
      <c r="H1115">
        <v>36</v>
      </c>
      <c r="I1115">
        <v>4</v>
      </c>
      <c r="J1115" t="s">
        <v>50</v>
      </c>
      <c r="K1115" t="s">
        <v>46</v>
      </c>
      <c r="L1115" t="s">
        <v>77</v>
      </c>
      <c r="M1115">
        <v>161.57489150049861</v>
      </c>
      <c r="N1115">
        <v>147</v>
      </c>
      <c r="O1115">
        <v>100</v>
      </c>
      <c r="P1115">
        <v>80</v>
      </c>
      <c r="Q1115">
        <v>0</v>
      </c>
      <c r="R1115">
        <v>2.3978952727983707</v>
      </c>
      <c r="S1115">
        <v>5.1416635565026603</v>
      </c>
      <c r="T1115">
        <v>90.472417453603512</v>
      </c>
      <c r="U1115">
        <v>2.7735735584863375</v>
      </c>
      <c r="V1115">
        <v>-0.15231437986527399</v>
      </c>
      <c r="W1115">
        <v>3.49635939345109E-2</v>
      </c>
      <c r="X1115">
        <v>-0.19627808847033801</v>
      </c>
      <c r="Y1115">
        <v>-0.57382446736590997</v>
      </c>
      <c r="Z1115">
        <v>-0.74335605457542497</v>
      </c>
      <c r="AA1115">
        <v>-0.53588051656191904</v>
      </c>
      <c r="AB1115">
        <v>3937</v>
      </c>
      <c r="AC1115">
        <v>0</v>
      </c>
      <c r="AD1115">
        <v>1</v>
      </c>
      <c r="AE1115">
        <v>-0.72244456620022002</v>
      </c>
      <c r="AF1115">
        <v>8.7027274173667402E-2</v>
      </c>
      <c r="AG1115">
        <v>-0.47350447681314001</v>
      </c>
      <c r="AH1115">
        <v>0.59368159535160603</v>
      </c>
      <c r="AI1115">
        <v>-0.75938389936394102</v>
      </c>
      <c r="AJ1115">
        <v>-0.97958226197786502</v>
      </c>
      <c r="AK1115">
        <v>47.259622</v>
      </c>
      <c r="AL1115">
        <v>-7.8518000000000004E-2</v>
      </c>
      <c r="AM1115">
        <v>47.4</v>
      </c>
      <c r="AN1115">
        <v>2.0529999999999999</v>
      </c>
    </row>
    <row r="1116" spans="1:40" x14ac:dyDescent="0.35">
      <c r="A1116">
        <v>1376</v>
      </c>
      <c r="B1116">
        <v>57</v>
      </c>
      <c r="C1116" t="s">
        <v>40</v>
      </c>
      <c r="D1116" t="s">
        <v>66</v>
      </c>
      <c r="E1116" t="s">
        <v>42</v>
      </c>
      <c r="F1116" t="s">
        <v>49</v>
      </c>
      <c r="G1116">
        <v>5</v>
      </c>
      <c r="H1116">
        <v>25</v>
      </c>
      <c r="I1116">
        <v>6</v>
      </c>
      <c r="J1116" t="s">
        <v>56</v>
      </c>
      <c r="K1116" t="s">
        <v>46</v>
      </c>
      <c r="L1116" t="s">
        <v>47</v>
      </c>
      <c r="M1116">
        <v>40.308947503335212</v>
      </c>
      <c r="N1116">
        <v>85</v>
      </c>
      <c r="O1116">
        <v>70</v>
      </c>
      <c r="P1116">
        <v>45</v>
      </c>
      <c r="Q1116">
        <v>5.9107966440405271</v>
      </c>
      <c r="R1116">
        <v>6.4997870406558542</v>
      </c>
      <c r="S1116">
        <v>8.6415324656718457</v>
      </c>
      <c r="T1116">
        <v>89.265350482850479</v>
      </c>
      <c r="U1116">
        <v>1.4417786561042019</v>
      </c>
      <c r="V1116">
        <v>-0.22886708829074301</v>
      </c>
      <c r="W1116">
        <v>0.28745285629339301</v>
      </c>
      <c r="X1116">
        <v>-0.15627425222847</v>
      </c>
      <c r="Y1116">
        <v>1.45226138127617</v>
      </c>
      <c r="Z1116">
        <v>0.98247225355557</v>
      </c>
      <c r="AA1116">
        <v>0.627775520474398</v>
      </c>
      <c r="AB1116">
        <v>3362.2959371744532</v>
      </c>
      <c r="AC1116">
        <v>2.8998317172850387</v>
      </c>
      <c r="AD1116">
        <v>2.9499158586425196</v>
      </c>
      <c r="AE1116">
        <v>1.06273170356322</v>
      </c>
      <c r="AF1116">
        <v>1.5460613518814501</v>
      </c>
      <c r="AG1116">
        <v>1.0797383975188599</v>
      </c>
      <c r="AH1116">
        <v>0.82580291285532803</v>
      </c>
      <c r="AI1116">
        <v>1.4836044289928401</v>
      </c>
      <c r="AJ1116">
        <v>0.76193534118230599</v>
      </c>
      <c r="AK1116">
        <v>43.3535629403058</v>
      </c>
      <c r="AL1116">
        <v>3.21615314793977</v>
      </c>
      <c r="AM1116">
        <v>43.456500000000005</v>
      </c>
      <c r="AN1116">
        <v>3.694</v>
      </c>
    </row>
    <row r="1117" spans="1:40" x14ac:dyDescent="0.35">
      <c r="A1117">
        <v>1378</v>
      </c>
      <c r="B1117">
        <v>42</v>
      </c>
      <c r="C1117" t="s">
        <v>48</v>
      </c>
      <c r="D1117" t="s">
        <v>41</v>
      </c>
      <c r="E1117" t="s">
        <v>42</v>
      </c>
      <c r="F1117" t="s">
        <v>49</v>
      </c>
      <c r="G1117">
        <v>4</v>
      </c>
      <c r="H1117">
        <v>16</v>
      </c>
      <c r="I1117">
        <v>5</v>
      </c>
      <c r="J1117" t="s">
        <v>56</v>
      </c>
      <c r="K1117" t="s">
        <v>46</v>
      </c>
      <c r="L1117" t="s">
        <v>65</v>
      </c>
      <c r="M1117">
        <v>281.87151014545861</v>
      </c>
      <c r="N1117">
        <v>486</v>
      </c>
      <c r="O1117">
        <v>260</v>
      </c>
      <c r="P1117">
        <v>289</v>
      </c>
      <c r="Q1117">
        <v>0</v>
      </c>
      <c r="R1117">
        <v>0</v>
      </c>
      <c r="S1117">
        <v>4.4543472962535073</v>
      </c>
      <c r="T1117">
        <v>89.333044733044744</v>
      </c>
      <c r="U1117">
        <v>1.2554235437523662</v>
      </c>
      <c r="V1117">
        <v>1.64975517953679</v>
      </c>
      <c r="W1117">
        <v>2.4220969657957299</v>
      </c>
      <c r="X1117">
        <v>1.68128863126442</v>
      </c>
      <c r="Y1117">
        <v>2.0553398017137301</v>
      </c>
      <c r="Z1117">
        <v>2.0921400018840099</v>
      </c>
      <c r="AA1117">
        <v>2.0596698968962701</v>
      </c>
      <c r="AB1117">
        <v>3262.71</v>
      </c>
      <c r="AC1117">
        <v>0.33</v>
      </c>
      <c r="AD1117">
        <v>0.66</v>
      </c>
      <c r="AE1117">
        <v>1.9221838973381</v>
      </c>
      <c r="AF1117">
        <v>0.60372972707188099</v>
      </c>
      <c r="AG1117">
        <v>0.78556945551133495</v>
      </c>
      <c r="AH1117">
        <v>-0.962989141126527</v>
      </c>
      <c r="AI1117">
        <v>-0.57042192113818402</v>
      </c>
      <c r="AJ1117">
        <v>-0.116996546785542</v>
      </c>
      <c r="AK1117">
        <v>43.537466000000002</v>
      </c>
      <c r="AL1117">
        <v>6.4627330000000001</v>
      </c>
      <c r="AM1117">
        <v>45.833749999999995</v>
      </c>
      <c r="AN1117">
        <v>4.9615</v>
      </c>
    </row>
    <row r="1118" spans="1:40" x14ac:dyDescent="0.35">
      <c r="A1118">
        <v>1380</v>
      </c>
      <c r="B1118">
        <v>57</v>
      </c>
      <c r="C1118" t="s">
        <v>40</v>
      </c>
      <c r="D1118" t="s">
        <v>41</v>
      </c>
      <c r="E1118" t="s">
        <v>42</v>
      </c>
      <c r="F1118" t="s">
        <v>53</v>
      </c>
      <c r="G1118">
        <v>5</v>
      </c>
      <c r="H1118">
        <v>25</v>
      </c>
      <c r="I1118">
        <v>3</v>
      </c>
      <c r="J1118" t="s">
        <v>45</v>
      </c>
      <c r="K1118" t="s">
        <v>46</v>
      </c>
      <c r="L1118" t="s">
        <v>59</v>
      </c>
      <c r="M1118">
        <v>184.89246423977471</v>
      </c>
      <c r="N1118">
        <v>225</v>
      </c>
      <c r="O1118">
        <v>165</v>
      </c>
      <c r="P1118">
        <v>139</v>
      </c>
      <c r="Q1118">
        <v>1.3862943611198906</v>
      </c>
      <c r="R1118">
        <v>1.3862943611198906</v>
      </c>
      <c r="S1118">
        <v>4.9972122737641147</v>
      </c>
      <c r="T1118">
        <v>90.035146103896111</v>
      </c>
      <c r="U1118">
        <v>1.418823059726001</v>
      </c>
      <c r="V1118">
        <v>-0.52223564926899602</v>
      </c>
      <c r="W1118">
        <v>-0.46072710968150399</v>
      </c>
      <c r="X1118">
        <v>-0.361786268345754</v>
      </c>
      <c r="Y1118">
        <v>-0.552694479448822</v>
      </c>
      <c r="Z1118">
        <v>2.1676297177028899E-2</v>
      </c>
      <c r="AA1118">
        <v>0.625223797005378</v>
      </c>
      <c r="AB1118">
        <v>2234.6992515788952</v>
      </c>
      <c r="AC1118">
        <v>0</v>
      </c>
      <c r="AD1118">
        <v>0.12112735591028891</v>
      </c>
      <c r="AE1118">
        <v>-0.60610368582010199</v>
      </c>
      <c r="AF1118">
        <v>1.13398928936702</v>
      </c>
      <c r="AG1118">
        <v>-0.29922457225548499</v>
      </c>
      <c r="AH1118">
        <v>-0.90519788619616304</v>
      </c>
      <c r="AI1118">
        <v>0.635308581128747</v>
      </c>
      <c r="AJ1118">
        <v>0.10149127111033</v>
      </c>
      <c r="AK1118">
        <v>47.411035099999999</v>
      </c>
      <c r="AL1118">
        <v>0.98369799999999996</v>
      </c>
      <c r="AM1118">
        <v>48.805999999999997</v>
      </c>
      <c r="AN1118">
        <v>2.3340000000000001</v>
      </c>
    </row>
    <row r="1119" spans="1:40" x14ac:dyDescent="0.35">
      <c r="A1119">
        <v>1381</v>
      </c>
      <c r="B1119">
        <v>72</v>
      </c>
      <c r="C1119" t="s">
        <v>40</v>
      </c>
      <c r="D1119" t="s">
        <v>52</v>
      </c>
      <c r="E1119" t="s">
        <v>42</v>
      </c>
      <c r="F1119" t="s">
        <v>49</v>
      </c>
      <c r="G1119">
        <v>2</v>
      </c>
      <c r="H1119">
        <v>4</v>
      </c>
      <c r="I1119">
        <v>7</v>
      </c>
      <c r="J1119" t="s">
        <v>56</v>
      </c>
      <c r="K1119" t="s">
        <v>46</v>
      </c>
      <c r="L1119" t="s">
        <v>57</v>
      </c>
      <c r="M1119">
        <v>282.011511104232</v>
      </c>
      <c r="N1119">
        <v>327</v>
      </c>
      <c r="O1119">
        <v>246</v>
      </c>
      <c r="P1119">
        <v>147</v>
      </c>
      <c r="Q1119">
        <v>0.69314718055994529</v>
      </c>
      <c r="R1119">
        <v>3.6109179126442243</v>
      </c>
      <c r="S1119">
        <v>5.8833223884882786</v>
      </c>
      <c r="T1119">
        <v>90.922105263157903</v>
      </c>
      <c r="U1119">
        <v>2.3923758041545438</v>
      </c>
      <c r="V1119">
        <v>-0.399596989308249</v>
      </c>
      <c r="W1119">
        <v>-0.58810405700346202</v>
      </c>
      <c r="X1119">
        <v>-0.29041857108635599</v>
      </c>
      <c r="Y1119">
        <v>-0.846122564821426</v>
      </c>
      <c r="Z1119">
        <v>-0.92679578564836795</v>
      </c>
      <c r="AA1119">
        <v>0.86332342905974202</v>
      </c>
      <c r="AB1119">
        <v>2050</v>
      </c>
      <c r="AC1119">
        <v>1</v>
      </c>
      <c r="AD1119">
        <v>2</v>
      </c>
      <c r="AE1119">
        <v>-0.51011828243844404</v>
      </c>
      <c r="AF1119">
        <v>-0.80595527283742496</v>
      </c>
      <c r="AG1119">
        <v>-1.0056743670531201</v>
      </c>
      <c r="AH1119">
        <v>-2.3184579443299</v>
      </c>
      <c r="AI1119">
        <v>-2.4465711026314598</v>
      </c>
      <c r="AJ1119">
        <v>-3.8671541033677701</v>
      </c>
      <c r="AK1119">
        <v>47.023905999999997</v>
      </c>
      <c r="AL1119">
        <v>4.8380429999999999</v>
      </c>
      <c r="AM1119">
        <v>48.895000000000003</v>
      </c>
      <c r="AN1119">
        <v>2.2869999999999999</v>
      </c>
    </row>
    <row r="1120" spans="1:40" x14ac:dyDescent="0.35">
      <c r="A1120">
        <v>1382</v>
      </c>
      <c r="B1120">
        <v>72</v>
      </c>
      <c r="C1120" t="s">
        <v>40</v>
      </c>
      <c r="D1120" t="s">
        <v>52</v>
      </c>
      <c r="E1120" t="s">
        <v>68</v>
      </c>
      <c r="F1120" t="s">
        <v>49</v>
      </c>
      <c r="G1120">
        <v>5</v>
      </c>
      <c r="H1120">
        <v>25</v>
      </c>
      <c r="I1120">
        <v>6</v>
      </c>
      <c r="J1120" t="s">
        <v>50</v>
      </c>
      <c r="K1120" t="s">
        <v>46</v>
      </c>
      <c r="L1120" t="s">
        <v>60</v>
      </c>
      <c r="M1120">
        <v>733.1172243891192</v>
      </c>
      <c r="N1120">
        <v>927</v>
      </c>
      <c r="O1120">
        <v>564</v>
      </c>
      <c r="P1120">
        <v>468</v>
      </c>
      <c r="Q1120">
        <v>3.8501476017100584</v>
      </c>
      <c r="R1120">
        <v>2.9957322735539909</v>
      </c>
      <c r="S1120">
        <v>5.4424177105217932</v>
      </c>
      <c r="T1120">
        <v>88.975873222691746</v>
      </c>
      <c r="U1120">
        <v>2.5514539469641888</v>
      </c>
      <c r="V1120">
        <v>2.9336799326863701</v>
      </c>
      <c r="W1120">
        <v>3.3730943146768602</v>
      </c>
      <c r="X1120">
        <v>3.6072071704345601</v>
      </c>
      <c r="Y1120">
        <v>-0.19189497559235799</v>
      </c>
      <c r="Z1120">
        <v>0.17569111512999699</v>
      </c>
      <c r="AA1120">
        <v>-0.304970615080496</v>
      </c>
      <c r="AB1120">
        <v>1906.836709612184</v>
      </c>
      <c r="AC1120">
        <v>0.7978420820676605</v>
      </c>
      <c r="AD1120">
        <v>2.1056638128240834</v>
      </c>
      <c r="AE1120">
        <v>-0.25037207080954499</v>
      </c>
      <c r="AF1120">
        <v>0.78653986349026905</v>
      </c>
      <c r="AG1120">
        <v>-2.4508567138955502</v>
      </c>
      <c r="AH1120">
        <v>1.1784577084886101</v>
      </c>
      <c r="AI1120">
        <v>-0.449686155407234</v>
      </c>
      <c r="AJ1120">
        <v>0.70908027413433705</v>
      </c>
      <c r="AK1120">
        <v>44.055988999999997</v>
      </c>
      <c r="AL1120">
        <v>4.8317350000000001</v>
      </c>
      <c r="AM1120">
        <v>50.640682937000001</v>
      </c>
      <c r="AN1120">
        <v>4.6610704270000003</v>
      </c>
    </row>
    <row r="1121" spans="1:40" x14ac:dyDescent="0.35">
      <c r="A1121">
        <v>1383</v>
      </c>
      <c r="B1121">
        <v>72</v>
      </c>
      <c r="C1121" t="s">
        <v>40</v>
      </c>
      <c r="D1121" t="s">
        <v>52</v>
      </c>
      <c r="E1121" t="s">
        <v>42</v>
      </c>
      <c r="F1121" t="s">
        <v>49</v>
      </c>
      <c r="G1121">
        <v>4</v>
      </c>
      <c r="H1121">
        <v>16</v>
      </c>
      <c r="I1121">
        <v>7</v>
      </c>
      <c r="J1121" t="s">
        <v>50</v>
      </c>
      <c r="K1121" t="s">
        <v>46</v>
      </c>
      <c r="L1121" t="s">
        <v>72</v>
      </c>
      <c r="M1121">
        <v>110.4678889512283</v>
      </c>
      <c r="N1121">
        <v>112</v>
      </c>
      <c r="O1121">
        <v>105</v>
      </c>
      <c r="P1121">
        <v>160</v>
      </c>
      <c r="Q1121">
        <v>0.69314718055994529</v>
      </c>
      <c r="R1121">
        <v>1.3862943611198906</v>
      </c>
      <c r="S1121">
        <v>4.5538768916005408</v>
      </c>
      <c r="T1121">
        <v>89.340161030595823</v>
      </c>
      <c r="U1121">
        <v>1.4712304197281412</v>
      </c>
      <c r="V1121">
        <v>0.59716251398508702</v>
      </c>
      <c r="W1121">
        <v>0.91068296986709796</v>
      </c>
      <c r="X1121">
        <v>1.2273243988355</v>
      </c>
      <c r="Y1121">
        <v>-0.4121809470949</v>
      </c>
      <c r="Z1121">
        <v>-0.86472582726521097</v>
      </c>
      <c r="AA1121">
        <v>-1.0172779374790899</v>
      </c>
      <c r="AB1121">
        <v>1828.1689246701658</v>
      </c>
      <c r="AC1121">
        <v>1.1127464888636687</v>
      </c>
      <c r="AD1121">
        <v>1.8630656830756136</v>
      </c>
      <c r="AE1121">
        <v>-0.53926882203722504</v>
      </c>
      <c r="AF1121">
        <v>0.36166396188937799</v>
      </c>
      <c r="AG1121">
        <v>-4.0358521585131299E-2</v>
      </c>
      <c r="AH1121">
        <v>-4.9734864063594703E-2</v>
      </c>
      <c r="AI1121">
        <v>8.5038794405257898E-2</v>
      </c>
      <c r="AJ1121">
        <v>-0.93877709673787602</v>
      </c>
      <c r="AK1121">
        <v>44.503641999999999</v>
      </c>
      <c r="AL1121">
        <v>1.1863669999999999</v>
      </c>
      <c r="AM1121">
        <v>43.823583333333325</v>
      </c>
      <c r="AN1121">
        <v>2.1938333333333335</v>
      </c>
    </row>
    <row r="1122" spans="1:40" x14ac:dyDescent="0.35">
      <c r="A1122">
        <v>1385</v>
      </c>
      <c r="B1122">
        <v>57</v>
      </c>
      <c r="C1122" t="s">
        <v>40</v>
      </c>
      <c r="D1122" t="s">
        <v>41</v>
      </c>
      <c r="E1122" t="s">
        <v>42</v>
      </c>
      <c r="F1122" t="s">
        <v>61</v>
      </c>
      <c r="G1122">
        <v>7</v>
      </c>
      <c r="H1122">
        <v>49</v>
      </c>
      <c r="I1122">
        <v>6</v>
      </c>
      <c r="J1122" t="s">
        <v>56</v>
      </c>
      <c r="K1122" t="s">
        <v>46</v>
      </c>
      <c r="L1122" t="s">
        <v>70</v>
      </c>
      <c r="M1122">
        <v>353.44915891327457</v>
      </c>
      <c r="N1122">
        <v>427</v>
      </c>
      <c r="O1122">
        <v>220</v>
      </c>
      <c r="P1122">
        <v>237</v>
      </c>
      <c r="Q1122">
        <v>0</v>
      </c>
      <c r="R1122">
        <v>0</v>
      </c>
      <c r="S1122">
        <v>5.3230099791384085</v>
      </c>
      <c r="T1122">
        <v>90.615999999999985</v>
      </c>
      <c r="U1122">
        <v>1.11573792223403</v>
      </c>
      <c r="V1122">
        <v>0.80288722813325297</v>
      </c>
      <c r="W1122">
        <v>0.52082154240315903</v>
      </c>
      <c r="X1122">
        <v>0.61908815691345198</v>
      </c>
      <c r="Y1122">
        <v>1.5007680231051199</v>
      </c>
      <c r="Z1122">
        <v>0.24292628533916899</v>
      </c>
      <c r="AA1122">
        <v>8.5217386942517098E-2</v>
      </c>
      <c r="AB1122">
        <v>3943</v>
      </c>
      <c r="AC1122">
        <v>0</v>
      </c>
      <c r="AD1122">
        <v>1</v>
      </c>
      <c r="AE1122">
        <v>1.1088815174583</v>
      </c>
      <c r="AF1122">
        <v>0.849976030892306</v>
      </c>
      <c r="AG1122">
        <v>0.129818773886578</v>
      </c>
      <c r="AH1122">
        <v>-0.111295030438716</v>
      </c>
      <c r="AI1122">
        <v>-0.686135084800782</v>
      </c>
      <c r="AJ1122">
        <v>-1.0068636765503699E-2</v>
      </c>
      <c r="AK1122">
        <v>46.098678999999997</v>
      </c>
      <c r="AL1122">
        <v>4.7359530000000003</v>
      </c>
      <c r="AM1122">
        <v>48.6905</v>
      </c>
      <c r="AN1122">
        <v>2.0254999999999996</v>
      </c>
    </row>
    <row r="1123" spans="1:40" x14ac:dyDescent="0.35">
      <c r="A1123">
        <v>1386</v>
      </c>
      <c r="B1123">
        <v>72</v>
      </c>
      <c r="C1123" t="s">
        <v>40</v>
      </c>
      <c r="D1123" t="s">
        <v>41</v>
      </c>
      <c r="E1123" t="s">
        <v>42</v>
      </c>
      <c r="F1123" t="s">
        <v>53</v>
      </c>
      <c r="G1123">
        <v>5</v>
      </c>
      <c r="H1123">
        <v>25</v>
      </c>
      <c r="I1123">
        <v>5</v>
      </c>
      <c r="J1123" t="s">
        <v>50</v>
      </c>
      <c r="K1123" t="s">
        <v>46</v>
      </c>
      <c r="L1123" t="s">
        <v>65</v>
      </c>
      <c r="M1123">
        <v>671.23208171923795</v>
      </c>
      <c r="N1123">
        <v>869</v>
      </c>
      <c r="O1123">
        <v>423</v>
      </c>
      <c r="P1123">
        <v>323</v>
      </c>
      <c r="Q1123">
        <v>0</v>
      </c>
      <c r="R1123">
        <v>0</v>
      </c>
      <c r="S1123">
        <v>4.4543472962535073</v>
      </c>
      <c r="T1123">
        <v>89.333044733044744</v>
      </c>
      <c r="U1123">
        <v>1.2554235437523662</v>
      </c>
      <c r="V1123">
        <v>1.64975517953679</v>
      </c>
      <c r="W1123">
        <v>2.4220969657957299</v>
      </c>
      <c r="X1123">
        <v>1.68128863126442</v>
      </c>
      <c r="Y1123">
        <v>2.0553398017137301</v>
      </c>
      <c r="Z1123">
        <v>2.0921400018840099</v>
      </c>
      <c r="AA1123">
        <v>2.0596698968962701</v>
      </c>
      <c r="AB1123">
        <v>3262.71</v>
      </c>
      <c r="AC1123">
        <v>0.33</v>
      </c>
      <c r="AD1123">
        <v>0.66</v>
      </c>
      <c r="AE1123">
        <v>1.9221838973381</v>
      </c>
      <c r="AF1123">
        <v>-0.45192959046148601</v>
      </c>
      <c r="AG1123">
        <v>0.25618072064925701</v>
      </c>
      <c r="AH1123">
        <v>-1.1830176523367399</v>
      </c>
      <c r="AI1123">
        <v>-0.305622721827639</v>
      </c>
      <c r="AJ1123">
        <v>0.25952807226032998</v>
      </c>
      <c r="AK1123">
        <v>43.537466000000002</v>
      </c>
      <c r="AL1123">
        <v>6.4627330000000001</v>
      </c>
      <c r="AM1123">
        <v>48.856372813999997</v>
      </c>
      <c r="AN1123">
        <v>2.3525296170000001</v>
      </c>
    </row>
    <row r="1124" spans="1:40" x14ac:dyDescent="0.35">
      <c r="A1124">
        <v>1387</v>
      </c>
      <c r="B1124">
        <v>57</v>
      </c>
      <c r="C1124" t="s">
        <v>48</v>
      </c>
      <c r="D1124" t="s">
        <v>66</v>
      </c>
      <c r="E1124" t="s">
        <v>42</v>
      </c>
      <c r="F1124" t="s">
        <v>49</v>
      </c>
      <c r="G1124">
        <v>4</v>
      </c>
      <c r="H1124">
        <v>16</v>
      </c>
      <c r="I1124">
        <v>5</v>
      </c>
      <c r="J1124" t="s">
        <v>50</v>
      </c>
      <c r="K1124" t="s">
        <v>46</v>
      </c>
      <c r="L1124" t="s">
        <v>72</v>
      </c>
      <c r="M1124">
        <v>129.6073995145068</v>
      </c>
      <c r="N1124">
        <v>149</v>
      </c>
      <c r="O1124">
        <v>132</v>
      </c>
      <c r="P1124">
        <v>178</v>
      </c>
      <c r="Q1124">
        <v>0.69314718055994529</v>
      </c>
      <c r="R1124">
        <v>1.3862943611198906</v>
      </c>
      <c r="S1124">
        <v>4.5538768916005408</v>
      </c>
      <c r="T1124">
        <v>89.340161030595823</v>
      </c>
      <c r="U1124">
        <v>1.4712304197281412</v>
      </c>
      <c r="V1124">
        <v>0.59716251398508702</v>
      </c>
      <c r="W1124">
        <v>0.91068296986709796</v>
      </c>
      <c r="X1124">
        <v>1.2273243988355</v>
      </c>
      <c r="Y1124">
        <v>-0.4121809470949</v>
      </c>
      <c r="Z1124">
        <v>-0.86472582726521097</v>
      </c>
      <c r="AA1124">
        <v>-1.0172779374790899</v>
      </c>
      <c r="AB1124">
        <v>1828.1689246701658</v>
      </c>
      <c r="AC1124">
        <v>1.1127464888636687</v>
      </c>
      <c r="AD1124">
        <v>1.8630656830756136</v>
      </c>
      <c r="AE1124">
        <v>-0.53926882203722504</v>
      </c>
      <c r="AF1124">
        <v>-0.79996911281036298</v>
      </c>
      <c r="AG1124">
        <v>1.6509568310649301</v>
      </c>
      <c r="AH1124">
        <v>0.33511866605596302</v>
      </c>
      <c r="AI1124">
        <v>-0.21223634953724099</v>
      </c>
      <c r="AJ1124">
        <v>1.26881378816465</v>
      </c>
      <c r="AK1124">
        <v>44.503641999999999</v>
      </c>
      <c r="AL1124">
        <v>1.1863669999999999</v>
      </c>
      <c r="AM1124">
        <v>43.751125000000002</v>
      </c>
      <c r="AN1124">
        <v>-5.1374999999999997E-2</v>
      </c>
    </row>
    <row r="1125" spans="1:40" x14ac:dyDescent="0.35">
      <c r="A1125">
        <v>1389</v>
      </c>
      <c r="B1125">
        <v>57</v>
      </c>
      <c r="C1125" t="s">
        <v>40</v>
      </c>
      <c r="D1125" t="s">
        <v>41</v>
      </c>
      <c r="E1125" t="s">
        <v>42</v>
      </c>
      <c r="F1125" t="s">
        <v>49</v>
      </c>
      <c r="G1125">
        <v>5</v>
      </c>
      <c r="H1125">
        <v>25</v>
      </c>
      <c r="I1125">
        <v>6</v>
      </c>
      <c r="J1125" t="s">
        <v>56</v>
      </c>
      <c r="K1125" t="s">
        <v>46</v>
      </c>
      <c r="L1125" t="s">
        <v>59</v>
      </c>
      <c r="M1125">
        <v>180.35144469607809</v>
      </c>
      <c r="N1125">
        <v>216</v>
      </c>
      <c r="O1125">
        <v>150</v>
      </c>
      <c r="P1125">
        <v>124</v>
      </c>
      <c r="Q1125">
        <v>1.3862943611198906</v>
      </c>
      <c r="R1125">
        <v>1.3862943611198906</v>
      </c>
      <c r="S1125">
        <v>4.9972122737641147</v>
      </c>
      <c r="T1125">
        <v>90.035146103896111</v>
      </c>
      <c r="U1125">
        <v>1.418823059726001</v>
      </c>
      <c r="V1125">
        <v>-0.52223564926899602</v>
      </c>
      <c r="W1125">
        <v>-0.46072710968150399</v>
      </c>
      <c r="X1125">
        <v>-0.361786268345754</v>
      </c>
      <c r="Y1125">
        <v>-0.552694479448822</v>
      </c>
      <c r="Z1125">
        <v>2.1676297177028899E-2</v>
      </c>
      <c r="AA1125">
        <v>0.625223797005378</v>
      </c>
      <c r="AB1125">
        <v>2234.6992515788952</v>
      </c>
      <c r="AC1125">
        <v>0</v>
      </c>
      <c r="AD1125">
        <v>0.12112735591028891</v>
      </c>
      <c r="AE1125">
        <v>-0.60610368582010199</v>
      </c>
      <c r="AF1125">
        <v>0.64517398568342399</v>
      </c>
      <c r="AG1125">
        <v>0.70856458903615005</v>
      </c>
      <c r="AH1125">
        <v>-0.494686466137994</v>
      </c>
      <c r="AI1125">
        <v>5.2711048717300202E-2</v>
      </c>
      <c r="AJ1125">
        <v>-0.311511134861505</v>
      </c>
      <c r="AK1125">
        <v>47.411035099999999</v>
      </c>
      <c r="AL1125">
        <v>0.98369799999999996</v>
      </c>
      <c r="AM1125">
        <v>48.695</v>
      </c>
      <c r="AN1125">
        <v>2.4620000000000002</v>
      </c>
    </row>
    <row r="1126" spans="1:40" x14ac:dyDescent="0.35">
      <c r="A1126">
        <v>1390</v>
      </c>
      <c r="B1126">
        <v>42</v>
      </c>
      <c r="C1126" t="s">
        <v>40</v>
      </c>
      <c r="D1126" t="s">
        <v>66</v>
      </c>
      <c r="E1126" t="s">
        <v>42</v>
      </c>
      <c r="F1126" t="s">
        <v>43</v>
      </c>
      <c r="G1126">
        <v>4</v>
      </c>
      <c r="H1126">
        <v>16</v>
      </c>
      <c r="I1126">
        <v>6</v>
      </c>
      <c r="J1126" t="s">
        <v>56</v>
      </c>
      <c r="K1126" t="s">
        <v>46</v>
      </c>
      <c r="L1126" t="s">
        <v>77</v>
      </c>
      <c r="M1126">
        <v>197.75710341682</v>
      </c>
      <c r="N1126">
        <v>289</v>
      </c>
      <c r="O1126">
        <v>196</v>
      </c>
      <c r="P1126">
        <v>221</v>
      </c>
      <c r="Q1126">
        <v>0</v>
      </c>
      <c r="R1126">
        <v>2.3978952727983707</v>
      </c>
      <c r="S1126">
        <v>5.1416635565026603</v>
      </c>
      <c r="T1126">
        <v>90.472417453603512</v>
      </c>
      <c r="U1126">
        <v>2.7735735584863375</v>
      </c>
      <c r="V1126">
        <v>-0.15231437986527399</v>
      </c>
      <c r="W1126">
        <v>3.49635939345109E-2</v>
      </c>
      <c r="X1126">
        <v>-0.19627808847033801</v>
      </c>
      <c r="Y1126">
        <v>-0.57382446736590997</v>
      </c>
      <c r="Z1126">
        <v>-0.74335605457542497</v>
      </c>
      <c r="AA1126">
        <v>-0.53588051656191904</v>
      </c>
      <c r="AB1126">
        <v>3937</v>
      </c>
      <c r="AC1126">
        <v>0</v>
      </c>
      <c r="AD1126">
        <v>1</v>
      </c>
      <c r="AE1126">
        <v>-0.72244456620022002</v>
      </c>
      <c r="AF1126">
        <v>1.02251648829241</v>
      </c>
      <c r="AG1126">
        <v>0.817624024941488</v>
      </c>
      <c r="AH1126">
        <v>-0.24603361603076401</v>
      </c>
      <c r="AI1126">
        <v>0.26222481670166897</v>
      </c>
      <c r="AJ1126">
        <v>0.54907806289241901</v>
      </c>
      <c r="AK1126">
        <v>47.259622</v>
      </c>
      <c r="AL1126">
        <v>-7.8518000000000004E-2</v>
      </c>
      <c r="AM1126">
        <v>48.436999999999998</v>
      </c>
      <c r="AN1126">
        <v>-2.0609999999999999</v>
      </c>
    </row>
    <row r="1127" spans="1:40" x14ac:dyDescent="0.35">
      <c r="A1127">
        <v>1391</v>
      </c>
      <c r="B1127">
        <v>57</v>
      </c>
      <c r="C1127" t="s">
        <v>40</v>
      </c>
      <c r="D1127" t="s">
        <v>41</v>
      </c>
      <c r="E1127" t="s">
        <v>82</v>
      </c>
      <c r="F1127" t="s">
        <v>49</v>
      </c>
      <c r="G1127">
        <v>6</v>
      </c>
      <c r="H1127">
        <v>36</v>
      </c>
      <c r="I1127">
        <v>6</v>
      </c>
      <c r="J1127" t="s">
        <v>50</v>
      </c>
      <c r="K1127" t="s">
        <v>46</v>
      </c>
      <c r="L1127" t="s">
        <v>57</v>
      </c>
      <c r="M1127">
        <v>260.26054856655941</v>
      </c>
      <c r="N1127">
        <v>215</v>
      </c>
      <c r="O1127">
        <v>175</v>
      </c>
      <c r="P1127">
        <v>166</v>
      </c>
      <c r="Q1127">
        <v>0.69314718055994529</v>
      </c>
      <c r="R1127">
        <v>3.6109179126442243</v>
      </c>
      <c r="S1127">
        <v>5.8833223884882786</v>
      </c>
      <c r="T1127">
        <v>90.922105263157903</v>
      </c>
      <c r="U1127">
        <v>2.3923758041545438</v>
      </c>
      <c r="V1127">
        <v>-0.399596989308249</v>
      </c>
      <c r="W1127">
        <v>-0.58810405700346202</v>
      </c>
      <c r="X1127">
        <v>-0.29041857108635599</v>
      </c>
      <c r="Y1127">
        <v>-0.846122564821426</v>
      </c>
      <c r="Z1127">
        <v>-0.92679578564836795</v>
      </c>
      <c r="AA1127">
        <v>0.86332342905974202</v>
      </c>
      <c r="AB1127">
        <v>2050</v>
      </c>
      <c r="AC1127">
        <v>1</v>
      </c>
      <c r="AD1127">
        <v>2</v>
      </c>
      <c r="AE1127">
        <v>-0.51011828243844404</v>
      </c>
      <c r="AF1127">
        <v>0.128739610709735</v>
      </c>
      <c r="AG1127">
        <v>0.237290915534314</v>
      </c>
      <c r="AH1127">
        <v>0.26054074227467999</v>
      </c>
      <c r="AI1127">
        <v>-4.2105224606392301E-2</v>
      </c>
      <c r="AJ1127">
        <v>-1.6674440192876099E-2</v>
      </c>
      <c r="AK1127">
        <v>47.023905999999997</v>
      </c>
      <c r="AL1127">
        <v>4.8380429999999999</v>
      </c>
      <c r="AM1127">
        <v>46.799817441999998</v>
      </c>
      <c r="AN1127">
        <v>8.2450240959999999</v>
      </c>
    </row>
    <row r="1128" spans="1:40" x14ac:dyDescent="0.35">
      <c r="A1128">
        <v>1392</v>
      </c>
      <c r="B1128">
        <v>57</v>
      </c>
      <c r="C1128" t="s">
        <v>40</v>
      </c>
      <c r="D1128" t="s">
        <v>41</v>
      </c>
      <c r="E1128" t="s">
        <v>42</v>
      </c>
      <c r="F1128" t="s">
        <v>49</v>
      </c>
      <c r="G1128">
        <v>5</v>
      </c>
      <c r="H1128">
        <v>25</v>
      </c>
      <c r="I1128">
        <v>4</v>
      </c>
      <c r="J1128" t="s">
        <v>50</v>
      </c>
      <c r="K1128" t="s">
        <v>46</v>
      </c>
      <c r="L1128" t="s">
        <v>57</v>
      </c>
      <c r="M1128">
        <v>292.51876752727969</v>
      </c>
      <c r="N1128">
        <v>419</v>
      </c>
      <c r="O1128">
        <v>260</v>
      </c>
      <c r="P1128">
        <v>363</v>
      </c>
      <c r="Q1128">
        <v>0.69314718055994529</v>
      </c>
      <c r="R1128">
        <v>3.6109179126442243</v>
      </c>
      <c r="S1128">
        <v>5.8833223884882786</v>
      </c>
      <c r="T1128">
        <v>90.922105263157903</v>
      </c>
      <c r="U1128">
        <v>2.3923758041545438</v>
      </c>
      <c r="V1128">
        <v>-0.399596989308249</v>
      </c>
      <c r="W1128">
        <v>-0.58810405700346202</v>
      </c>
      <c r="X1128">
        <v>-0.29041857108635599</v>
      </c>
      <c r="Y1128">
        <v>-0.846122564821426</v>
      </c>
      <c r="Z1128">
        <v>-0.92679578564836795</v>
      </c>
      <c r="AA1128">
        <v>0.86332342905974202</v>
      </c>
      <c r="AB1128">
        <v>2050</v>
      </c>
      <c r="AC1128">
        <v>1</v>
      </c>
      <c r="AD1128">
        <v>2</v>
      </c>
      <c r="AE1128">
        <v>-0.51011828243844404</v>
      </c>
      <c r="AF1128">
        <v>-7.5024175969106099E-2</v>
      </c>
      <c r="AG1128">
        <v>1.22429801517701</v>
      </c>
      <c r="AH1128">
        <v>1.10247490021954</v>
      </c>
      <c r="AI1128">
        <v>0.163033374267815</v>
      </c>
      <c r="AJ1128">
        <v>-0.20956745374636601</v>
      </c>
      <c r="AK1128">
        <v>47.023905999999997</v>
      </c>
      <c r="AL1128">
        <v>4.8380429999999999</v>
      </c>
      <c r="AM1128">
        <v>49.648199999999996</v>
      </c>
      <c r="AN1128">
        <v>4.6355599999999999</v>
      </c>
    </row>
    <row r="1129" spans="1:40" x14ac:dyDescent="0.35">
      <c r="A1129">
        <v>1393</v>
      </c>
      <c r="B1129">
        <v>57</v>
      </c>
      <c r="C1129" t="s">
        <v>40</v>
      </c>
      <c r="D1129" t="s">
        <v>41</v>
      </c>
      <c r="E1129" t="s">
        <v>42</v>
      </c>
      <c r="F1129" t="s">
        <v>49</v>
      </c>
      <c r="G1129">
        <v>3</v>
      </c>
      <c r="H1129">
        <v>9</v>
      </c>
      <c r="I1129">
        <v>6</v>
      </c>
      <c r="J1129" t="s">
        <v>56</v>
      </c>
      <c r="K1129" t="s">
        <v>46</v>
      </c>
      <c r="L1129" t="s">
        <v>83</v>
      </c>
      <c r="M1129">
        <v>292.20456192021982</v>
      </c>
      <c r="N1129">
        <v>360</v>
      </c>
      <c r="O1129">
        <v>231</v>
      </c>
      <c r="P1129">
        <v>223</v>
      </c>
      <c r="Q1129">
        <v>0</v>
      </c>
      <c r="R1129">
        <v>0</v>
      </c>
      <c r="S1129">
        <v>4.4886363697321396</v>
      </c>
      <c r="T1129">
        <v>90.115111111111119</v>
      </c>
      <c r="U1129">
        <v>1.2513404171152498</v>
      </c>
      <c r="V1129">
        <v>-0.46152060700845399</v>
      </c>
      <c r="W1129">
        <v>-0.57121975163865102</v>
      </c>
      <c r="X1129">
        <v>-0.33135740862223101</v>
      </c>
      <c r="Y1129">
        <v>-0.77598924050104101</v>
      </c>
      <c r="Z1129">
        <v>0.47668876811384397</v>
      </c>
      <c r="AA1129">
        <v>0.85617757356637403</v>
      </c>
      <c r="AB1129">
        <v>2565</v>
      </c>
      <c r="AC1129">
        <v>1</v>
      </c>
      <c r="AD1129">
        <v>0</v>
      </c>
      <c r="AE1129">
        <v>-0.72514205471140702</v>
      </c>
      <c r="AF1129">
        <v>0.93246435900176305</v>
      </c>
      <c r="AG1129">
        <v>-0.65636020522348504</v>
      </c>
      <c r="AH1129">
        <v>-0.117208839566923</v>
      </c>
      <c r="AI1129">
        <v>-2.0353278049877601</v>
      </c>
      <c r="AJ1129">
        <v>0.51372295994688799</v>
      </c>
      <c r="AK1129">
        <v>46.839658</v>
      </c>
      <c r="AL1129">
        <v>4.7189269999999999</v>
      </c>
      <c r="AM1129">
        <v>48.884999999999998</v>
      </c>
      <c r="AN1129">
        <v>2.266</v>
      </c>
    </row>
    <row r="1130" spans="1:40" x14ac:dyDescent="0.35">
      <c r="A1130">
        <v>1394</v>
      </c>
      <c r="B1130">
        <v>72</v>
      </c>
      <c r="C1130" t="s">
        <v>40</v>
      </c>
      <c r="D1130" t="s">
        <v>52</v>
      </c>
      <c r="E1130" t="s">
        <v>42</v>
      </c>
      <c r="F1130" t="s">
        <v>43</v>
      </c>
      <c r="G1130">
        <v>4</v>
      </c>
      <c r="H1130">
        <v>16</v>
      </c>
      <c r="I1130">
        <v>3</v>
      </c>
      <c r="J1130" t="s">
        <v>45</v>
      </c>
      <c r="K1130" t="s">
        <v>44</v>
      </c>
      <c r="L1130" t="s">
        <v>78</v>
      </c>
      <c r="M1130">
        <v>673.48720516630021</v>
      </c>
      <c r="N1130">
        <v>885</v>
      </c>
      <c r="O1130">
        <v>789</v>
      </c>
      <c r="P1130">
        <v>1860</v>
      </c>
      <c r="Q1130">
        <v>0</v>
      </c>
      <c r="R1130">
        <v>0</v>
      </c>
      <c r="S1130">
        <v>3.784189633918261</v>
      </c>
      <c r="T1130">
        <v>88.642856449106446</v>
      </c>
      <c r="U1130">
        <v>1.0940428522509147</v>
      </c>
      <c r="V1130">
        <v>8.5508000285955607E-3</v>
      </c>
      <c r="W1130">
        <v>-0.51120442009665101</v>
      </c>
      <c r="X1130">
        <v>-0.50395056569549701</v>
      </c>
      <c r="Y1130">
        <v>-1.08176131679965</v>
      </c>
      <c r="Z1130">
        <v>-1.2254354371323599</v>
      </c>
      <c r="AA1130">
        <v>-2.1159072764009799</v>
      </c>
      <c r="AB1130">
        <v>465.17385257301805</v>
      </c>
      <c r="AC1130">
        <v>0.43254520166898469</v>
      </c>
      <c r="AD1130">
        <v>0.43254520166898469</v>
      </c>
      <c r="AE1130">
        <v>7.7424783941295205E-2</v>
      </c>
      <c r="AF1130">
        <v>0.68097576971749296</v>
      </c>
      <c r="AG1130">
        <v>0.26061046116845099</v>
      </c>
      <c r="AH1130">
        <v>-1.22392783671325</v>
      </c>
      <c r="AI1130">
        <v>0.23242459222210299</v>
      </c>
      <c r="AJ1130">
        <v>-2.36436910670658</v>
      </c>
      <c r="AK1130">
        <v>42.680641999999999</v>
      </c>
      <c r="AL1130">
        <v>9.3018979999999996</v>
      </c>
      <c r="AM1130">
        <v>48.631999999999998</v>
      </c>
      <c r="AN1130">
        <v>7.742</v>
      </c>
    </row>
    <row r="1131" spans="1:40" x14ac:dyDescent="0.35">
      <c r="A1131">
        <v>1395</v>
      </c>
      <c r="B1131">
        <v>72</v>
      </c>
      <c r="C1131" t="s">
        <v>40</v>
      </c>
      <c r="D1131" t="s">
        <v>52</v>
      </c>
      <c r="E1131" t="s">
        <v>42</v>
      </c>
      <c r="F1131" t="s">
        <v>49</v>
      </c>
      <c r="G1131">
        <v>4</v>
      </c>
      <c r="H1131">
        <v>16</v>
      </c>
      <c r="I1131">
        <v>4</v>
      </c>
      <c r="J1131" t="s">
        <v>56</v>
      </c>
      <c r="K1131" t="s">
        <v>46</v>
      </c>
      <c r="L1131" t="s">
        <v>77</v>
      </c>
      <c r="M1131">
        <v>254.17325041041519</v>
      </c>
      <c r="N1131">
        <v>332</v>
      </c>
      <c r="O1131">
        <v>223</v>
      </c>
      <c r="P1131">
        <v>209</v>
      </c>
      <c r="Q1131">
        <v>0</v>
      </c>
      <c r="R1131">
        <v>2.3978952727983707</v>
      </c>
      <c r="S1131">
        <v>5.1416635565026603</v>
      </c>
      <c r="T1131">
        <v>90.472417453603512</v>
      </c>
      <c r="U1131">
        <v>2.7735735584863375</v>
      </c>
      <c r="V1131">
        <v>-0.15231437986527399</v>
      </c>
      <c r="W1131">
        <v>3.49635939345109E-2</v>
      </c>
      <c r="X1131">
        <v>-0.19627808847033801</v>
      </c>
      <c r="Y1131">
        <v>-0.57382446736590997</v>
      </c>
      <c r="Z1131">
        <v>-0.74335605457542497</v>
      </c>
      <c r="AA1131">
        <v>-0.53588051656191904</v>
      </c>
      <c r="AB1131">
        <v>3937</v>
      </c>
      <c r="AC1131">
        <v>0</v>
      </c>
      <c r="AD1131">
        <v>1</v>
      </c>
      <c r="AE1131">
        <v>-0.72244456620022002</v>
      </c>
      <c r="AF1131">
        <v>-1.2710321506347826</v>
      </c>
      <c r="AG1131">
        <v>1.548147612515399</v>
      </c>
      <c r="AH1131">
        <v>-0.66713668953660532</v>
      </c>
      <c r="AI1131">
        <v>-0.53320218672280173</v>
      </c>
      <c r="AJ1131">
        <v>-8.5134990878836751E-3</v>
      </c>
      <c r="AK1131">
        <v>47.259622</v>
      </c>
      <c r="AL1131">
        <v>-7.8518000000000004E-2</v>
      </c>
      <c r="AM1131">
        <v>49.02</v>
      </c>
      <c r="AN1131">
        <v>2.101</v>
      </c>
    </row>
    <row r="1132" spans="1:40" x14ac:dyDescent="0.35">
      <c r="A1132">
        <v>1397</v>
      </c>
      <c r="B1132">
        <v>72</v>
      </c>
      <c r="C1132" t="s">
        <v>48</v>
      </c>
      <c r="D1132" t="s">
        <v>52</v>
      </c>
      <c r="E1132" t="s">
        <v>42</v>
      </c>
      <c r="F1132" t="s">
        <v>49</v>
      </c>
      <c r="G1132">
        <v>5</v>
      </c>
      <c r="H1132">
        <v>25</v>
      </c>
      <c r="I1132">
        <v>4</v>
      </c>
      <c r="J1132" t="s">
        <v>56</v>
      </c>
      <c r="K1132" t="s">
        <v>46</v>
      </c>
      <c r="L1132" t="s">
        <v>59</v>
      </c>
      <c r="M1132">
        <v>81.40744708170574</v>
      </c>
      <c r="N1132">
        <v>135</v>
      </c>
      <c r="O1132">
        <v>99</v>
      </c>
      <c r="P1132">
        <v>63</v>
      </c>
      <c r="Q1132">
        <v>1.3862943611198906</v>
      </c>
      <c r="R1132">
        <v>1.3862943611198906</v>
      </c>
      <c r="S1132">
        <v>4.9972122737641147</v>
      </c>
      <c r="T1132">
        <v>90.035146103896111</v>
      </c>
      <c r="U1132">
        <v>1.418823059726001</v>
      </c>
      <c r="V1132">
        <v>-0.52223564926899602</v>
      </c>
      <c r="W1132">
        <v>-0.46072710968150399</v>
      </c>
      <c r="X1132">
        <v>-0.361786268345754</v>
      </c>
      <c r="Y1132">
        <v>-0.552694479448822</v>
      </c>
      <c r="Z1132">
        <v>2.1676297177028899E-2</v>
      </c>
      <c r="AA1132">
        <v>0.625223797005378</v>
      </c>
      <c r="AB1132">
        <v>2234.6992515788952</v>
      </c>
      <c r="AC1132">
        <v>0</v>
      </c>
      <c r="AD1132">
        <v>0.12112735591028891</v>
      </c>
      <c r="AE1132">
        <v>-0.60610368582010199</v>
      </c>
      <c r="AF1132">
        <v>-3.0369832925016851E-2</v>
      </c>
      <c r="AG1132">
        <v>-2.9131034235279967</v>
      </c>
      <c r="AH1132">
        <v>-1.4992019705562398</v>
      </c>
      <c r="AI1132">
        <v>-1.2952849713632</v>
      </c>
      <c r="AJ1132">
        <v>-1.01313307648493</v>
      </c>
      <c r="AK1132">
        <v>47.411035099999999</v>
      </c>
      <c r="AL1132">
        <v>0.98369799999999996</v>
      </c>
      <c r="AM1132">
        <v>46.6875</v>
      </c>
      <c r="AN1132">
        <v>0.82774999999999987</v>
      </c>
    </row>
    <row r="1133" spans="1:40" x14ac:dyDescent="0.35">
      <c r="A1133">
        <v>1398</v>
      </c>
      <c r="B1133">
        <v>72</v>
      </c>
      <c r="C1133" t="s">
        <v>40</v>
      </c>
      <c r="D1133" t="s">
        <v>52</v>
      </c>
      <c r="E1133" t="s">
        <v>42</v>
      </c>
      <c r="F1133" t="s">
        <v>61</v>
      </c>
      <c r="G1133">
        <v>5</v>
      </c>
      <c r="H1133">
        <v>25</v>
      </c>
      <c r="I1133">
        <v>5</v>
      </c>
      <c r="J1133" t="s">
        <v>56</v>
      </c>
      <c r="K1133" t="s">
        <v>46</v>
      </c>
      <c r="L1133" t="s">
        <v>60</v>
      </c>
      <c r="M1133">
        <v>72.044488677894449</v>
      </c>
      <c r="N1133">
        <v>109</v>
      </c>
      <c r="O1133">
        <v>82</v>
      </c>
      <c r="P1133">
        <v>333</v>
      </c>
      <c r="Q1133">
        <v>3.8501476017100584</v>
      </c>
      <c r="R1133">
        <v>2.9957322735539909</v>
      </c>
      <c r="S1133">
        <v>5.4424177105217932</v>
      </c>
      <c r="T1133">
        <v>88.975873222691746</v>
      </c>
      <c r="U1133">
        <v>2.5514539469641888</v>
      </c>
      <c r="V1133">
        <v>2.9336799326863701</v>
      </c>
      <c r="W1133">
        <v>3.3730943146768602</v>
      </c>
      <c r="X1133">
        <v>3.6072071704345601</v>
      </c>
      <c r="Y1133">
        <v>-0.19189497559235799</v>
      </c>
      <c r="Z1133">
        <v>0.17569111512999699</v>
      </c>
      <c r="AA1133">
        <v>-0.304970615080496</v>
      </c>
      <c r="AB1133">
        <v>1906.836709612184</v>
      </c>
      <c r="AC1133">
        <v>0.7978420820676605</v>
      </c>
      <c r="AD1133">
        <v>2.1056638128240834</v>
      </c>
      <c r="AE1133">
        <v>-0.25037207080954499</v>
      </c>
      <c r="AF1133">
        <v>0.70783663004693298</v>
      </c>
      <c r="AG1133">
        <v>1.3046294540058201</v>
      </c>
      <c r="AH1133">
        <v>0.49362822956907898</v>
      </c>
      <c r="AI1133">
        <v>0.78337916908577898</v>
      </c>
      <c r="AJ1133">
        <v>0.33398519557234502</v>
      </c>
      <c r="AK1133">
        <v>44.055988999999997</v>
      </c>
      <c r="AL1133">
        <v>4.8317350000000001</v>
      </c>
      <c r="AM1133">
        <v>44.694250000000004</v>
      </c>
      <c r="AN1133">
        <v>4.6818749999999998</v>
      </c>
    </row>
    <row r="1134" spans="1:40" x14ac:dyDescent="0.35">
      <c r="A1134">
        <v>1399</v>
      </c>
      <c r="B1134">
        <v>72</v>
      </c>
      <c r="C1134" t="s">
        <v>40</v>
      </c>
      <c r="D1134" t="s">
        <v>52</v>
      </c>
      <c r="E1134" t="s">
        <v>42</v>
      </c>
      <c r="F1134" t="s">
        <v>49</v>
      </c>
      <c r="G1134">
        <v>1</v>
      </c>
      <c r="H1134">
        <v>1</v>
      </c>
      <c r="I1134">
        <v>3</v>
      </c>
      <c r="J1134" t="s">
        <v>56</v>
      </c>
      <c r="K1134" t="s">
        <v>46</v>
      </c>
      <c r="L1134" t="s">
        <v>65</v>
      </c>
      <c r="M1134">
        <v>674.83282403265071</v>
      </c>
      <c r="N1134">
        <v>873</v>
      </c>
      <c r="O1134">
        <v>450</v>
      </c>
      <c r="P1134">
        <v>396</v>
      </c>
      <c r="Q1134">
        <v>0</v>
      </c>
      <c r="R1134">
        <v>0</v>
      </c>
      <c r="S1134">
        <v>4.4543472962535073</v>
      </c>
      <c r="T1134">
        <v>89.333044733044744</v>
      </c>
      <c r="U1134">
        <v>1.2554235437523662</v>
      </c>
      <c r="V1134">
        <v>1.64975517953679</v>
      </c>
      <c r="W1134">
        <v>2.4220969657957299</v>
      </c>
      <c r="X1134">
        <v>1.68128863126442</v>
      </c>
      <c r="Y1134">
        <v>2.0553398017137301</v>
      </c>
      <c r="Z1134">
        <v>2.0921400018840099</v>
      </c>
      <c r="AA1134">
        <v>2.0596698968962701</v>
      </c>
      <c r="AB1134">
        <v>3262.71</v>
      </c>
      <c r="AC1134">
        <v>0.33</v>
      </c>
      <c r="AD1134">
        <v>0.66</v>
      </c>
      <c r="AE1134">
        <v>1.9221838973381</v>
      </c>
      <c r="AF1134">
        <v>1.5885216587811499</v>
      </c>
      <c r="AG1134">
        <v>0.62843672265181105</v>
      </c>
      <c r="AH1134">
        <v>0.86841360518976096</v>
      </c>
      <c r="AI1134">
        <v>1.5878567888260799</v>
      </c>
      <c r="AJ1134">
        <v>0.227331084903274</v>
      </c>
      <c r="AK1134">
        <v>43.537466000000002</v>
      </c>
      <c r="AL1134">
        <v>6.4627330000000001</v>
      </c>
      <c r="AM1134">
        <v>48.802999999999997</v>
      </c>
      <c r="AN1134">
        <v>2.1179999999999999</v>
      </c>
    </row>
    <row r="1135" spans="1:40" x14ac:dyDescent="0.35">
      <c r="A1135">
        <v>1400</v>
      </c>
      <c r="B1135">
        <v>57</v>
      </c>
      <c r="C1135" t="s">
        <v>40</v>
      </c>
      <c r="D1135" t="s">
        <v>41</v>
      </c>
      <c r="E1135" t="s">
        <v>42</v>
      </c>
      <c r="F1135" t="s">
        <v>49</v>
      </c>
      <c r="G1135">
        <v>5</v>
      </c>
      <c r="H1135">
        <v>25</v>
      </c>
      <c r="I1135">
        <v>4</v>
      </c>
      <c r="J1135" t="s">
        <v>50</v>
      </c>
      <c r="K1135" t="s">
        <v>46</v>
      </c>
      <c r="L1135" t="s">
        <v>78</v>
      </c>
      <c r="M1135">
        <v>938.71043820681609</v>
      </c>
      <c r="N1135">
        <v>1242</v>
      </c>
      <c r="O1135">
        <v>986</v>
      </c>
      <c r="P1135">
        <v>1800</v>
      </c>
      <c r="Q1135">
        <v>0</v>
      </c>
      <c r="R1135">
        <v>0</v>
      </c>
      <c r="S1135">
        <v>3.784189633918261</v>
      </c>
      <c r="T1135">
        <v>88.642856449106446</v>
      </c>
      <c r="U1135">
        <v>1.0940428522509147</v>
      </c>
      <c r="V1135">
        <v>8.5508000285955607E-3</v>
      </c>
      <c r="W1135">
        <v>-0.51120442009665101</v>
      </c>
      <c r="X1135">
        <v>-0.50395056569549701</v>
      </c>
      <c r="Y1135">
        <v>-1.08176131679965</v>
      </c>
      <c r="Z1135">
        <v>-1.2254354371323599</v>
      </c>
      <c r="AA1135">
        <v>-2.1159072764009799</v>
      </c>
      <c r="AB1135">
        <v>465.17385257301805</v>
      </c>
      <c r="AC1135">
        <v>0.43254520166898469</v>
      </c>
      <c r="AD1135">
        <v>0.43254520166898469</v>
      </c>
      <c r="AE1135">
        <v>7.7424783941295205E-2</v>
      </c>
      <c r="AF1135">
        <v>-1.92399967065915</v>
      </c>
      <c r="AG1135">
        <v>-2.0364765602758364E-2</v>
      </c>
      <c r="AH1135">
        <v>2.6098196250925056E-2</v>
      </c>
      <c r="AI1135">
        <v>-0.56788202497603801</v>
      </c>
      <c r="AJ1135">
        <v>9.0608575325211604E-2</v>
      </c>
      <c r="AK1135">
        <v>42.680641999999999</v>
      </c>
      <c r="AL1135">
        <v>9.3018979999999996</v>
      </c>
      <c r="AM1135">
        <v>49.547454545454549</v>
      </c>
      <c r="AN1135">
        <v>2.2211818181818184</v>
      </c>
    </row>
    <row r="1136" spans="1:40" x14ac:dyDescent="0.35">
      <c r="A1136">
        <v>1402</v>
      </c>
      <c r="B1136">
        <v>72</v>
      </c>
      <c r="C1136" t="s">
        <v>40</v>
      </c>
      <c r="D1136" t="s">
        <v>52</v>
      </c>
      <c r="E1136" t="s">
        <v>42</v>
      </c>
      <c r="F1136" t="s">
        <v>53</v>
      </c>
      <c r="G1136">
        <v>5</v>
      </c>
      <c r="H1136">
        <v>25</v>
      </c>
      <c r="I1136">
        <v>4</v>
      </c>
      <c r="J1136" t="s">
        <v>56</v>
      </c>
      <c r="K1136" t="s">
        <v>46</v>
      </c>
      <c r="L1136" t="s">
        <v>60</v>
      </c>
      <c r="M1136">
        <v>566.35337322017767</v>
      </c>
      <c r="N1136">
        <v>681</v>
      </c>
      <c r="O1136">
        <v>500</v>
      </c>
      <c r="P1136">
        <v>336</v>
      </c>
      <c r="Q1136">
        <v>3.8501476017100584</v>
      </c>
      <c r="R1136">
        <v>2.9957322735539909</v>
      </c>
      <c r="S1136">
        <v>5.4424177105217932</v>
      </c>
      <c r="T1136">
        <v>88.975873222691746</v>
      </c>
      <c r="U1136">
        <v>2.5514539469641888</v>
      </c>
      <c r="V1136">
        <v>2.9336799326863701</v>
      </c>
      <c r="W1136">
        <v>3.3730943146768602</v>
      </c>
      <c r="X1136">
        <v>3.6072071704345601</v>
      </c>
      <c r="Y1136">
        <v>-0.19189497559235799</v>
      </c>
      <c r="Z1136">
        <v>0.17569111512999699</v>
      </c>
      <c r="AA1136">
        <v>-0.304970615080496</v>
      </c>
      <c r="AB1136">
        <v>1906.836709612184</v>
      </c>
      <c r="AC1136">
        <v>0.7978420820676605</v>
      </c>
      <c r="AD1136">
        <v>2.1056638128240834</v>
      </c>
      <c r="AE1136">
        <v>-0.25037207080954499</v>
      </c>
      <c r="AF1136">
        <v>-4.6962571801809697E-2</v>
      </c>
      <c r="AG1136">
        <v>0.55617951109767405</v>
      </c>
      <c r="AH1136">
        <v>0.33165749376561598</v>
      </c>
      <c r="AI1136">
        <v>-0.34961129808730201</v>
      </c>
      <c r="AJ1136">
        <v>-0.13398931706061501</v>
      </c>
      <c r="AK1136">
        <v>44.055988999999997</v>
      </c>
      <c r="AL1136">
        <v>4.8317350000000001</v>
      </c>
      <c r="AM1136">
        <v>48.740666666666669</v>
      </c>
      <c r="AN1136">
        <v>1.9506666666666668</v>
      </c>
    </row>
    <row r="1137" spans="1:40" x14ac:dyDescent="0.35">
      <c r="A1137">
        <v>1404</v>
      </c>
      <c r="B1137">
        <v>57</v>
      </c>
      <c r="C1137" t="s">
        <v>40</v>
      </c>
      <c r="D1137" t="s">
        <v>66</v>
      </c>
      <c r="E1137" t="s">
        <v>42</v>
      </c>
      <c r="F1137" t="s">
        <v>49</v>
      </c>
      <c r="G1137">
        <v>1</v>
      </c>
      <c r="H1137">
        <v>1</v>
      </c>
      <c r="I1137">
        <v>3</v>
      </c>
      <c r="J1137" t="s">
        <v>45</v>
      </c>
      <c r="K1137" t="s">
        <v>46</v>
      </c>
      <c r="L1137" t="s">
        <v>55</v>
      </c>
      <c r="M1137">
        <v>382.48344646330003</v>
      </c>
      <c r="N1137">
        <v>535</v>
      </c>
      <c r="O1137">
        <v>325</v>
      </c>
      <c r="P1137">
        <v>213</v>
      </c>
      <c r="Q1137">
        <v>2.0794415416798357</v>
      </c>
      <c r="R1137">
        <v>2.3025850929940459</v>
      </c>
      <c r="S1137">
        <v>3.2580965380214821</v>
      </c>
      <c r="T1137">
        <v>95.12</v>
      </c>
      <c r="U1137">
        <v>0</v>
      </c>
      <c r="V1137">
        <v>1.89305099905856</v>
      </c>
      <c r="W1137">
        <v>0.59880690621441701</v>
      </c>
      <c r="X1137">
        <v>1.1856460040685599</v>
      </c>
      <c r="Y1137">
        <v>-0.15565097555555901</v>
      </c>
      <c r="Z1137">
        <v>-0.22748295097212001</v>
      </c>
      <c r="AA1137">
        <v>1.0415013010201299</v>
      </c>
      <c r="AB1137">
        <v>2939.9504036908884</v>
      </c>
      <c r="AC1137">
        <v>2</v>
      </c>
      <c r="AD1137">
        <v>0.42868127643214149</v>
      </c>
      <c r="AE1137">
        <v>-2.40641039566141E-2</v>
      </c>
      <c r="AF1137">
        <v>-0.61411134104610099</v>
      </c>
      <c r="AG1137">
        <v>-1.0315246275576699</v>
      </c>
      <c r="AH1137">
        <v>-3.08940279976661</v>
      </c>
      <c r="AI1137">
        <v>-1.98955696218282</v>
      </c>
      <c r="AJ1137">
        <v>-3.6485729634324602</v>
      </c>
      <c r="AK1137">
        <v>48.0777517</v>
      </c>
      <c r="AL1137">
        <v>7.3579641000000002</v>
      </c>
      <c r="AM1137">
        <v>48.728000000000002</v>
      </c>
      <c r="AN1137">
        <v>2.2749999999999999</v>
      </c>
    </row>
    <row r="1138" spans="1:40" x14ac:dyDescent="0.35">
      <c r="A1138">
        <v>1405</v>
      </c>
      <c r="B1138">
        <v>57</v>
      </c>
      <c r="C1138" t="s">
        <v>48</v>
      </c>
      <c r="D1138" t="s">
        <v>66</v>
      </c>
      <c r="E1138" t="s">
        <v>42</v>
      </c>
      <c r="F1138" t="s">
        <v>61</v>
      </c>
      <c r="G1138">
        <v>5</v>
      </c>
      <c r="H1138">
        <v>25</v>
      </c>
      <c r="I1138">
        <v>4</v>
      </c>
      <c r="J1138" t="s">
        <v>56</v>
      </c>
      <c r="K1138" t="s">
        <v>46</v>
      </c>
      <c r="L1138" t="s">
        <v>51</v>
      </c>
      <c r="M1138">
        <v>157.82131685425651</v>
      </c>
      <c r="N1138">
        <v>184</v>
      </c>
      <c r="O1138">
        <v>154</v>
      </c>
      <c r="P1138">
        <v>161</v>
      </c>
      <c r="Q1138">
        <v>0</v>
      </c>
      <c r="R1138">
        <v>1.3862943611198906</v>
      </c>
      <c r="S1138">
        <v>4.3438054218536841</v>
      </c>
      <c r="T1138">
        <v>91.16</v>
      </c>
      <c r="U1138">
        <v>2.3174698847378039</v>
      </c>
      <c r="V1138">
        <v>-0.58471966768986094</v>
      </c>
      <c r="W1138">
        <v>-0.55557078097057</v>
      </c>
      <c r="X1138">
        <v>-0.47566183223429498</v>
      </c>
      <c r="Y1138">
        <v>-0.95884680312505799</v>
      </c>
      <c r="Z1138">
        <v>-0.76521334103430205</v>
      </c>
      <c r="AA1138">
        <v>-0.77245900699560299</v>
      </c>
      <c r="AB1138">
        <v>1376</v>
      </c>
      <c r="AC1138">
        <v>0</v>
      </c>
      <c r="AD1138">
        <v>2</v>
      </c>
      <c r="AE1138">
        <v>-1.2769936012368599</v>
      </c>
      <c r="AF1138">
        <v>-0.20375268992270301</v>
      </c>
      <c r="AG1138">
        <v>1.29617271094903</v>
      </c>
      <c r="AH1138">
        <v>-2.3905667843025502E-3</v>
      </c>
      <c r="AI1138">
        <v>-9.4347265217690102E-2</v>
      </c>
      <c r="AJ1138">
        <v>-0.52887431897094295</v>
      </c>
      <c r="AK1138">
        <v>47.815207299999997</v>
      </c>
      <c r="AL1138">
        <v>3.8001657</v>
      </c>
      <c r="AM1138">
        <v>48.856372813999997</v>
      </c>
      <c r="AN1138">
        <v>2.3525296170000001</v>
      </c>
    </row>
    <row r="1139" spans="1:40" x14ac:dyDescent="0.35">
      <c r="A1139">
        <v>1406</v>
      </c>
      <c r="B1139">
        <v>72</v>
      </c>
      <c r="C1139" t="s">
        <v>40</v>
      </c>
      <c r="D1139" t="s">
        <v>52</v>
      </c>
      <c r="E1139" t="s">
        <v>42</v>
      </c>
      <c r="F1139" t="s">
        <v>49</v>
      </c>
      <c r="G1139">
        <v>4</v>
      </c>
      <c r="H1139">
        <v>16</v>
      </c>
      <c r="I1139">
        <v>6</v>
      </c>
      <c r="J1139" t="s">
        <v>56</v>
      </c>
      <c r="K1139" t="s">
        <v>46</v>
      </c>
      <c r="L1139" t="s">
        <v>77</v>
      </c>
      <c r="M1139">
        <v>299.35822446931991</v>
      </c>
      <c r="N1139">
        <v>289</v>
      </c>
      <c r="O1139">
        <v>196</v>
      </c>
      <c r="P1139">
        <v>221</v>
      </c>
      <c r="Q1139">
        <v>0</v>
      </c>
      <c r="R1139">
        <v>2.3978952727983707</v>
      </c>
      <c r="S1139">
        <v>5.1416635565026603</v>
      </c>
      <c r="T1139">
        <v>90.472417453603512</v>
      </c>
      <c r="U1139">
        <v>2.7735735584863375</v>
      </c>
      <c r="V1139">
        <v>-0.15231437986527399</v>
      </c>
      <c r="W1139">
        <v>3.49635939345109E-2</v>
      </c>
      <c r="X1139">
        <v>-0.19627808847033801</v>
      </c>
      <c r="Y1139">
        <v>-0.57382446736590997</v>
      </c>
      <c r="Z1139">
        <v>-0.74335605457542497</v>
      </c>
      <c r="AA1139">
        <v>-0.53588051656191904</v>
      </c>
      <c r="AB1139">
        <v>3937</v>
      </c>
      <c r="AC1139">
        <v>0</v>
      </c>
      <c r="AD1139">
        <v>1</v>
      </c>
      <c r="AE1139">
        <v>-0.72244456620022002</v>
      </c>
      <c r="AF1139">
        <v>-5.3794022519252901E-2</v>
      </c>
      <c r="AG1139">
        <v>0.99864717774348399</v>
      </c>
      <c r="AH1139">
        <v>1.1237802463867601</v>
      </c>
      <c r="AI1139">
        <v>-0.36636686449051598</v>
      </c>
      <c r="AJ1139">
        <v>1.0597376732950901</v>
      </c>
      <c r="AK1139">
        <v>47.259622</v>
      </c>
      <c r="AL1139">
        <v>-7.8518000000000004E-2</v>
      </c>
      <c r="AM1139">
        <v>48.710666666666661</v>
      </c>
      <c r="AN1139">
        <v>-3.4618888888888883</v>
      </c>
    </row>
    <row r="1140" spans="1:40" x14ac:dyDescent="0.35">
      <c r="A1140">
        <v>1407</v>
      </c>
      <c r="B1140">
        <v>57</v>
      </c>
      <c r="C1140" t="s">
        <v>40</v>
      </c>
      <c r="D1140" t="s">
        <v>52</v>
      </c>
      <c r="E1140" t="s">
        <v>68</v>
      </c>
      <c r="F1140" t="s">
        <v>49</v>
      </c>
      <c r="G1140">
        <v>4</v>
      </c>
      <c r="H1140">
        <v>16</v>
      </c>
      <c r="I1140">
        <v>6</v>
      </c>
      <c r="J1140" t="s">
        <v>50</v>
      </c>
      <c r="K1140" t="s">
        <v>46</v>
      </c>
      <c r="L1140" t="s">
        <v>72</v>
      </c>
      <c r="M1140">
        <v>731.10476626289585</v>
      </c>
      <c r="N1140">
        <v>905</v>
      </c>
      <c r="O1140">
        <v>565</v>
      </c>
      <c r="P1140">
        <v>553</v>
      </c>
      <c r="Q1140">
        <v>0.69314718055994529</v>
      </c>
      <c r="R1140">
        <v>1.3862943611198906</v>
      </c>
      <c r="S1140">
        <v>4.5538768916005408</v>
      </c>
      <c r="T1140">
        <v>89.340161030595823</v>
      </c>
      <c r="U1140">
        <v>1.4712304197281412</v>
      </c>
      <c r="V1140">
        <v>0.59716251398508702</v>
      </c>
      <c r="W1140">
        <v>0.91068296986709796</v>
      </c>
      <c r="X1140">
        <v>1.2273243988355</v>
      </c>
      <c r="Y1140">
        <v>-0.4121809470949</v>
      </c>
      <c r="Z1140">
        <v>-0.86472582726521097</v>
      </c>
      <c r="AA1140">
        <v>-1.0172779374790899</v>
      </c>
      <c r="AB1140">
        <v>1828.1689246701658</v>
      </c>
      <c r="AC1140">
        <v>1.1127464888636687</v>
      </c>
      <c r="AD1140">
        <v>1.8630656830756136</v>
      </c>
      <c r="AE1140">
        <v>-0.53926882203722504</v>
      </c>
      <c r="AF1140">
        <v>0.18505549139077501</v>
      </c>
      <c r="AG1140">
        <v>-1.7248897591118399</v>
      </c>
      <c r="AH1140">
        <v>0.247733959311598</v>
      </c>
      <c r="AI1140">
        <v>0.13053855471096101</v>
      </c>
      <c r="AJ1140">
        <v>0.66608803306271203</v>
      </c>
      <c r="AK1140">
        <v>44.503641999999999</v>
      </c>
      <c r="AL1140">
        <v>1.1863669999999999</v>
      </c>
      <c r="AM1140">
        <v>50.640682937000001</v>
      </c>
      <c r="AN1140">
        <v>4.6610704270000003</v>
      </c>
    </row>
    <row r="1141" spans="1:40" x14ac:dyDescent="0.35">
      <c r="A1141">
        <v>1408</v>
      </c>
      <c r="B1141">
        <v>57</v>
      </c>
      <c r="C1141" t="s">
        <v>40</v>
      </c>
      <c r="D1141" t="s">
        <v>52</v>
      </c>
      <c r="E1141" t="s">
        <v>42</v>
      </c>
      <c r="F1141" t="s">
        <v>49</v>
      </c>
      <c r="G1141">
        <v>5</v>
      </c>
      <c r="H1141">
        <v>25</v>
      </c>
      <c r="I1141">
        <v>6</v>
      </c>
      <c r="J1141" t="s">
        <v>56</v>
      </c>
      <c r="K1141" t="s">
        <v>46</v>
      </c>
      <c r="L1141" t="s">
        <v>63</v>
      </c>
      <c r="M1141">
        <v>28.92877762881454</v>
      </c>
      <c r="N1141">
        <v>51</v>
      </c>
      <c r="O1141">
        <v>75</v>
      </c>
      <c r="P1141">
        <v>30</v>
      </c>
      <c r="Q1141">
        <v>0</v>
      </c>
      <c r="R1141">
        <v>0</v>
      </c>
      <c r="S1141">
        <v>2.1972245773362196</v>
      </c>
      <c r="T1141">
        <v>88.571764705882345</v>
      </c>
      <c r="U1141">
        <v>1.0581645007873905</v>
      </c>
      <c r="V1141">
        <v>-0.86345913794285001</v>
      </c>
      <c r="W1141">
        <v>-0.82100750411685597</v>
      </c>
      <c r="X1141">
        <v>-0.74332398245148801</v>
      </c>
      <c r="Y1141">
        <v>1.4483117406157899</v>
      </c>
      <c r="Z1141">
        <v>1.7680602694732599</v>
      </c>
      <c r="AA1141">
        <v>0.26366440732357699</v>
      </c>
      <c r="AB1141">
        <v>4236</v>
      </c>
      <c r="AC1141">
        <v>0</v>
      </c>
      <c r="AD1141">
        <v>4</v>
      </c>
      <c r="AE1141">
        <v>1.6751267091712101</v>
      </c>
      <c r="AF1141">
        <v>-0.58349922725707304</v>
      </c>
      <c r="AG1141">
        <v>-0.106946474278397</v>
      </c>
      <c r="AH1141">
        <v>0.52197757747772799</v>
      </c>
      <c r="AI1141">
        <v>0.25454136130281602</v>
      </c>
      <c r="AJ1141">
        <v>-0.39532782758858598</v>
      </c>
      <c r="AK1141">
        <v>45.086143999999997</v>
      </c>
      <c r="AL1141">
        <v>-0.60531999999999997</v>
      </c>
      <c r="AM1141">
        <v>44.832000000000001</v>
      </c>
      <c r="AN1141">
        <v>-0.68200000000000005</v>
      </c>
    </row>
    <row r="1142" spans="1:40" x14ac:dyDescent="0.35">
      <c r="A1142">
        <v>1409</v>
      </c>
      <c r="B1142">
        <v>72</v>
      </c>
      <c r="C1142" t="s">
        <v>40</v>
      </c>
      <c r="D1142" t="s">
        <v>52</v>
      </c>
      <c r="E1142" t="s">
        <v>42</v>
      </c>
      <c r="F1142" t="s">
        <v>61</v>
      </c>
      <c r="G1142">
        <v>6</v>
      </c>
      <c r="H1142">
        <v>36</v>
      </c>
      <c r="I1142">
        <v>5</v>
      </c>
      <c r="J1142" t="s">
        <v>50</v>
      </c>
      <c r="K1142" t="s">
        <v>46</v>
      </c>
      <c r="L1142" t="s">
        <v>72</v>
      </c>
      <c r="M1142">
        <v>258.90772325806148</v>
      </c>
      <c r="N1142">
        <v>306</v>
      </c>
      <c r="O1142">
        <v>203</v>
      </c>
      <c r="P1142">
        <v>254</v>
      </c>
      <c r="Q1142">
        <v>0.69314718055994529</v>
      </c>
      <c r="R1142">
        <v>1.3862943611198906</v>
      </c>
      <c r="S1142">
        <v>4.5538768916005408</v>
      </c>
      <c r="T1142">
        <v>89.340161030595823</v>
      </c>
      <c r="U1142">
        <v>1.4712304197281412</v>
      </c>
      <c r="V1142">
        <v>0.59716251398508702</v>
      </c>
      <c r="W1142">
        <v>0.91068296986709796</v>
      </c>
      <c r="X1142">
        <v>1.2273243988355</v>
      </c>
      <c r="Y1142">
        <v>-0.4121809470949</v>
      </c>
      <c r="Z1142">
        <v>-0.86472582726521097</v>
      </c>
      <c r="AA1142">
        <v>-1.0172779374790899</v>
      </c>
      <c r="AB1142">
        <v>1828.1689246701658</v>
      </c>
      <c r="AC1142">
        <v>1.1127464888636687</v>
      </c>
      <c r="AD1142">
        <v>1.8630656830756136</v>
      </c>
      <c r="AE1142">
        <v>-0.53926882203722504</v>
      </c>
      <c r="AF1142">
        <v>-1.2527408451948201</v>
      </c>
      <c r="AG1142">
        <v>-1.1265448282777899</v>
      </c>
      <c r="AH1142">
        <v>-1.9394190524020201</v>
      </c>
      <c r="AI1142">
        <v>-0.45693874328242301</v>
      </c>
      <c r="AJ1142">
        <v>0.43098238780769199</v>
      </c>
      <c r="AK1142">
        <v>44.503641999999999</v>
      </c>
      <c r="AL1142">
        <v>1.1863669999999999</v>
      </c>
      <c r="AM1142">
        <v>43.385000000000005</v>
      </c>
      <c r="AN1142">
        <v>-1.6459999999999999</v>
      </c>
    </row>
    <row r="1143" spans="1:40" x14ac:dyDescent="0.35">
      <c r="A1143">
        <v>1410</v>
      </c>
      <c r="B1143">
        <v>42</v>
      </c>
      <c r="C1143" t="s">
        <v>40</v>
      </c>
      <c r="D1143" t="s">
        <v>66</v>
      </c>
      <c r="E1143" t="s">
        <v>42</v>
      </c>
      <c r="F1143" t="s">
        <v>43</v>
      </c>
      <c r="G1143">
        <v>5</v>
      </c>
      <c r="H1143">
        <v>25</v>
      </c>
      <c r="I1143">
        <v>4</v>
      </c>
      <c r="J1143" t="s">
        <v>50</v>
      </c>
      <c r="K1143" t="s">
        <v>46</v>
      </c>
      <c r="L1143" t="s">
        <v>62</v>
      </c>
      <c r="M1143">
        <v>24.162535808376852</v>
      </c>
      <c r="N1143">
        <v>33</v>
      </c>
      <c r="O1143">
        <v>35</v>
      </c>
      <c r="P1143">
        <v>15</v>
      </c>
      <c r="Q1143">
        <v>0.69314718055994529</v>
      </c>
      <c r="R1143">
        <v>3.2580965380214821</v>
      </c>
      <c r="S1143">
        <v>3.2580965380214821</v>
      </c>
      <c r="T1143">
        <v>95.68</v>
      </c>
      <c r="U1143">
        <v>0</v>
      </c>
      <c r="V1143">
        <v>1.82802042479695</v>
      </c>
      <c r="W1143">
        <v>0.99424279543483596</v>
      </c>
      <c r="X1143">
        <v>0.99177342203587404</v>
      </c>
      <c r="Y1143">
        <v>-0.96278755162326501</v>
      </c>
      <c r="Z1143">
        <v>-0.75605764486205096</v>
      </c>
      <c r="AA1143">
        <v>-0.80037586101695801</v>
      </c>
      <c r="AB1143">
        <v>2092.91</v>
      </c>
      <c r="AC1143">
        <v>0</v>
      </c>
      <c r="AD1143">
        <v>2.1</v>
      </c>
      <c r="AE1143">
        <v>-1.0768626388726401</v>
      </c>
      <c r="AF1143">
        <v>0.73270687394645195</v>
      </c>
      <c r="AG1143">
        <v>0.618248921965875</v>
      </c>
      <c r="AH1143">
        <v>-0.18356624218265</v>
      </c>
      <c r="AI1143">
        <v>0.78337916908577898</v>
      </c>
      <c r="AJ1143">
        <v>0.33398519557234502</v>
      </c>
      <c r="AK1143">
        <v>49.042560999999999</v>
      </c>
      <c r="AL1143">
        <v>3.9528660000000002</v>
      </c>
      <c r="AM1143">
        <v>49.252000000000002</v>
      </c>
      <c r="AN1143">
        <v>4.04</v>
      </c>
    </row>
    <row r="1144" spans="1:40" x14ac:dyDescent="0.35">
      <c r="A1144">
        <v>1411</v>
      </c>
      <c r="B1144">
        <v>72</v>
      </c>
      <c r="C1144" t="s">
        <v>40</v>
      </c>
      <c r="D1144" t="s">
        <v>52</v>
      </c>
      <c r="E1144" t="s">
        <v>42</v>
      </c>
      <c r="F1144" t="s">
        <v>49</v>
      </c>
      <c r="G1144">
        <v>5</v>
      </c>
      <c r="H1144">
        <v>25</v>
      </c>
      <c r="I1144">
        <v>7</v>
      </c>
      <c r="J1144" t="s">
        <v>56</v>
      </c>
      <c r="K1144" t="s">
        <v>46</v>
      </c>
      <c r="L1144" t="s">
        <v>65</v>
      </c>
      <c r="M1144">
        <v>334.60079371862469</v>
      </c>
      <c r="N1144">
        <v>430</v>
      </c>
      <c r="O1144">
        <v>260</v>
      </c>
      <c r="P1144">
        <v>544</v>
      </c>
      <c r="Q1144">
        <v>0</v>
      </c>
      <c r="R1144">
        <v>0</v>
      </c>
      <c r="S1144">
        <v>4.4543472962535073</v>
      </c>
      <c r="T1144">
        <v>89.333044733044744</v>
      </c>
      <c r="U1144">
        <v>1.2554235437523662</v>
      </c>
      <c r="V1144">
        <v>1.64975517953679</v>
      </c>
      <c r="W1144">
        <v>2.4220969657957299</v>
      </c>
      <c r="X1144">
        <v>1.68128863126442</v>
      </c>
      <c r="Y1144">
        <v>2.0553398017137301</v>
      </c>
      <c r="Z1144">
        <v>2.0921400018840099</v>
      </c>
      <c r="AA1144">
        <v>2.0596698968962701</v>
      </c>
      <c r="AB1144">
        <v>3262.71</v>
      </c>
      <c r="AC1144">
        <v>0.33</v>
      </c>
      <c r="AD1144">
        <v>0.66</v>
      </c>
      <c r="AE1144">
        <v>1.9221838973381</v>
      </c>
      <c r="AF1144">
        <v>0.73087825625317604</v>
      </c>
      <c r="AG1144">
        <v>1.29674314278506</v>
      </c>
      <c r="AH1144">
        <v>0.83936919779809105</v>
      </c>
      <c r="AI1144">
        <v>0.79250010349533895</v>
      </c>
      <c r="AJ1144">
        <v>1.1471634246589</v>
      </c>
      <c r="AK1144">
        <v>43.537466000000002</v>
      </c>
      <c r="AL1144">
        <v>6.4627330000000001</v>
      </c>
      <c r="AM1144">
        <v>44.654999999999994</v>
      </c>
      <c r="AN1144">
        <v>2.576857142857143</v>
      </c>
    </row>
    <row r="1145" spans="1:40" x14ac:dyDescent="0.35">
      <c r="A1145">
        <v>1413</v>
      </c>
      <c r="B1145">
        <v>42</v>
      </c>
      <c r="C1145" t="s">
        <v>48</v>
      </c>
      <c r="D1145" t="s">
        <v>66</v>
      </c>
      <c r="E1145" t="s">
        <v>42</v>
      </c>
      <c r="F1145" t="s">
        <v>49</v>
      </c>
      <c r="G1145">
        <v>6</v>
      </c>
      <c r="H1145">
        <v>36</v>
      </c>
      <c r="I1145">
        <v>5</v>
      </c>
      <c r="J1145" t="s">
        <v>56</v>
      </c>
      <c r="K1145" t="s">
        <v>46</v>
      </c>
      <c r="L1145" t="s">
        <v>73</v>
      </c>
      <c r="M1145">
        <v>20.521448788258301</v>
      </c>
      <c r="N1145">
        <v>25</v>
      </c>
      <c r="O1145">
        <v>37</v>
      </c>
      <c r="P1145">
        <v>27</v>
      </c>
      <c r="Q1145">
        <v>1.9459101490553132</v>
      </c>
      <c r="R1145">
        <v>2.9444389791664403</v>
      </c>
      <c r="S1145">
        <v>4.2626798770413155</v>
      </c>
      <c r="T1145">
        <v>91.872500000000002</v>
      </c>
      <c r="U1145">
        <v>2.0033201607997366</v>
      </c>
      <c r="V1145">
        <v>7.5580716531248995E-2</v>
      </c>
      <c r="W1145">
        <v>0.203376316306385</v>
      </c>
      <c r="X1145">
        <v>0.143329752535333</v>
      </c>
      <c r="Y1145">
        <v>1.4483117406157899</v>
      </c>
      <c r="Z1145">
        <v>1.7680602694732599</v>
      </c>
      <c r="AA1145">
        <v>0.26366440732357699</v>
      </c>
      <c r="AB1145">
        <v>4236</v>
      </c>
      <c r="AC1145">
        <v>0</v>
      </c>
      <c r="AD1145">
        <v>4</v>
      </c>
      <c r="AE1145">
        <v>1.6751267091712101</v>
      </c>
      <c r="AF1145">
        <v>1.5460613518814501</v>
      </c>
      <c r="AG1145">
        <v>1.0797383975188599</v>
      </c>
      <c r="AH1145">
        <v>0.82580291285532803</v>
      </c>
      <c r="AI1145">
        <v>1.5878567888260799</v>
      </c>
      <c r="AJ1145">
        <v>0.227331084903274</v>
      </c>
      <c r="AK1145">
        <v>44.686388999999998</v>
      </c>
      <c r="AL1145">
        <v>-0.52383800000000003</v>
      </c>
      <c r="AM1145">
        <v>44.844900000000003</v>
      </c>
      <c r="AN1145">
        <v>-0.65639999999999998</v>
      </c>
    </row>
    <row r="1146" spans="1:40" x14ac:dyDescent="0.35">
      <c r="A1146">
        <v>1415</v>
      </c>
      <c r="B1146">
        <v>72</v>
      </c>
      <c r="C1146" t="s">
        <v>40</v>
      </c>
      <c r="D1146" t="s">
        <v>52</v>
      </c>
      <c r="E1146" t="s">
        <v>42</v>
      </c>
      <c r="F1146" t="s">
        <v>49</v>
      </c>
      <c r="G1146">
        <v>4</v>
      </c>
      <c r="H1146">
        <v>16</v>
      </c>
      <c r="I1146">
        <v>5</v>
      </c>
      <c r="J1146" t="s">
        <v>50</v>
      </c>
      <c r="K1146" t="s">
        <v>46</v>
      </c>
      <c r="L1146" t="s">
        <v>55</v>
      </c>
      <c r="M1146">
        <v>35.20978532768784</v>
      </c>
      <c r="N1146">
        <v>90</v>
      </c>
      <c r="O1146">
        <v>106</v>
      </c>
      <c r="P1146">
        <v>173</v>
      </c>
      <c r="Q1146">
        <v>2.0794415416798357</v>
      </c>
      <c r="R1146">
        <v>2.3025850929940459</v>
      </c>
      <c r="S1146">
        <v>3.2580965380214821</v>
      </c>
      <c r="T1146">
        <v>95.12</v>
      </c>
      <c r="U1146">
        <v>0</v>
      </c>
      <c r="V1146">
        <v>1.89305099905856</v>
      </c>
      <c r="W1146">
        <v>0.59880690621441701</v>
      </c>
      <c r="X1146">
        <v>1.1856460040685599</v>
      </c>
      <c r="Y1146">
        <v>-0.15565097555555901</v>
      </c>
      <c r="Z1146">
        <v>-0.22748295097212001</v>
      </c>
      <c r="AA1146">
        <v>1.0415013010201299</v>
      </c>
      <c r="AB1146">
        <v>2939.9504036908884</v>
      </c>
      <c r="AC1146">
        <v>2</v>
      </c>
      <c r="AD1146">
        <v>0.42868127643214149</v>
      </c>
      <c r="AE1146">
        <v>-2.40641039566141E-2</v>
      </c>
      <c r="AF1146">
        <v>-1.1664218024142099</v>
      </c>
      <c r="AG1146">
        <v>1.3204870414654399</v>
      </c>
      <c r="AH1146">
        <v>-5.1802428598752601E-2</v>
      </c>
      <c r="AI1146">
        <v>-0.81845748280219199</v>
      </c>
      <c r="AJ1146">
        <v>0.76298408173309895</v>
      </c>
      <c r="AK1146">
        <v>48.0777517</v>
      </c>
      <c r="AL1146">
        <v>7.3579641000000002</v>
      </c>
      <c r="AM1146">
        <v>48.273375000000001</v>
      </c>
      <c r="AN1146">
        <v>6.9852500000000006</v>
      </c>
    </row>
    <row r="1147" spans="1:40" x14ac:dyDescent="0.35">
      <c r="A1147">
        <v>1417</v>
      </c>
      <c r="B1147">
        <v>42</v>
      </c>
      <c r="C1147" t="s">
        <v>40</v>
      </c>
      <c r="D1147" t="s">
        <v>66</v>
      </c>
      <c r="E1147" t="s">
        <v>42</v>
      </c>
      <c r="F1147" t="s">
        <v>43</v>
      </c>
      <c r="G1147">
        <v>4</v>
      </c>
      <c r="H1147">
        <v>16</v>
      </c>
      <c r="I1147">
        <v>7</v>
      </c>
      <c r="J1147" t="s">
        <v>56</v>
      </c>
      <c r="K1147" t="s">
        <v>46</v>
      </c>
      <c r="L1147" t="s">
        <v>74</v>
      </c>
      <c r="M1147">
        <v>207.5482502197444</v>
      </c>
      <c r="N1147">
        <v>194</v>
      </c>
      <c r="O1147">
        <v>130</v>
      </c>
      <c r="P1147">
        <v>234</v>
      </c>
      <c r="Q1147">
        <v>1.6094379124341003</v>
      </c>
      <c r="R1147">
        <v>2.5649493574615367</v>
      </c>
      <c r="S1147">
        <v>4.8202815656050371</v>
      </c>
      <c r="T1147">
        <v>91.984920634920627</v>
      </c>
      <c r="U1147">
        <v>1.0351430572167302</v>
      </c>
      <c r="V1147">
        <v>-0.45376679124596098</v>
      </c>
      <c r="W1147">
        <v>-0.56138574648679695</v>
      </c>
      <c r="X1147">
        <v>-0.92192590083580195</v>
      </c>
      <c r="Y1147">
        <v>-1.17232967929859</v>
      </c>
      <c r="Z1147">
        <v>-0.98267194414701198</v>
      </c>
      <c r="AA1147">
        <v>-0.89586780259421905</v>
      </c>
      <c r="AB1147">
        <v>1270</v>
      </c>
      <c r="AC1147">
        <v>3</v>
      </c>
      <c r="AD1147">
        <v>1</v>
      </c>
      <c r="AE1147">
        <v>-1.1438350904766701</v>
      </c>
      <c r="AF1147">
        <v>1.91363010963044</v>
      </c>
      <c r="AG1147">
        <v>-1.5222019591504801</v>
      </c>
      <c r="AH1147">
        <v>-0.59476589498004795</v>
      </c>
      <c r="AI1147">
        <v>0.43923805403136701</v>
      </c>
      <c r="AJ1147">
        <v>-0.316819361917974</v>
      </c>
      <c r="AK1147">
        <v>46.672161000000003</v>
      </c>
      <c r="AL1147">
        <v>5.558465</v>
      </c>
      <c r="AM1147">
        <v>48.492555555555555</v>
      </c>
      <c r="AN1147">
        <v>4.9611111111111121</v>
      </c>
    </row>
    <row r="1148" spans="1:40" x14ac:dyDescent="0.35">
      <c r="A1148">
        <v>1418</v>
      </c>
      <c r="B1148">
        <v>57</v>
      </c>
      <c r="C1148" t="s">
        <v>40</v>
      </c>
      <c r="D1148" t="s">
        <v>66</v>
      </c>
      <c r="E1148" t="s">
        <v>42</v>
      </c>
      <c r="F1148" t="s">
        <v>49</v>
      </c>
      <c r="G1148">
        <v>6</v>
      </c>
      <c r="H1148">
        <v>36</v>
      </c>
      <c r="I1148">
        <v>4</v>
      </c>
      <c r="J1148" t="s">
        <v>50</v>
      </c>
      <c r="K1148" t="s">
        <v>46</v>
      </c>
      <c r="L1148" t="s">
        <v>71</v>
      </c>
      <c r="M1148">
        <v>461.9144726137834</v>
      </c>
      <c r="N1148">
        <v>435</v>
      </c>
      <c r="O1148">
        <v>240</v>
      </c>
      <c r="P1148">
        <v>229</v>
      </c>
      <c r="Q1148">
        <v>4.5747109785033828</v>
      </c>
      <c r="R1148">
        <v>3.5263605246161616</v>
      </c>
      <c r="S1148">
        <v>5.1416635565026603</v>
      </c>
      <c r="T1148">
        <v>92.265120976563693</v>
      </c>
      <c r="U1148">
        <v>2.9351954657362995</v>
      </c>
      <c r="V1148">
        <v>-8.3509539921858403E-2</v>
      </c>
      <c r="W1148">
        <v>-8.6188355584626702E-2</v>
      </c>
      <c r="X1148">
        <v>-6.2117403422328299E-2</v>
      </c>
      <c r="Y1148">
        <v>-0.51135009403950604</v>
      </c>
      <c r="Z1148">
        <v>-0.669554030021006</v>
      </c>
      <c r="AA1148">
        <v>-1.4915282051312999</v>
      </c>
      <c r="AB1148">
        <v>1813.5248996931791</v>
      </c>
      <c r="AC1148">
        <v>1.6535284399339156</v>
      </c>
      <c r="AD1148">
        <v>0.49421760679726223</v>
      </c>
      <c r="AE1148">
        <v>-0.18520258641298501</v>
      </c>
      <c r="AF1148">
        <v>1.1915167494672301</v>
      </c>
      <c r="AG1148">
        <v>0.68683233765961504</v>
      </c>
      <c r="AH1148">
        <v>0.86659919024377496</v>
      </c>
      <c r="AI1148">
        <v>1.162708909901</v>
      </c>
      <c r="AJ1148">
        <v>0.96203195566570499</v>
      </c>
      <c r="AK1148">
        <v>45.071283999999999</v>
      </c>
      <c r="AL1148">
        <v>4.8370730000000002</v>
      </c>
      <c r="AM1148">
        <v>48.890999999999998</v>
      </c>
      <c r="AN1148">
        <v>2.4590000000000001</v>
      </c>
    </row>
    <row r="1149" spans="1:40" x14ac:dyDescent="0.35">
      <c r="A1149">
        <v>1420</v>
      </c>
      <c r="B1149">
        <v>57</v>
      </c>
      <c r="C1149" t="s">
        <v>48</v>
      </c>
      <c r="D1149" t="s">
        <v>66</v>
      </c>
      <c r="E1149" t="s">
        <v>42</v>
      </c>
      <c r="F1149" t="s">
        <v>53</v>
      </c>
      <c r="G1149">
        <v>5</v>
      </c>
      <c r="H1149">
        <v>25</v>
      </c>
      <c r="I1149">
        <v>5</v>
      </c>
      <c r="J1149" t="s">
        <v>50</v>
      </c>
      <c r="K1149" t="s">
        <v>46</v>
      </c>
      <c r="L1149" t="s">
        <v>74</v>
      </c>
      <c r="M1149">
        <v>247.19205867124771</v>
      </c>
      <c r="N1149">
        <v>285</v>
      </c>
      <c r="O1149">
        <v>195</v>
      </c>
      <c r="P1149">
        <v>269</v>
      </c>
      <c r="Q1149">
        <v>1.6094379124341003</v>
      </c>
      <c r="R1149">
        <v>2.5649493574615367</v>
      </c>
      <c r="S1149">
        <v>4.8202815656050371</v>
      </c>
      <c r="T1149">
        <v>91.984920634920627</v>
      </c>
      <c r="U1149">
        <v>1.0351430572167302</v>
      </c>
      <c r="V1149">
        <v>-0.45376679124596098</v>
      </c>
      <c r="W1149">
        <v>-0.56138574648679695</v>
      </c>
      <c r="X1149">
        <v>-0.92192590083580195</v>
      </c>
      <c r="Y1149">
        <v>-1.17232967929859</v>
      </c>
      <c r="Z1149">
        <v>-0.98267194414701198</v>
      </c>
      <c r="AA1149">
        <v>-0.89586780259421905</v>
      </c>
      <c r="AB1149">
        <v>1270</v>
      </c>
      <c r="AC1149">
        <v>3</v>
      </c>
      <c r="AD1149">
        <v>1</v>
      </c>
      <c r="AE1149">
        <v>-1.1438350904766701</v>
      </c>
      <c r="AF1149">
        <v>1.7049821435599</v>
      </c>
      <c r="AG1149">
        <v>0.33288875967756199</v>
      </c>
      <c r="AH1149">
        <v>0.487782907105962</v>
      </c>
      <c r="AI1149">
        <v>1.5878567888260799</v>
      </c>
      <c r="AJ1149">
        <v>0.227331084903274</v>
      </c>
      <c r="AK1149">
        <v>46.672161000000003</v>
      </c>
      <c r="AL1149">
        <v>5.558465</v>
      </c>
      <c r="AM1149">
        <v>44.606850000000009</v>
      </c>
      <c r="AN1149">
        <v>4.3914999999999997</v>
      </c>
    </row>
    <row r="1150" spans="1:40" x14ac:dyDescent="0.35">
      <c r="A1150">
        <v>1421</v>
      </c>
      <c r="B1150">
        <v>72</v>
      </c>
      <c r="C1150" t="s">
        <v>48</v>
      </c>
      <c r="D1150" t="s">
        <v>52</v>
      </c>
      <c r="E1150" t="s">
        <v>42</v>
      </c>
      <c r="F1150" t="s">
        <v>49</v>
      </c>
      <c r="G1150">
        <v>3</v>
      </c>
      <c r="H1150">
        <v>9</v>
      </c>
      <c r="I1150">
        <v>6</v>
      </c>
      <c r="J1150" t="s">
        <v>50</v>
      </c>
      <c r="K1150" t="s">
        <v>46</v>
      </c>
      <c r="L1150" t="s">
        <v>55</v>
      </c>
      <c r="M1150">
        <v>481.92869784721358</v>
      </c>
      <c r="N1150">
        <v>523</v>
      </c>
      <c r="O1150">
        <v>358</v>
      </c>
      <c r="P1150">
        <v>238</v>
      </c>
      <c r="Q1150">
        <v>2.0794415416798357</v>
      </c>
      <c r="R1150">
        <v>2.3025850929940459</v>
      </c>
      <c r="S1150">
        <v>3.2580965380214821</v>
      </c>
      <c r="T1150">
        <v>95.12</v>
      </c>
      <c r="U1150">
        <v>0</v>
      </c>
      <c r="V1150">
        <v>1.89305099905856</v>
      </c>
      <c r="W1150">
        <v>0.59880690621441701</v>
      </c>
      <c r="X1150">
        <v>1.1856460040685599</v>
      </c>
      <c r="Y1150">
        <v>-0.15565097555555901</v>
      </c>
      <c r="Z1150">
        <v>-0.22748295097212001</v>
      </c>
      <c r="AA1150">
        <v>1.0415013010201299</v>
      </c>
      <c r="AB1150">
        <v>2939.9504036908884</v>
      </c>
      <c r="AC1150">
        <v>2</v>
      </c>
      <c r="AD1150">
        <v>0.42868127643214149</v>
      </c>
      <c r="AE1150">
        <v>-2.40641039566141E-2</v>
      </c>
      <c r="AF1150">
        <v>-8.2992932527320804E-2</v>
      </c>
      <c r="AG1150">
        <v>0.142899246182877</v>
      </c>
      <c r="AH1150">
        <v>0.95688613888554097</v>
      </c>
      <c r="AI1150">
        <v>1.5723212818131729</v>
      </c>
      <c r="AJ1150">
        <v>-2.8783650170212725</v>
      </c>
      <c r="AK1150">
        <v>48.0777517</v>
      </c>
      <c r="AL1150">
        <v>7.3579641000000002</v>
      </c>
      <c r="AM1150">
        <v>50.244</v>
      </c>
      <c r="AN1150">
        <v>1.623</v>
      </c>
    </row>
    <row r="1151" spans="1:40" x14ac:dyDescent="0.35">
      <c r="A1151">
        <v>1422</v>
      </c>
      <c r="B1151">
        <v>72</v>
      </c>
      <c r="C1151" t="s">
        <v>40</v>
      </c>
      <c r="D1151" t="s">
        <v>52</v>
      </c>
      <c r="E1151" t="s">
        <v>42</v>
      </c>
      <c r="F1151" t="s">
        <v>49</v>
      </c>
      <c r="G1151">
        <v>3</v>
      </c>
      <c r="H1151">
        <v>9</v>
      </c>
      <c r="I1151">
        <v>5</v>
      </c>
      <c r="J1151" t="s">
        <v>56</v>
      </c>
      <c r="K1151" t="s">
        <v>46</v>
      </c>
      <c r="L1151" t="s">
        <v>55</v>
      </c>
      <c r="M1151">
        <v>61.018561371435439</v>
      </c>
      <c r="N1151">
        <v>73</v>
      </c>
      <c r="O1151">
        <v>61</v>
      </c>
      <c r="P1151">
        <v>30</v>
      </c>
      <c r="Q1151">
        <v>2.0794415416798357</v>
      </c>
      <c r="R1151">
        <v>2.3025850929940459</v>
      </c>
      <c r="S1151">
        <v>3.2580965380214821</v>
      </c>
      <c r="T1151">
        <v>95.12</v>
      </c>
      <c r="U1151">
        <v>0</v>
      </c>
      <c r="V1151">
        <v>1.89305099905856</v>
      </c>
      <c r="W1151">
        <v>0.59880690621441701</v>
      </c>
      <c r="X1151">
        <v>1.1856460040685599</v>
      </c>
      <c r="Y1151">
        <v>-0.15565097555555901</v>
      </c>
      <c r="Z1151">
        <v>-0.22748295097212001</v>
      </c>
      <c r="AA1151">
        <v>1.0415013010201299</v>
      </c>
      <c r="AB1151">
        <v>2939.9504036908884</v>
      </c>
      <c r="AC1151">
        <v>2</v>
      </c>
      <c r="AD1151">
        <v>0.42868127643214149</v>
      </c>
      <c r="AE1151">
        <v>-2.40641039566141E-2</v>
      </c>
      <c r="AF1151">
        <v>1.4491456955547299</v>
      </c>
      <c r="AG1151">
        <v>0.364053749653445</v>
      </c>
      <c r="AH1151">
        <v>0.84394435035955695</v>
      </c>
      <c r="AI1151">
        <v>0.48855134134519201</v>
      </c>
      <c r="AJ1151">
        <v>-0.30185421642777899</v>
      </c>
      <c r="AK1151">
        <v>48.0777517</v>
      </c>
      <c r="AL1151">
        <v>7.3579641000000002</v>
      </c>
      <c r="AM1151">
        <v>48.587000000000003</v>
      </c>
      <c r="AN1151">
        <v>7.6630000000000003</v>
      </c>
    </row>
    <row r="1152" spans="1:40" x14ac:dyDescent="0.35">
      <c r="A1152">
        <v>1423</v>
      </c>
      <c r="B1152">
        <v>29.5</v>
      </c>
      <c r="C1152" t="s">
        <v>48</v>
      </c>
      <c r="D1152" t="s">
        <v>66</v>
      </c>
      <c r="E1152" t="s">
        <v>42</v>
      </c>
      <c r="F1152" t="s">
        <v>61</v>
      </c>
      <c r="G1152">
        <v>2</v>
      </c>
      <c r="H1152">
        <v>4</v>
      </c>
      <c r="I1152">
        <v>4</v>
      </c>
      <c r="J1152" t="s">
        <v>56</v>
      </c>
      <c r="K1152" t="s">
        <v>46</v>
      </c>
      <c r="L1152" t="s">
        <v>47</v>
      </c>
      <c r="M1152">
        <v>115.2562000307489</v>
      </c>
      <c r="N1152">
        <v>150</v>
      </c>
      <c r="O1152">
        <v>154</v>
      </c>
      <c r="P1152">
        <v>181</v>
      </c>
      <c r="Q1152">
        <v>5.9107966440405271</v>
      </c>
      <c r="R1152">
        <v>6.4997870406558542</v>
      </c>
      <c r="S1152">
        <v>8.6415324656718457</v>
      </c>
      <c r="T1152">
        <v>89.265350482850479</v>
      </c>
      <c r="U1152">
        <v>1.4417786561042019</v>
      </c>
      <c r="V1152">
        <v>-0.22886708829074301</v>
      </c>
      <c r="W1152">
        <v>0.28745285629339301</v>
      </c>
      <c r="X1152">
        <v>-0.15627425222847</v>
      </c>
      <c r="Y1152">
        <v>1.45226138127617</v>
      </c>
      <c r="Z1152">
        <v>0.98247225355557</v>
      </c>
      <c r="AA1152">
        <v>0.627775520474398</v>
      </c>
      <c r="AB1152">
        <v>3362.2959371744532</v>
      </c>
      <c r="AC1152">
        <v>2.8998317172850387</v>
      </c>
      <c r="AD1152">
        <v>2.9499158586425196</v>
      </c>
      <c r="AE1152">
        <v>1.06273170356322</v>
      </c>
      <c r="AF1152">
        <v>0.41148369913757998</v>
      </c>
      <c r="AG1152">
        <v>1.37884204594272</v>
      </c>
      <c r="AH1152">
        <v>0.117319534457573</v>
      </c>
      <c r="AI1152">
        <v>1.5316613891134101</v>
      </c>
      <c r="AJ1152">
        <v>-0.207224864134058</v>
      </c>
      <c r="AK1152">
        <v>43.3535629403058</v>
      </c>
      <c r="AL1152">
        <v>3.21615314793977</v>
      </c>
      <c r="AM1152">
        <v>43.934083333333326</v>
      </c>
      <c r="AN1152">
        <v>2.0314166666666664</v>
      </c>
    </row>
    <row r="1153" spans="1:40" x14ac:dyDescent="0.35">
      <c r="A1153">
        <v>1424</v>
      </c>
      <c r="B1153">
        <v>72</v>
      </c>
      <c r="C1153" t="s">
        <v>40</v>
      </c>
      <c r="D1153" t="s">
        <v>52</v>
      </c>
      <c r="E1153" t="s">
        <v>42</v>
      </c>
      <c r="F1153" t="s">
        <v>49</v>
      </c>
      <c r="G1153">
        <v>3</v>
      </c>
      <c r="H1153">
        <v>9</v>
      </c>
      <c r="I1153">
        <v>7</v>
      </c>
      <c r="J1153" t="s">
        <v>50</v>
      </c>
      <c r="K1153" t="s">
        <v>46</v>
      </c>
      <c r="L1153" t="s">
        <v>58</v>
      </c>
      <c r="M1153">
        <v>110.827998548401</v>
      </c>
      <c r="N1153">
        <v>191</v>
      </c>
      <c r="O1153">
        <v>156</v>
      </c>
      <c r="P1153">
        <v>149</v>
      </c>
      <c r="Q1153">
        <v>3.2580965380214821</v>
      </c>
      <c r="R1153">
        <v>2.8903717578961645</v>
      </c>
      <c r="S1153">
        <v>4.7535901911063645</v>
      </c>
      <c r="T1153">
        <v>90.794285714285706</v>
      </c>
      <c r="U1153">
        <v>0</v>
      </c>
      <c r="V1153">
        <v>0.63905639120027702</v>
      </c>
      <c r="W1153">
        <v>0.692565001186083</v>
      </c>
      <c r="X1153">
        <v>0.56469097254324596</v>
      </c>
      <c r="Y1153">
        <v>1.4483117406157899</v>
      </c>
      <c r="Z1153">
        <v>1.7680602694732599</v>
      </c>
      <c r="AA1153">
        <v>0.26366440732357699</v>
      </c>
      <c r="AB1153">
        <v>4236</v>
      </c>
      <c r="AC1153">
        <v>0</v>
      </c>
      <c r="AD1153">
        <v>4</v>
      </c>
      <c r="AE1153">
        <v>1.6751267091712101</v>
      </c>
      <c r="AF1153">
        <v>0.57288080395243202</v>
      </c>
      <c r="AG1153">
        <v>-0.89841219646721504</v>
      </c>
      <c r="AH1153">
        <v>1.04921679381204</v>
      </c>
      <c r="AI1153">
        <v>1.162708909901</v>
      </c>
      <c r="AJ1153">
        <v>0.96203195566570499</v>
      </c>
      <c r="AK1153">
        <v>45.198478000000001</v>
      </c>
      <c r="AL1153">
        <v>-0.74874399999999997</v>
      </c>
      <c r="AM1153">
        <v>44.400000000000006</v>
      </c>
      <c r="AN1153">
        <v>8.9333333333333334E-2</v>
      </c>
    </row>
    <row r="1154" spans="1:40" x14ac:dyDescent="0.35">
      <c r="A1154">
        <v>1425</v>
      </c>
      <c r="B1154">
        <v>72</v>
      </c>
      <c r="C1154" t="s">
        <v>40</v>
      </c>
      <c r="D1154" t="s">
        <v>52</v>
      </c>
      <c r="E1154" t="s">
        <v>42</v>
      </c>
      <c r="F1154" t="s">
        <v>49</v>
      </c>
      <c r="G1154">
        <v>4</v>
      </c>
      <c r="H1154">
        <v>16</v>
      </c>
      <c r="I1154">
        <v>2</v>
      </c>
      <c r="J1154" t="s">
        <v>56</v>
      </c>
      <c r="K1154" t="s">
        <v>46</v>
      </c>
      <c r="L1154" t="s">
        <v>72</v>
      </c>
      <c r="M1154">
        <v>499.52248293045301</v>
      </c>
      <c r="N1154">
        <v>588</v>
      </c>
      <c r="O1154">
        <v>374</v>
      </c>
      <c r="P1154">
        <v>396</v>
      </c>
      <c r="Q1154">
        <v>0.69314718055994529</v>
      </c>
      <c r="R1154">
        <v>1.3862943611198906</v>
      </c>
      <c r="S1154">
        <v>4.5538768916005408</v>
      </c>
      <c r="T1154">
        <v>89.340161030595823</v>
      </c>
      <c r="U1154">
        <v>1.4712304197281412</v>
      </c>
      <c r="V1154">
        <v>0.59716251398508702</v>
      </c>
      <c r="W1154">
        <v>0.91068296986709796</v>
      </c>
      <c r="X1154">
        <v>1.2273243988355</v>
      </c>
      <c r="Y1154">
        <v>-0.4121809470949</v>
      </c>
      <c r="Z1154">
        <v>-0.86472582726521097</v>
      </c>
      <c r="AA1154">
        <v>-1.0172779374790899</v>
      </c>
      <c r="AB1154">
        <v>1828.1689246701658</v>
      </c>
      <c r="AC1154">
        <v>1.1127464888636687</v>
      </c>
      <c r="AD1154">
        <v>1.8630656830756136</v>
      </c>
      <c r="AE1154">
        <v>-0.53926882203722504</v>
      </c>
      <c r="AF1154">
        <v>-0.57443565999456303</v>
      </c>
      <c r="AG1154">
        <v>0.92367480486001596</v>
      </c>
      <c r="AH1154">
        <v>1.18921960437923</v>
      </c>
      <c r="AI1154">
        <v>-0.74751536347436198</v>
      </c>
      <c r="AJ1154">
        <v>1.4461837125975701</v>
      </c>
      <c r="AK1154">
        <v>44.503641999999999</v>
      </c>
      <c r="AL1154">
        <v>1.1863669999999999</v>
      </c>
      <c r="AM1154">
        <v>48.902000000000001</v>
      </c>
      <c r="AN1154">
        <v>2.484</v>
      </c>
    </row>
    <row r="1155" spans="1:40" x14ac:dyDescent="0.35">
      <c r="A1155">
        <v>1426</v>
      </c>
      <c r="B1155">
        <v>57</v>
      </c>
      <c r="C1155" t="s">
        <v>40</v>
      </c>
      <c r="D1155" t="s">
        <v>52</v>
      </c>
      <c r="E1155" t="s">
        <v>42</v>
      </c>
      <c r="F1155" t="s">
        <v>49</v>
      </c>
      <c r="G1155">
        <v>4</v>
      </c>
      <c r="H1155">
        <v>16</v>
      </c>
      <c r="I1155">
        <v>3</v>
      </c>
      <c r="J1155" t="s">
        <v>56</v>
      </c>
      <c r="K1155" t="s">
        <v>46</v>
      </c>
      <c r="L1155" t="s">
        <v>55</v>
      </c>
      <c r="M1155">
        <v>413.49611233322207</v>
      </c>
      <c r="N1155">
        <v>527</v>
      </c>
      <c r="O1155">
        <v>357</v>
      </c>
      <c r="P1155">
        <v>242</v>
      </c>
      <c r="Q1155">
        <v>2.0794415416798357</v>
      </c>
      <c r="R1155">
        <v>2.3025850929940459</v>
      </c>
      <c r="S1155">
        <v>3.2580965380214821</v>
      </c>
      <c r="T1155">
        <v>95.12</v>
      </c>
      <c r="U1155">
        <v>0</v>
      </c>
      <c r="V1155">
        <v>1.89305099905856</v>
      </c>
      <c r="W1155">
        <v>0.59880690621441701</v>
      </c>
      <c r="X1155">
        <v>1.1856460040685599</v>
      </c>
      <c r="Y1155">
        <v>-0.15565097555555901</v>
      </c>
      <c r="Z1155">
        <v>-0.22748295097212001</v>
      </c>
      <c r="AA1155">
        <v>1.0415013010201299</v>
      </c>
      <c r="AB1155">
        <v>2939.9504036908884</v>
      </c>
      <c r="AC1155">
        <v>2</v>
      </c>
      <c r="AD1155">
        <v>0.42868127643214149</v>
      </c>
      <c r="AE1155">
        <v>-2.40641039566141E-2</v>
      </c>
      <c r="AF1155">
        <v>1.29398020062819</v>
      </c>
      <c r="AG1155">
        <v>0.92041384080148203</v>
      </c>
      <c r="AH1155">
        <v>0.81654053214005096</v>
      </c>
      <c r="AI1155">
        <v>1.38759795553381</v>
      </c>
      <c r="AJ1155">
        <v>0.242327337739948</v>
      </c>
      <c r="AK1155">
        <v>48.0777517</v>
      </c>
      <c r="AL1155">
        <v>7.3579641000000002</v>
      </c>
      <c r="AM1155">
        <v>50.463999999999999</v>
      </c>
      <c r="AN1155">
        <v>2.9929999999999999</v>
      </c>
    </row>
    <row r="1156" spans="1:40" x14ac:dyDescent="0.35">
      <c r="A1156">
        <v>1427</v>
      </c>
      <c r="B1156">
        <v>57</v>
      </c>
      <c r="C1156" t="s">
        <v>40</v>
      </c>
      <c r="D1156" t="s">
        <v>41</v>
      </c>
      <c r="E1156" t="s">
        <v>42</v>
      </c>
      <c r="F1156" t="s">
        <v>49</v>
      </c>
      <c r="G1156">
        <v>5</v>
      </c>
      <c r="H1156">
        <v>25</v>
      </c>
      <c r="I1156">
        <v>5</v>
      </c>
      <c r="J1156" t="s">
        <v>50</v>
      </c>
      <c r="K1156" t="s">
        <v>46</v>
      </c>
      <c r="L1156" t="s">
        <v>55</v>
      </c>
      <c r="M1156">
        <v>378.08486739694092</v>
      </c>
      <c r="N1156">
        <v>486</v>
      </c>
      <c r="O1156">
        <v>341</v>
      </c>
      <c r="P1156">
        <v>185</v>
      </c>
      <c r="Q1156">
        <v>2.0794415416798357</v>
      </c>
      <c r="R1156">
        <v>2.3025850929940459</v>
      </c>
      <c r="S1156">
        <v>3.2580965380214821</v>
      </c>
      <c r="T1156">
        <v>95.12</v>
      </c>
      <c r="U1156">
        <v>0</v>
      </c>
      <c r="V1156">
        <v>1.89305099905856</v>
      </c>
      <c r="W1156">
        <v>0.59880690621441701</v>
      </c>
      <c r="X1156">
        <v>1.1856460040685599</v>
      </c>
      <c r="Y1156">
        <v>-0.15565097555555901</v>
      </c>
      <c r="Z1156">
        <v>-0.22748295097212001</v>
      </c>
      <c r="AA1156">
        <v>1.0415013010201299</v>
      </c>
      <c r="AB1156">
        <v>2939.9504036908884</v>
      </c>
      <c r="AC1156">
        <v>2</v>
      </c>
      <c r="AD1156">
        <v>0.42868127643214149</v>
      </c>
      <c r="AE1156">
        <v>-2.40641039566141E-2</v>
      </c>
      <c r="AF1156">
        <v>0.37403609133878002</v>
      </c>
      <c r="AG1156">
        <v>0.96778026644443005</v>
      </c>
      <c r="AH1156">
        <v>-0.44268995523474602</v>
      </c>
      <c r="AI1156">
        <v>-0.51611898462946604</v>
      </c>
      <c r="AJ1156">
        <v>-1.05232002264594E-2</v>
      </c>
      <c r="AK1156">
        <v>48.0777517</v>
      </c>
      <c r="AL1156">
        <v>7.3579641000000002</v>
      </c>
      <c r="AM1156">
        <v>48.808999999999997</v>
      </c>
      <c r="AN1156">
        <v>2.3570000000000002</v>
      </c>
    </row>
    <row r="1157" spans="1:40" x14ac:dyDescent="0.35">
      <c r="A1157">
        <v>1428</v>
      </c>
      <c r="B1157">
        <v>72</v>
      </c>
      <c r="C1157" t="s">
        <v>48</v>
      </c>
      <c r="D1157" t="s">
        <v>41</v>
      </c>
      <c r="E1157" t="s">
        <v>42</v>
      </c>
      <c r="F1157" t="s">
        <v>49</v>
      </c>
      <c r="G1157">
        <v>5</v>
      </c>
      <c r="H1157">
        <v>25</v>
      </c>
      <c r="I1157">
        <v>3</v>
      </c>
      <c r="J1157" t="s">
        <v>50</v>
      </c>
      <c r="K1157" t="s">
        <v>46</v>
      </c>
      <c r="L1157" t="s">
        <v>70</v>
      </c>
      <c r="M1157">
        <v>363.49432534421612</v>
      </c>
      <c r="N1157">
        <v>432</v>
      </c>
      <c r="O1157">
        <v>287</v>
      </c>
      <c r="P1157">
        <v>189</v>
      </c>
      <c r="Q1157">
        <v>0</v>
      </c>
      <c r="R1157">
        <v>0</v>
      </c>
      <c r="S1157">
        <v>5.3230099791384085</v>
      </c>
      <c r="T1157">
        <v>90.615999999999985</v>
      </c>
      <c r="U1157">
        <v>1.11573792223403</v>
      </c>
      <c r="V1157">
        <v>0.80288722813325297</v>
      </c>
      <c r="W1157">
        <v>0.52082154240315903</v>
      </c>
      <c r="X1157">
        <v>0.61908815691345198</v>
      </c>
      <c r="Y1157">
        <v>1.5007680231051199</v>
      </c>
      <c r="Z1157">
        <v>0.24292628533916899</v>
      </c>
      <c r="AA1157">
        <v>8.5217386942517098E-2</v>
      </c>
      <c r="AB1157">
        <v>3943</v>
      </c>
      <c r="AC1157">
        <v>0</v>
      </c>
      <c r="AD1157">
        <v>1</v>
      </c>
      <c r="AE1157">
        <v>1.1088815174583</v>
      </c>
      <c r="AF1157">
        <v>0.37881623616400201</v>
      </c>
      <c r="AG1157">
        <v>-0.16434533695172501</v>
      </c>
      <c r="AH1157">
        <v>0.88251220460424995</v>
      </c>
      <c r="AI1157">
        <v>0.79124377630208598</v>
      </c>
      <c r="AJ1157">
        <v>0.163038073852348</v>
      </c>
      <c r="AK1157">
        <v>46.098678999999997</v>
      </c>
      <c r="AL1157">
        <v>4.7359530000000003</v>
      </c>
      <c r="AM1157">
        <v>48.869000000000014</v>
      </c>
      <c r="AN1157">
        <v>2.177</v>
      </c>
    </row>
    <row r="1158" spans="1:40" x14ac:dyDescent="0.35">
      <c r="A1158">
        <v>1429</v>
      </c>
      <c r="B1158">
        <v>57</v>
      </c>
      <c r="C1158" t="s">
        <v>40</v>
      </c>
      <c r="D1158" t="s">
        <v>52</v>
      </c>
      <c r="E1158" t="s">
        <v>42</v>
      </c>
      <c r="F1158" t="s">
        <v>53</v>
      </c>
      <c r="G1158">
        <v>5</v>
      </c>
      <c r="H1158">
        <v>25</v>
      </c>
      <c r="I1158">
        <v>5</v>
      </c>
      <c r="J1158" t="s">
        <v>50</v>
      </c>
      <c r="K1158" t="s">
        <v>46</v>
      </c>
      <c r="L1158" t="s">
        <v>60</v>
      </c>
      <c r="M1158">
        <v>552.38923253653877</v>
      </c>
      <c r="N1158">
        <v>716</v>
      </c>
      <c r="O1158">
        <v>370</v>
      </c>
      <c r="P1158">
        <v>371</v>
      </c>
      <c r="Q1158">
        <v>3.8501476017100584</v>
      </c>
      <c r="R1158">
        <v>2.9957322735539909</v>
      </c>
      <c r="S1158">
        <v>5.4424177105217932</v>
      </c>
      <c r="T1158">
        <v>88.975873222691746</v>
      </c>
      <c r="U1158">
        <v>2.5514539469641888</v>
      </c>
      <c r="V1158">
        <v>2.9336799326863701</v>
      </c>
      <c r="W1158">
        <v>3.3730943146768602</v>
      </c>
      <c r="X1158">
        <v>3.6072071704345601</v>
      </c>
      <c r="Y1158">
        <v>-0.19189497559235799</v>
      </c>
      <c r="Z1158">
        <v>0.17569111512999699</v>
      </c>
      <c r="AA1158">
        <v>-0.304970615080496</v>
      </c>
      <c r="AB1158">
        <v>1906.836709612184</v>
      </c>
      <c r="AC1158">
        <v>0.7978420820676605</v>
      </c>
      <c r="AD1158">
        <v>2.1056638128240834</v>
      </c>
      <c r="AE1158">
        <v>-0.25037207080954499</v>
      </c>
      <c r="AF1158">
        <v>0.84897323030301797</v>
      </c>
      <c r="AG1158">
        <v>-0.28082793743123802</v>
      </c>
      <c r="AH1158">
        <v>1.7171257327221801E-2</v>
      </c>
      <c r="AI1158">
        <v>0.91313678929490905</v>
      </c>
      <c r="AJ1158">
        <v>0.96206306301218503</v>
      </c>
      <c r="AK1158">
        <v>44.055988999999997</v>
      </c>
      <c r="AL1158">
        <v>4.8317350000000001</v>
      </c>
      <c r="AM1158">
        <v>48.435000000000002</v>
      </c>
      <c r="AN1158">
        <v>1.4530000000000001</v>
      </c>
    </row>
    <row r="1159" spans="1:40" x14ac:dyDescent="0.35">
      <c r="A1159">
        <v>1431</v>
      </c>
      <c r="B1159">
        <v>57</v>
      </c>
      <c r="C1159" t="s">
        <v>40</v>
      </c>
      <c r="D1159" t="s">
        <v>66</v>
      </c>
      <c r="E1159" t="s">
        <v>68</v>
      </c>
      <c r="F1159" t="s">
        <v>49</v>
      </c>
      <c r="G1159">
        <v>3</v>
      </c>
      <c r="H1159">
        <v>9</v>
      </c>
      <c r="I1159">
        <v>5</v>
      </c>
      <c r="J1159" t="s">
        <v>50</v>
      </c>
      <c r="K1159" t="s">
        <v>46</v>
      </c>
      <c r="L1159" t="s">
        <v>47</v>
      </c>
      <c r="M1159">
        <v>818.53849504709979</v>
      </c>
      <c r="N1159">
        <v>1069</v>
      </c>
      <c r="O1159">
        <v>648</v>
      </c>
      <c r="P1159">
        <v>421</v>
      </c>
      <c r="Q1159">
        <v>5.9107966440405271</v>
      </c>
      <c r="R1159">
        <v>6.4997870406558542</v>
      </c>
      <c r="S1159">
        <v>8.6415324656718457</v>
      </c>
      <c r="T1159">
        <v>89.265350482850479</v>
      </c>
      <c r="U1159">
        <v>1.4417786561042019</v>
      </c>
      <c r="V1159">
        <v>-0.22886708829074301</v>
      </c>
      <c r="W1159">
        <v>0.28745285629339301</v>
      </c>
      <c r="X1159">
        <v>-0.15627425222847</v>
      </c>
      <c r="Y1159">
        <v>1.45226138127617</v>
      </c>
      <c r="Z1159">
        <v>0.98247225355557</v>
      </c>
      <c r="AA1159">
        <v>0.627775520474398</v>
      </c>
      <c r="AB1159">
        <v>3362.2959371744532</v>
      </c>
      <c r="AC1159">
        <v>2.8998317172850387</v>
      </c>
      <c r="AD1159">
        <v>2.9499158586425196</v>
      </c>
      <c r="AE1159">
        <v>1.06273170356322</v>
      </c>
      <c r="AF1159">
        <v>-0.38700129839910202</v>
      </c>
      <c r="AG1159">
        <v>-0.69710509098572504</v>
      </c>
      <c r="AH1159">
        <v>1.13559386656501</v>
      </c>
      <c r="AI1159">
        <v>0.88282792911603403</v>
      </c>
      <c r="AJ1159">
        <v>0.80692409969233003</v>
      </c>
      <c r="AK1159">
        <v>43.3535629403058</v>
      </c>
      <c r="AL1159">
        <v>3.21615314793977</v>
      </c>
      <c r="AM1159">
        <v>50.640682937000001</v>
      </c>
      <c r="AN1159">
        <v>4.6610704270000003</v>
      </c>
    </row>
    <row r="1160" spans="1:40" x14ac:dyDescent="0.35">
      <c r="A1160">
        <v>1433</v>
      </c>
      <c r="B1160">
        <v>57</v>
      </c>
      <c r="C1160" t="s">
        <v>48</v>
      </c>
      <c r="D1160" t="s">
        <v>66</v>
      </c>
      <c r="E1160" t="s">
        <v>42</v>
      </c>
      <c r="F1160" t="s">
        <v>49</v>
      </c>
      <c r="G1160">
        <v>7</v>
      </c>
      <c r="H1160">
        <v>49</v>
      </c>
      <c r="I1160">
        <v>5</v>
      </c>
      <c r="J1160" t="s">
        <v>50</v>
      </c>
      <c r="K1160" t="s">
        <v>46</v>
      </c>
      <c r="L1160" t="s">
        <v>60</v>
      </c>
      <c r="M1160">
        <v>509.79447452690567</v>
      </c>
      <c r="N1160">
        <v>698</v>
      </c>
      <c r="O1160">
        <v>350</v>
      </c>
      <c r="P1160">
        <v>386</v>
      </c>
      <c r="Q1160">
        <v>3.8501476017100584</v>
      </c>
      <c r="R1160">
        <v>2.9957322735539909</v>
      </c>
      <c r="S1160">
        <v>5.4424177105217932</v>
      </c>
      <c r="T1160">
        <v>88.975873222691746</v>
      </c>
      <c r="U1160">
        <v>2.5514539469641888</v>
      </c>
      <c r="V1160">
        <v>2.9336799326863701</v>
      </c>
      <c r="W1160">
        <v>3.3730943146768602</v>
      </c>
      <c r="X1160">
        <v>3.6072071704345601</v>
      </c>
      <c r="Y1160">
        <v>-0.19189497559235799</v>
      </c>
      <c r="Z1160">
        <v>0.17569111512999699</v>
      </c>
      <c r="AA1160">
        <v>-0.304970615080496</v>
      </c>
      <c r="AB1160">
        <v>1906.836709612184</v>
      </c>
      <c r="AC1160">
        <v>0.7978420820676605</v>
      </c>
      <c r="AD1160">
        <v>2.1056638128240834</v>
      </c>
      <c r="AE1160">
        <v>-0.25037207080954499</v>
      </c>
      <c r="AF1160">
        <v>0.47337729078325003</v>
      </c>
      <c r="AG1160">
        <v>-1.3941210442904499</v>
      </c>
      <c r="AH1160">
        <v>-0.328910429047651</v>
      </c>
      <c r="AI1160">
        <v>-6.5097830595770803E-2</v>
      </c>
      <c r="AJ1160">
        <v>0.78889413770137296</v>
      </c>
      <c r="AK1160">
        <v>44.055988999999997</v>
      </c>
      <c r="AL1160">
        <v>4.8317350000000001</v>
      </c>
      <c r="AM1160">
        <v>47.284333333333336</v>
      </c>
      <c r="AN1160">
        <v>0.18033333333333332</v>
      </c>
    </row>
    <row r="1161" spans="1:40" x14ac:dyDescent="0.35">
      <c r="A1161">
        <v>1434</v>
      </c>
      <c r="B1161">
        <v>57</v>
      </c>
      <c r="C1161" t="s">
        <v>40</v>
      </c>
      <c r="D1161" t="s">
        <v>41</v>
      </c>
      <c r="E1161" t="s">
        <v>42</v>
      </c>
      <c r="F1161" t="s">
        <v>53</v>
      </c>
      <c r="G1161">
        <v>5</v>
      </c>
      <c r="H1161">
        <v>25</v>
      </c>
      <c r="I1161">
        <v>5</v>
      </c>
      <c r="J1161" t="s">
        <v>50</v>
      </c>
      <c r="K1161" t="s">
        <v>46</v>
      </c>
      <c r="L1161" t="s">
        <v>51</v>
      </c>
      <c r="M1161">
        <v>166.86478994932531</v>
      </c>
      <c r="N1161">
        <v>200</v>
      </c>
      <c r="O1161">
        <v>156</v>
      </c>
      <c r="P1161">
        <v>190</v>
      </c>
      <c r="Q1161">
        <v>0</v>
      </c>
      <c r="R1161">
        <v>1.3862943611198906</v>
      </c>
      <c r="S1161">
        <v>4.3438054218536841</v>
      </c>
      <c r="T1161">
        <v>91.16</v>
      </c>
      <c r="U1161">
        <v>2.3174698847378039</v>
      </c>
      <c r="V1161">
        <v>-0.58471966768986094</v>
      </c>
      <c r="W1161">
        <v>-0.55557078097057</v>
      </c>
      <c r="X1161">
        <v>-0.47566183223429498</v>
      </c>
      <c r="Y1161">
        <v>-0.95884680312505799</v>
      </c>
      <c r="Z1161">
        <v>-0.76521334103430205</v>
      </c>
      <c r="AA1161">
        <v>-0.77245900699560299</v>
      </c>
      <c r="AB1161">
        <v>1376</v>
      </c>
      <c r="AC1161">
        <v>0</v>
      </c>
      <c r="AD1161">
        <v>2</v>
      </c>
      <c r="AE1161">
        <v>-1.2769936012368599</v>
      </c>
      <c r="AF1161">
        <v>-1.20355779708416</v>
      </c>
      <c r="AG1161">
        <v>-1.69243434483515</v>
      </c>
      <c r="AH1161">
        <v>0.36802143372496399</v>
      </c>
      <c r="AI1161">
        <v>-1.71706319074612</v>
      </c>
      <c r="AJ1161">
        <v>1.5450762787063499</v>
      </c>
      <c r="AK1161">
        <v>47.815207299999997</v>
      </c>
      <c r="AL1161">
        <v>3.8001657</v>
      </c>
      <c r="AM1161">
        <v>48.914999999999999</v>
      </c>
      <c r="AN1161">
        <v>2.2669999999999999</v>
      </c>
    </row>
    <row r="1162" spans="1:40" x14ac:dyDescent="0.35">
      <c r="A1162">
        <v>1435</v>
      </c>
      <c r="B1162">
        <v>57</v>
      </c>
      <c r="C1162" t="s">
        <v>40</v>
      </c>
      <c r="D1162" t="s">
        <v>41</v>
      </c>
      <c r="E1162" t="s">
        <v>42</v>
      </c>
      <c r="F1162" t="s">
        <v>43</v>
      </c>
      <c r="G1162">
        <v>4</v>
      </c>
      <c r="H1162">
        <v>16</v>
      </c>
      <c r="I1162">
        <v>4</v>
      </c>
      <c r="J1162" t="s">
        <v>56</v>
      </c>
      <c r="K1162" t="s">
        <v>46</v>
      </c>
      <c r="L1162" t="s">
        <v>65</v>
      </c>
      <c r="M1162">
        <v>670.8120826607834</v>
      </c>
      <c r="N1162">
        <v>884</v>
      </c>
      <c r="O1162">
        <v>460</v>
      </c>
      <c r="P1162">
        <v>345</v>
      </c>
      <c r="Q1162">
        <v>0</v>
      </c>
      <c r="R1162">
        <v>0</v>
      </c>
      <c r="S1162">
        <v>4.4543472962535073</v>
      </c>
      <c r="T1162">
        <v>89.333044733044744</v>
      </c>
      <c r="U1162">
        <v>1.2554235437523662</v>
      </c>
      <c r="V1162">
        <v>1.64975517953679</v>
      </c>
      <c r="W1162">
        <v>2.4220969657957299</v>
      </c>
      <c r="X1162">
        <v>1.68128863126442</v>
      </c>
      <c r="Y1162">
        <v>2.0553398017137301</v>
      </c>
      <c r="Z1162">
        <v>2.0921400018840099</v>
      </c>
      <c r="AA1162">
        <v>2.0596698968962701</v>
      </c>
      <c r="AB1162">
        <v>3262.71</v>
      </c>
      <c r="AC1162">
        <v>0.33</v>
      </c>
      <c r="AD1162">
        <v>0.66</v>
      </c>
      <c r="AE1162">
        <v>1.9221838973381</v>
      </c>
      <c r="AF1162">
        <v>-1.1514199707767501</v>
      </c>
      <c r="AG1162">
        <v>-0.91998921902882203</v>
      </c>
      <c r="AH1162">
        <v>0.96154599045420397</v>
      </c>
      <c r="AI1162">
        <v>-0.48447794452410597</v>
      </c>
      <c r="AJ1162">
        <v>-2.65610343981069</v>
      </c>
      <c r="AK1162">
        <v>43.537466000000002</v>
      </c>
      <c r="AL1162">
        <v>6.4627330000000001</v>
      </c>
      <c r="AM1162">
        <v>48.804000000000002</v>
      </c>
      <c r="AN1162">
        <v>2.2269999999999999</v>
      </c>
    </row>
    <row r="1163" spans="1:40" x14ac:dyDescent="0.35">
      <c r="A1163">
        <v>1436</v>
      </c>
      <c r="B1163">
        <v>57</v>
      </c>
      <c r="C1163" t="s">
        <v>40</v>
      </c>
      <c r="D1163" t="s">
        <v>52</v>
      </c>
      <c r="E1163" t="s">
        <v>42</v>
      </c>
      <c r="F1163" t="s">
        <v>61</v>
      </c>
      <c r="G1163">
        <v>3</v>
      </c>
      <c r="H1163">
        <v>9</v>
      </c>
      <c r="I1163">
        <v>7</v>
      </c>
      <c r="J1163" t="s">
        <v>56</v>
      </c>
      <c r="K1163" t="s">
        <v>46</v>
      </c>
      <c r="L1163" t="s">
        <v>73</v>
      </c>
      <c r="M1163">
        <v>233.23522714183889</v>
      </c>
      <c r="N1163">
        <v>315</v>
      </c>
      <c r="O1163">
        <v>225</v>
      </c>
      <c r="P1163">
        <v>487</v>
      </c>
      <c r="Q1163">
        <v>1.9459101490553132</v>
      </c>
      <c r="R1163">
        <v>2.9444389791664403</v>
      </c>
      <c r="S1163">
        <v>4.2626798770413155</v>
      </c>
      <c r="T1163">
        <v>91.872500000000002</v>
      </c>
      <c r="U1163">
        <v>2.0033201607997366</v>
      </c>
      <c r="V1163">
        <v>7.5580716531248995E-2</v>
      </c>
      <c r="W1163">
        <v>0.203376316306385</v>
      </c>
      <c r="X1163">
        <v>0.143329752535333</v>
      </c>
      <c r="Y1163">
        <v>1.4483117406157899</v>
      </c>
      <c r="Z1163">
        <v>1.7680602694732599</v>
      </c>
      <c r="AA1163">
        <v>0.26366440732357699</v>
      </c>
      <c r="AB1163">
        <v>4236</v>
      </c>
      <c r="AC1163">
        <v>0</v>
      </c>
      <c r="AD1163">
        <v>4</v>
      </c>
      <c r="AE1163">
        <v>1.6751267091712101</v>
      </c>
      <c r="AF1163">
        <v>-0.76316003934926702</v>
      </c>
      <c r="AG1163">
        <v>0.51279758412988796</v>
      </c>
      <c r="AH1163">
        <v>-0.422136089511507</v>
      </c>
      <c r="AI1163">
        <v>-0.357228626428234</v>
      </c>
      <c r="AJ1163">
        <v>-0.90871455484604702</v>
      </c>
      <c r="AK1163">
        <v>44.686388999999998</v>
      </c>
      <c r="AL1163">
        <v>-0.52383800000000003</v>
      </c>
      <c r="AM1163">
        <v>44.980444444444451</v>
      </c>
      <c r="AN1163">
        <v>2.4015555555555554</v>
      </c>
    </row>
    <row r="1164" spans="1:40" x14ac:dyDescent="0.35">
      <c r="A1164">
        <v>1438</v>
      </c>
      <c r="B1164">
        <v>72</v>
      </c>
      <c r="C1164" t="s">
        <v>40</v>
      </c>
      <c r="D1164" t="s">
        <v>52</v>
      </c>
      <c r="E1164" t="s">
        <v>42</v>
      </c>
      <c r="F1164" t="s">
        <v>49</v>
      </c>
      <c r="G1164">
        <v>5</v>
      </c>
      <c r="H1164">
        <v>25</v>
      </c>
      <c r="I1164">
        <v>7</v>
      </c>
      <c r="J1164" t="s">
        <v>56</v>
      </c>
      <c r="K1164" t="s">
        <v>46</v>
      </c>
      <c r="L1164" t="s">
        <v>77</v>
      </c>
      <c r="M1164">
        <v>193.92405234509911</v>
      </c>
      <c r="N1164">
        <v>338</v>
      </c>
      <c r="O1164">
        <v>204</v>
      </c>
      <c r="P1164">
        <v>320</v>
      </c>
      <c r="Q1164">
        <v>0</v>
      </c>
      <c r="R1164">
        <v>2.3978952727983707</v>
      </c>
      <c r="S1164">
        <v>5.1416635565026603</v>
      </c>
      <c r="T1164">
        <v>90.472417453603512</v>
      </c>
      <c r="U1164">
        <v>2.7735735584863375</v>
      </c>
      <c r="V1164">
        <v>-0.15231437986527399</v>
      </c>
      <c r="W1164">
        <v>3.49635939345109E-2</v>
      </c>
      <c r="X1164">
        <v>-0.19627808847033801</v>
      </c>
      <c r="Y1164">
        <v>-0.57382446736590997</v>
      </c>
      <c r="Z1164">
        <v>-0.74335605457542497</v>
      </c>
      <c r="AA1164">
        <v>-0.53588051656191904</v>
      </c>
      <c r="AB1164">
        <v>3937</v>
      </c>
      <c r="AC1164">
        <v>0</v>
      </c>
      <c r="AD1164">
        <v>1</v>
      </c>
      <c r="AE1164">
        <v>-0.72244456620022002</v>
      </c>
      <c r="AF1164">
        <v>-0.30152968700224703</v>
      </c>
      <c r="AG1164">
        <v>1.15159088542878</v>
      </c>
      <c r="AH1164">
        <v>-0.130937406196694</v>
      </c>
      <c r="AI1164">
        <v>-3.2603011038917398E-2</v>
      </c>
      <c r="AJ1164">
        <v>-8.6761349107705804E-2</v>
      </c>
      <c r="AK1164">
        <v>47.259622</v>
      </c>
      <c r="AL1164">
        <v>-7.8518000000000004E-2</v>
      </c>
      <c r="AM1164">
        <v>48.730624999999996</v>
      </c>
      <c r="AN1164">
        <v>-1.4732500000000002</v>
      </c>
    </row>
    <row r="1165" spans="1:40" x14ac:dyDescent="0.35">
      <c r="A1165">
        <v>1439</v>
      </c>
      <c r="B1165">
        <v>72</v>
      </c>
      <c r="C1165" t="s">
        <v>40</v>
      </c>
      <c r="D1165" t="s">
        <v>52</v>
      </c>
      <c r="E1165" t="s">
        <v>42</v>
      </c>
      <c r="F1165" t="s">
        <v>49</v>
      </c>
      <c r="G1165">
        <v>6</v>
      </c>
      <c r="H1165">
        <v>36</v>
      </c>
      <c r="I1165">
        <v>7</v>
      </c>
      <c r="J1165" t="s">
        <v>50</v>
      </c>
      <c r="K1165" t="s">
        <v>46</v>
      </c>
      <c r="L1165" t="s">
        <v>47</v>
      </c>
      <c r="M1165">
        <v>622.71410090827794</v>
      </c>
      <c r="N1165">
        <v>762</v>
      </c>
      <c r="O1165">
        <v>464</v>
      </c>
      <c r="P1165">
        <v>305</v>
      </c>
      <c r="Q1165">
        <v>5.9107966440405271</v>
      </c>
      <c r="R1165">
        <v>6.4997870406558542</v>
      </c>
      <c r="S1165">
        <v>8.6415324656718457</v>
      </c>
      <c r="T1165">
        <v>89.265350482850479</v>
      </c>
      <c r="U1165">
        <v>1.4417786561042019</v>
      </c>
      <c r="V1165">
        <v>-0.22886708829074301</v>
      </c>
      <c r="W1165">
        <v>0.28745285629339301</v>
      </c>
      <c r="X1165">
        <v>-0.15627425222847</v>
      </c>
      <c r="Y1165">
        <v>1.45226138127617</v>
      </c>
      <c r="Z1165">
        <v>0.98247225355557</v>
      </c>
      <c r="AA1165">
        <v>0.627775520474398</v>
      </c>
      <c r="AB1165">
        <v>3362.2959371744532</v>
      </c>
      <c r="AC1165">
        <v>2.8998317172850387</v>
      </c>
      <c r="AD1165">
        <v>2.9499158586425196</v>
      </c>
      <c r="AE1165">
        <v>1.06273170356322</v>
      </c>
      <c r="AF1165">
        <v>-1.6941976875098701</v>
      </c>
      <c r="AG1165">
        <v>-2.08715614009594</v>
      </c>
      <c r="AH1165">
        <v>-5.0470056560775802</v>
      </c>
      <c r="AI1165">
        <v>-4.3824080831648304</v>
      </c>
      <c r="AJ1165">
        <v>-2.0877560560796899</v>
      </c>
      <c r="AK1165">
        <v>43.3535629403058</v>
      </c>
      <c r="AL1165">
        <v>3.21615314793977</v>
      </c>
      <c r="AM1165">
        <v>48.906999999999996</v>
      </c>
      <c r="AN1165">
        <v>2.2450000000000001</v>
      </c>
    </row>
    <row r="1166" spans="1:40" x14ac:dyDescent="0.35">
      <c r="A1166">
        <v>1440</v>
      </c>
      <c r="B1166">
        <v>57</v>
      </c>
      <c r="C1166" t="s">
        <v>40</v>
      </c>
      <c r="D1166" t="s">
        <v>41</v>
      </c>
      <c r="E1166" t="s">
        <v>42</v>
      </c>
      <c r="F1166" t="s">
        <v>49</v>
      </c>
      <c r="G1166">
        <v>4</v>
      </c>
      <c r="H1166">
        <v>16</v>
      </c>
      <c r="I1166">
        <v>5</v>
      </c>
      <c r="J1166" t="s">
        <v>50</v>
      </c>
      <c r="K1166" t="s">
        <v>46</v>
      </c>
      <c r="L1166" t="s">
        <v>78</v>
      </c>
      <c r="M1166">
        <v>916.35261140559498</v>
      </c>
      <c r="N1166">
        <v>1150</v>
      </c>
      <c r="O1166">
        <v>924</v>
      </c>
      <c r="P1166">
        <v>1620</v>
      </c>
      <c r="Q1166">
        <v>0</v>
      </c>
      <c r="R1166">
        <v>0</v>
      </c>
      <c r="S1166">
        <v>3.784189633918261</v>
      </c>
      <c r="T1166">
        <v>88.642856449106446</v>
      </c>
      <c r="U1166">
        <v>1.0940428522509147</v>
      </c>
      <c r="V1166">
        <v>8.5508000285955607E-3</v>
      </c>
      <c r="W1166">
        <v>-0.51120442009665101</v>
      </c>
      <c r="X1166">
        <v>-0.50395056569549701</v>
      </c>
      <c r="Y1166">
        <v>-1.08176131679965</v>
      </c>
      <c r="Z1166">
        <v>-1.2254354371323599</v>
      </c>
      <c r="AA1166">
        <v>-2.1159072764009799</v>
      </c>
      <c r="AB1166">
        <v>465.17385257301805</v>
      </c>
      <c r="AC1166">
        <v>0.43254520166898469</v>
      </c>
      <c r="AD1166">
        <v>0.43254520166898469</v>
      </c>
      <c r="AE1166">
        <v>7.7424783941295205E-2</v>
      </c>
      <c r="AF1166">
        <v>0.648810032840759</v>
      </c>
      <c r="AG1166">
        <v>0.31888360156488998</v>
      </c>
      <c r="AH1166">
        <v>1.0660618508739299</v>
      </c>
      <c r="AI1166">
        <v>0.20284444801416501</v>
      </c>
      <c r="AJ1166">
        <v>-0.124515399341341</v>
      </c>
      <c r="AK1166">
        <v>42.680641999999999</v>
      </c>
      <c r="AL1166">
        <v>9.3018979999999996</v>
      </c>
      <c r="AM1166">
        <v>48.960749999999997</v>
      </c>
      <c r="AN1166">
        <v>1.6465833333333333</v>
      </c>
    </row>
    <row r="1167" spans="1:40" x14ac:dyDescent="0.35">
      <c r="A1167">
        <v>1441</v>
      </c>
      <c r="B1167">
        <v>57</v>
      </c>
      <c r="C1167" t="s">
        <v>40</v>
      </c>
      <c r="D1167" t="s">
        <v>41</v>
      </c>
      <c r="E1167" t="s">
        <v>42</v>
      </c>
      <c r="F1167" t="s">
        <v>49</v>
      </c>
      <c r="G1167">
        <v>4</v>
      </c>
      <c r="H1167">
        <v>16</v>
      </c>
      <c r="I1167">
        <v>3</v>
      </c>
      <c r="J1167" t="s">
        <v>56</v>
      </c>
      <c r="K1167" t="s">
        <v>46</v>
      </c>
      <c r="L1167" t="s">
        <v>55</v>
      </c>
      <c r="M1167">
        <v>686.83646854337019</v>
      </c>
      <c r="N1167">
        <v>812</v>
      </c>
      <c r="O1167">
        <v>537</v>
      </c>
      <c r="P1167">
        <v>280</v>
      </c>
      <c r="Q1167">
        <v>2.0794415416798357</v>
      </c>
      <c r="R1167">
        <v>2.3025850929940459</v>
      </c>
      <c r="S1167">
        <v>3.2580965380214821</v>
      </c>
      <c r="T1167">
        <v>95.12</v>
      </c>
      <c r="U1167">
        <v>0</v>
      </c>
      <c r="V1167">
        <v>1.89305099905856</v>
      </c>
      <c r="W1167">
        <v>0.59880690621441701</v>
      </c>
      <c r="X1167">
        <v>1.1856460040685599</v>
      </c>
      <c r="Y1167">
        <v>-0.15565097555555901</v>
      </c>
      <c r="Z1167">
        <v>-0.22748295097212001</v>
      </c>
      <c r="AA1167">
        <v>1.0415013010201299</v>
      </c>
      <c r="AB1167">
        <v>2939.9504036908884</v>
      </c>
      <c r="AC1167">
        <v>2</v>
      </c>
      <c r="AD1167">
        <v>0.42868127643214149</v>
      </c>
      <c r="AE1167">
        <v>-2.40641039566141E-2</v>
      </c>
      <c r="AF1167">
        <v>0.52492957866790702</v>
      </c>
      <c r="AG1167">
        <v>-9.0444699059538197E-2</v>
      </c>
      <c r="AH1167">
        <v>1.0770237830790499</v>
      </c>
      <c r="AI1167">
        <v>-6.6535309606477494E-2</v>
      </c>
      <c r="AJ1167">
        <v>0.92012179909581504</v>
      </c>
      <c r="AK1167">
        <v>48.0777517</v>
      </c>
      <c r="AL1167">
        <v>7.3579641000000002</v>
      </c>
      <c r="AM1167">
        <v>48.325923076923083</v>
      </c>
      <c r="AN1167">
        <v>-1.8973076923076921</v>
      </c>
    </row>
    <row r="1168" spans="1:40" x14ac:dyDescent="0.35">
      <c r="A1168">
        <v>1442</v>
      </c>
      <c r="B1168">
        <v>57</v>
      </c>
      <c r="C1168" t="s">
        <v>40</v>
      </c>
      <c r="D1168" t="s">
        <v>41</v>
      </c>
      <c r="E1168" t="s">
        <v>42</v>
      </c>
      <c r="F1168" t="s">
        <v>49</v>
      </c>
      <c r="G1168">
        <v>5</v>
      </c>
      <c r="H1168">
        <v>25</v>
      </c>
      <c r="I1168">
        <v>5</v>
      </c>
      <c r="J1168" t="s">
        <v>50</v>
      </c>
      <c r="K1168" t="s">
        <v>46</v>
      </c>
      <c r="L1168" t="s">
        <v>65</v>
      </c>
      <c r="M1168">
        <v>678.90454788596571</v>
      </c>
      <c r="N1168">
        <v>884</v>
      </c>
      <c r="O1168">
        <v>460</v>
      </c>
      <c r="P1168">
        <v>345</v>
      </c>
      <c r="Q1168">
        <v>0</v>
      </c>
      <c r="R1168">
        <v>0</v>
      </c>
      <c r="S1168">
        <v>4.4543472962535073</v>
      </c>
      <c r="T1168">
        <v>89.333044733044744</v>
      </c>
      <c r="U1168">
        <v>1.2554235437523662</v>
      </c>
      <c r="V1168">
        <v>1.64975517953679</v>
      </c>
      <c r="W1168">
        <v>2.4220969657957299</v>
      </c>
      <c r="X1168">
        <v>1.68128863126442</v>
      </c>
      <c r="Y1168">
        <v>2.0553398017137301</v>
      </c>
      <c r="Z1168">
        <v>2.0921400018840099</v>
      </c>
      <c r="AA1168">
        <v>2.0596698968962701</v>
      </c>
      <c r="AB1168">
        <v>3262.71</v>
      </c>
      <c r="AC1168">
        <v>0.33</v>
      </c>
      <c r="AD1168">
        <v>0.66</v>
      </c>
      <c r="AE1168">
        <v>1.9221838973381</v>
      </c>
      <c r="AF1168">
        <v>-3.1498716262654201</v>
      </c>
      <c r="AG1168">
        <v>1.50822407760588</v>
      </c>
      <c r="AH1168">
        <v>-1.20642781091139E-2</v>
      </c>
      <c r="AI1168">
        <v>-3.3104422117144701</v>
      </c>
      <c r="AJ1168">
        <v>0.79791629426891997</v>
      </c>
      <c r="AK1168">
        <v>43.537466000000002</v>
      </c>
      <c r="AL1168">
        <v>6.4627330000000001</v>
      </c>
      <c r="AM1168">
        <v>48.869000000000014</v>
      </c>
      <c r="AN1168">
        <v>2.177</v>
      </c>
    </row>
    <row r="1169" spans="1:40" x14ac:dyDescent="0.35">
      <c r="A1169">
        <v>1444</v>
      </c>
      <c r="B1169">
        <v>72</v>
      </c>
      <c r="C1169" t="s">
        <v>48</v>
      </c>
      <c r="D1169" t="s">
        <v>52</v>
      </c>
      <c r="E1169" t="s">
        <v>42</v>
      </c>
      <c r="F1169" t="s">
        <v>49</v>
      </c>
      <c r="G1169">
        <v>3</v>
      </c>
      <c r="H1169">
        <v>9</v>
      </c>
      <c r="I1169">
        <v>7</v>
      </c>
      <c r="J1169" t="s">
        <v>56</v>
      </c>
      <c r="K1169" t="s">
        <v>46</v>
      </c>
      <c r="L1169" t="s">
        <v>65</v>
      </c>
      <c r="M1169">
        <v>605.69079309341953</v>
      </c>
      <c r="N1169">
        <v>740</v>
      </c>
      <c r="O1169">
        <v>390</v>
      </c>
      <c r="P1169">
        <v>549</v>
      </c>
      <c r="Q1169">
        <v>0</v>
      </c>
      <c r="R1169">
        <v>0</v>
      </c>
      <c r="S1169">
        <v>4.4543472962535073</v>
      </c>
      <c r="T1169">
        <v>89.333044733044744</v>
      </c>
      <c r="U1169">
        <v>1.2554235437523662</v>
      </c>
      <c r="V1169">
        <v>1.64975517953679</v>
      </c>
      <c r="W1169">
        <v>2.4220969657957299</v>
      </c>
      <c r="X1169">
        <v>1.68128863126442</v>
      </c>
      <c r="Y1169">
        <v>2.0553398017137301</v>
      </c>
      <c r="Z1169">
        <v>2.0921400018840099</v>
      </c>
      <c r="AA1169">
        <v>2.0596698968962701</v>
      </c>
      <c r="AB1169">
        <v>3262.71</v>
      </c>
      <c r="AC1169">
        <v>0.33</v>
      </c>
      <c r="AD1169">
        <v>0.66</v>
      </c>
      <c r="AE1169">
        <v>1.9221838973381</v>
      </c>
      <c r="AF1169">
        <v>1.0231360842837143</v>
      </c>
      <c r="AG1169">
        <v>1.0210808848873056</v>
      </c>
      <c r="AH1169">
        <v>-2.0407126510849722</v>
      </c>
      <c r="AI1169">
        <v>-0.46122723557231549</v>
      </c>
      <c r="AJ1169">
        <v>-0.65982428474602239</v>
      </c>
      <c r="AK1169">
        <v>43.537466000000002</v>
      </c>
      <c r="AL1169">
        <v>6.4627330000000001</v>
      </c>
      <c r="AM1169">
        <v>45.192749999999997</v>
      </c>
      <c r="AN1169">
        <v>-0.79074999999999995</v>
      </c>
    </row>
    <row r="1170" spans="1:40" x14ac:dyDescent="0.35">
      <c r="A1170">
        <v>1445</v>
      </c>
      <c r="B1170">
        <v>57</v>
      </c>
      <c r="C1170" t="s">
        <v>40</v>
      </c>
      <c r="D1170" t="s">
        <v>52</v>
      </c>
      <c r="E1170" t="s">
        <v>68</v>
      </c>
      <c r="F1170" t="s">
        <v>43</v>
      </c>
      <c r="G1170">
        <v>7</v>
      </c>
      <c r="H1170">
        <v>49</v>
      </c>
      <c r="I1170">
        <v>4</v>
      </c>
      <c r="J1170" t="s">
        <v>56</v>
      </c>
      <c r="K1170" t="s">
        <v>46</v>
      </c>
      <c r="L1170" t="s">
        <v>59</v>
      </c>
      <c r="M1170">
        <v>448.55387495827227</v>
      </c>
      <c r="N1170">
        <v>538</v>
      </c>
      <c r="O1170">
        <v>378</v>
      </c>
      <c r="P1170">
        <v>268</v>
      </c>
      <c r="Q1170">
        <v>1.3862943611198906</v>
      </c>
      <c r="R1170">
        <v>1.3862943611198906</v>
      </c>
      <c r="S1170">
        <v>4.9972122737641147</v>
      </c>
      <c r="T1170">
        <v>90.035146103896111</v>
      </c>
      <c r="U1170">
        <v>1.418823059726001</v>
      </c>
      <c r="V1170">
        <v>-0.52223564926899602</v>
      </c>
      <c r="W1170">
        <v>-0.46072710968150399</v>
      </c>
      <c r="X1170">
        <v>-0.361786268345754</v>
      </c>
      <c r="Y1170">
        <v>-0.552694479448822</v>
      </c>
      <c r="Z1170">
        <v>2.1676297177028899E-2</v>
      </c>
      <c r="AA1170">
        <v>0.625223797005378</v>
      </c>
      <c r="AB1170">
        <v>2234.6992515788952</v>
      </c>
      <c r="AC1170">
        <v>0</v>
      </c>
      <c r="AD1170">
        <v>0.12112735591028891</v>
      </c>
      <c r="AE1170">
        <v>-0.60610368582010199</v>
      </c>
      <c r="AF1170">
        <v>1.2751254564188601</v>
      </c>
      <c r="AG1170">
        <v>1.1550776297938901</v>
      </c>
      <c r="AH1170">
        <v>0.84786991876795603</v>
      </c>
      <c r="AI1170">
        <v>1.2240891885745799</v>
      </c>
      <c r="AJ1170">
        <v>-0.49422039369737097</v>
      </c>
      <c r="AK1170">
        <v>47.411035099999999</v>
      </c>
      <c r="AL1170">
        <v>0.98369799999999996</v>
      </c>
      <c r="AM1170">
        <v>50.640682937000001</v>
      </c>
      <c r="AN1170">
        <v>4.6610704270000003</v>
      </c>
    </row>
    <row r="1171" spans="1:40" x14ac:dyDescent="0.35">
      <c r="A1171">
        <v>1446</v>
      </c>
      <c r="B1171">
        <v>57</v>
      </c>
      <c r="C1171" t="s">
        <v>48</v>
      </c>
      <c r="D1171" t="s">
        <v>66</v>
      </c>
      <c r="E1171" t="s">
        <v>42</v>
      </c>
      <c r="F1171" t="s">
        <v>43</v>
      </c>
      <c r="G1171">
        <v>4</v>
      </c>
      <c r="H1171">
        <v>16</v>
      </c>
      <c r="I1171">
        <v>4</v>
      </c>
      <c r="J1171" t="s">
        <v>56</v>
      </c>
      <c r="K1171" t="s">
        <v>46</v>
      </c>
      <c r="L1171" t="s">
        <v>74</v>
      </c>
      <c r="M1171">
        <v>352.72674081801898</v>
      </c>
      <c r="N1171">
        <v>614</v>
      </c>
      <c r="O1171">
        <v>375</v>
      </c>
      <c r="P1171">
        <v>387</v>
      </c>
      <c r="Q1171">
        <v>1.6094379124341003</v>
      </c>
      <c r="R1171">
        <v>2.5649493574615367</v>
      </c>
      <c r="S1171">
        <v>4.8202815656050371</v>
      </c>
      <c r="T1171">
        <v>91.984920634920627</v>
      </c>
      <c r="U1171">
        <v>1.0351430572167302</v>
      </c>
      <c r="V1171">
        <v>-0.45376679124596098</v>
      </c>
      <c r="W1171">
        <v>-0.56138574648679695</v>
      </c>
      <c r="X1171">
        <v>-0.92192590083580195</v>
      </c>
      <c r="Y1171">
        <v>-1.17232967929859</v>
      </c>
      <c r="Z1171">
        <v>-0.98267194414701198</v>
      </c>
      <c r="AA1171">
        <v>-0.89586780259421905</v>
      </c>
      <c r="AB1171">
        <v>1270</v>
      </c>
      <c r="AC1171">
        <v>3</v>
      </c>
      <c r="AD1171">
        <v>1</v>
      </c>
      <c r="AE1171">
        <v>-1.1438350904766701</v>
      </c>
      <c r="AF1171">
        <v>0.82962253027316601</v>
      </c>
      <c r="AG1171">
        <v>1.33393356983129</v>
      </c>
      <c r="AH1171">
        <v>-0.201707679686879</v>
      </c>
      <c r="AI1171">
        <v>1.4836044289928401</v>
      </c>
      <c r="AJ1171">
        <v>0.76193534118230599</v>
      </c>
      <c r="AK1171">
        <v>46.672161000000003</v>
      </c>
      <c r="AL1171">
        <v>5.558465</v>
      </c>
      <c r="AM1171">
        <v>43.738221299999999</v>
      </c>
      <c r="AN1171">
        <v>7.2576837999999997</v>
      </c>
    </row>
    <row r="1172" spans="1:40" x14ac:dyDescent="0.35">
      <c r="A1172">
        <v>1447</v>
      </c>
      <c r="B1172">
        <v>72</v>
      </c>
      <c r="C1172" t="s">
        <v>48</v>
      </c>
      <c r="D1172" t="s">
        <v>52</v>
      </c>
      <c r="E1172" t="s">
        <v>42</v>
      </c>
      <c r="F1172" t="s">
        <v>53</v>
      </c>
      <c r="G1172">
        <v>2</v>
      </c>
      <c r="H1172">
        <v>4</v>
      </c>
      <c r="I1172">
        <v>5</v>
      </c>
      <c r="J1172" t="s">
        <v>56</v>
      </c>
      <c r="K1172" t="s">
        <v>46</v>
      </c>
      <c r="L1172" t="s">
        <v>67</v>
      </c>
      <c r="M1172">
        <v>345.7821412435502</v>
      </c>
      <c r="N1172">
        <v>446</v>
      </c>
      <c r="O1172">
        <v>240</v>
      </c>
      <c r="P1172">
        <v>224</v>
      </c>
      <c r="Q1172">
        <v>0</v>
      </c>
      <c r="R1172">
        <v>1.0986122886681098</v>
      </c>
      <c r="S1172">
        <v>4.499809670330265</v>
      </c>
      <c r="T1172">
        <v>90.053710317460329</v>
      </c>
      <c r="U1172">
        <v>1.5728028449904734</v>
      </c>
      <c r="V1172">
        <v>-0.577850340007529</v>
      </c>
      <c r="W1172">
        <v>-0.32460727773589898</v>
      </c>
      <c r="X1172">
        <v>-0.54369568891204501</v>
      </c>
      <c r="Y1172">
        <v>-0.77598924050104101</v>
      </c>
      <c r="Z1172">
        <v>0.47668876811384397</v>
      </c>
      <c r="AA1172">
        <v>0.85617757356637403</v>
      </c>
      <c r="AB1172">
        <v>2565</v>
      </c>
      <c r="AC1172">
        <v>1</v>
      </c>
      <c r="AD1172">
        <v>0</v>
      </c>
      <c r="AE1172">
        <v>-0.72514205471140702</v>
      </c>
      <c r="AF1172">
        <v>0.21015835832812299</v>
      </c>
      <c r="AG1172">
        <v>0.50398682542767503</v>
      </c>
      <c r="AH1172">
        <v>-0.89098117742588501</v>
      </c>
      <c r="AI1172">
        <v>-0.86738949095810203</v>
      </c>
      <c r="AJ1172">
        <v>-0.135246201758488</v>
      </c>
      <c r="AK1172">
        <v>46.303668000000002</v>
      </c>
      <c r="AL1172">
        <v>4.8322269999999996</v>
      </c>
      <c r="AM1172">
        <v>43.513666666666666</v>
      </c>
      <c r="AN1172">
        <v>6.7610000000000001</v>
      </c>
    </row>
    <row r="1173" spans="1:40" x14ac:dyDescent="0.35">
      <c r="A1173">
        <v>1448</v>
      </c>
      <c r="B1173">
        <v>57</v>
      </c>
      <c r="C1173" t="s">
        <v>40</v>
      </c>
      <c r="D1173" t="s">
        <v>52</v>
      </c>
      <c r="E1173" t="s">
        <v>42</v>
      </c>
      <c r="F1173" t="s">
        <v>49</v>
      </c>
      <c r="G1173">
        <v>5</v>
      </c>
      <c r="H1173">
        <v>25</v>
      </c>
      <c r="I1173">
        <v>6</v>
      </c>
      <c r="J1173" t="s">
        <v>50</v>
      </c>
      <c r="K1173" t="s">
        <v>46</v>
      </c>
      <c r="L1173" t="s">
        <v>65</v>
      </c>
      <c r="M1173">
        <v>670.8120826607834</v>
      </c>
      <c r="N1173">
        <v>884</v>
      </c>
      <c r="O1173">
        <v>460</v>
      </c>
      <c r="P1173">
        <v>345</v>
      </c>
      <c r="Q1173">
        <v>0</v>
      </c>
      <c r="R1173">
        <v>0</v>
      </c>
      <c r="S1173">
        <v>4.4543472962535073</v>
      </c>
      <c r="T1173">
        <v>89.333044733044744</v>
      </c>
      <c r="U1173">
        <v>1.2554235437523662</v>
      </c>
      <c r="V1173">
        <v>1.64975517953679</v>
      </c>
      <c r="W1173">
        <v>2.4220969657957299</v>
      </c>
      <c r="X1173">
        <v>1.68128863126442</v>
      </c>
      <c r="Y1173">
        <v>2.0553398017137301</v>
      </c>
      <c r="Z1173">
        <v>2.0921400018840099</v>
      </c>
      <c r="AA1173">
        <v>2.0596698968962701</v>
      </c>
      <c r="AB1173">
        <v>3262.71</v>
      </c>
      <c r="AC1173">
        <v>0.33</v>
      </c>
      <c r="AD1173">
        <v>0.66</v>
      </c>
      <c r="AE1173">
        <v>1.9221838973381</v>
      </c>
      <c r="AF1173">
        <v>-1.4166604142639501</v>
      </c>
      <c r="AG1173">
        <v>1.3231860184914099</v>
      </c>
      <c r="AH1173">
        <v>0.49776594596745</v>
      </c>
      <c r="AI1173">
        <v>-1.2129460899564599</v>
      </c>
      <c r="AJ1173">
        <v>-0.23913645882232015</v>
      </c>
      <c r="AK1173">
        <v>43.537466000000002</v>
      </c>
      <c r="AL1173">
        <v>6.4627330000000001</v>
      </c>
      <c r="AM1173">
        <v>48.804000000000002</v>
      </c>
      <c r="AN1173">
        <v>2.2269999999999999</v>
      </c>
    </row>
    <row r="1174" spans="1:40" x14ac:dyDescent="0.35">
      <c r="A1174">
        <v>1449</v>
      </c>
      <c r="B1174">
        <v>72</v>
      </c>
      <c r="C1174" t="s">
        <v>40</v>
      </c>
      <c r="D1174" t="s">
        <v>52</v>
      </c>
      <c r="E1174" t="s">
        <v>42</v>
      </c>
      <c r="F1174" t="s">
        <v>53</v>
      </c>
      <c r="G1174">
        <v>5</v>
      </c>
      <c r="H1174">
        <v>25</v>
      </c>
      <c r="I1174">
        <v>4</v>
      </c>
      <c r="J1174" t="s">
        <v>56</v>
      </c>
      <c r="K1174" t="s">
        <v>46</v>
      </c>
      <c r="L1174" t="s">
        <v>79</v>
      </c>
      <c r="M1174">
        <v>805.65844430032246</v>
      </c>
      <c r="N1174">
        <v>1006</v>
      </c>
      <c r="O1174">
        <v>585</v>
      </c>
      <c r="P1174">
        <v>439</v>
      </c>
      <c r="Q1174">
        <v>0</v>
      </c>
      <c r="R1174">
        <v>1.0986122886681098</v>
      </c>
      <c r="S1174">
        <v>4.4659081186545837</v>
      </c>
      <c r="T1174">
        <v>90.88000000000001</v>
      </c>
      <c r="U1174">
        <v>0.63076672920079646</v>
      </c>
      <c r="V1174">
        <v>-0.66459185691613598</v>
      </c>
      <c r="W1174">
        <v>-0.11297510960708999</v>
      </c>
      <c r="X1174">
        <v>-0.19037106594949799</v>
      </c>
      <c r="Y1174">
        <v>-0.374020329094302</v>
      </c>
      <c r="Z1174">
        <v>-0.78642831806525804</v>
      </c>
      <c r="AA1174">
        <v>-1.3830773108541501</v>
      </c>
      <c r="AB1174">
        <v>1910</v>
      </c>
      <c r="AC1174">
        <v>4</v>
      </c>
      <c r="AD1174">
        <v>0</v>
      </c>
      <c r="AE1174">
        <v>3.4620335695619099E-2</v>
      </c>
      <c r="AF1174">
        <v>1.1620357442142999</v>
      </c>
      <c r="AG1174">
        <v>-0.38206899628548202</v>
      </c>
      <c r="AH1174">
        <v>-1.6282944079280799</v>
      </c>
      <c r="AI1174">
        <v>0.409730536852496</v>
      </c>
      <c r="AJ1174">
        <v>5.2856761696038701E-2</v>
      </c>
      <c r="AK1174">
        <v>42.698529999999998</v>
      </c>
      <c r="AL1174">
        <v>2.8953120000000001</v>
      </c>
      <c r="AM1174">
        <v>49.888888888888886</v>
      </c>
      <c r="AN1174">
        <v>4.0903888888888895</v>
      </c>
    </row>
    <row r="1175" spans="1:40" x14ac:dyDescent="0.35">
      <c r="A1175">
        <v>1451</v>
      </c>
      <c r="B1175">
        <v>57</v>
      </c>
      <c r="C1175" t="s">
        <v>48</v>
      </c>
      <c r="D1175" t="s">
        <v>41</v>
      </c>
      <c r="E1175" t="s">
        <v>42</v>
      </c>
      <c r="F1175" t="s">
        <v>49</v>
      </c>
      <c r="G1175">
        <v>5</v>
      </c>
      <c r="H1175">
        <v>25</v>
      </c>
      <c r="I1175">
        <v>5</v>
      </c>
      <c r="J1175" t="s">
        <v>56</v>
      </c>
      <c r="K1175" t="s">
        <v>46</v>
      </c>
      <c r="L1175" t="s">
        <v>69</v>
      </c>
      <c r="M1175">
        <v>269.71472991387122</v>
      </c>
      <c r="N1175">
        <v>331</v>
      </c>
      <c r="O1175">
        <v>180</v>
      </c>
      <c r="P1175">
        <v>133</v>
      </c>
      <c r="Q1175">
        <v>2.3978952727983707</v>
      </c>
      <c r="R1175">
        <v>4.5538768916005408</v>
      </c>
      <c r="S1175">
        <v>5.4847969334906548</v>
      </c>
      <c r="T1175">
        <v>93.296000000000006</v>
      </c>
      <c r="U1175">
        <v>2.2325431437911538</v>
      </c>
      <c r="V1175">
        <v>-0.44922684044461197</v>
      </c>
      <c r="W1175">
        <v>-0.76855194782346203</v>
      </c>
      <c r="X1175">
        <v>-0.44700324392789598</v>
      </c>
      <c r="Y1175">
        <v>-0.846122564821426</v>
      </c>
      <c r="Z1175">
        <v>-0.92679578564836795</v>
      </c>
      <c r="AA1175">
        <v>0.86332342905974202</v>
      </c>
      <c r="AB1175">
        <v>2050</v>
      </c>
      <c r="AC1175">
        <v>1</v>
      </c>
      <c r="AD1175">
        <v>2</v>
      </c>
      <c r="AE1175">
        <v>-0.51011828243844404</v>
      </c>
      <c r="AF1175">
        <v>0.46414638772439798</v>
      </c>
      <c r="AG1175">
        <v>0.70260110579979196</v>
      </c>
      <c r="AH1175">
        <v>-0.108864503474899</v>
      </c>
      <c r="AI1175">
        <v>0.26366229571237598</v>
      </c>
      <c r="AJ1175">
        <v>0.41785040149797698</v>
      </c>
      <c r="AK1175">
        <v>47.177235000000003</v>
      </c>
      <c r="AL1175">
        <v>4.964315</v>
      </c>
      <c r="AM1175">
        <v>48.856372813999997</v>
      </c>
      <c r="AN1175">
        <v>2.3525296170000001</v>
      </c>
    </row>
    <row r="1176" spans="1:40" x14ac:dyDescent="0.35">
      <c r="A1176">
        <v>1452</v>
      </c>
      <c r="B1176">
        <v>42</v>
      </c>
      <c r="C1176" t="s">
        <v>48</v>
      </c>
      <c r="D1176" t="s">
        <v>41</v>
      </c>
      <c r="E1176" t="s">
        <v>42</v>
      </c>
      <c r="F1176" t="s">
        <v>61</v>
      </c>
      <c r="G1176">
        <v>5</v>
      </c>
      <c r="H1176">
        <v>25</v>
      </c>
      <c r="I1176">
        <v>5</v>
      </c>
      <c r="J1176" t="s">
        <v>56</v>
      </c>
      <c r="K1176" t="s">
        <v>46</v>
      </c>
      <c r="L1176" t="s">
        <v>60</v>
      </c>
      <c r="M1176">
        <v>70.538696480226662</v>
      </c>
      <c r="N1176">
        <v>107</v>
      </c>
      <c r="O1176">
        <v>75</v>
      </c>
      <c r="P1176">
        <v>135</v>
      </c>
      <c r="Q1176">
        <v>3.8501476017100584</v>
      </c>
      <c r="R1176">
        <v>2.9957322735539909</v>
      </c>
      <c r="S1176">
        <v>5.4424177105217932</v>
      </c>
      <c r="T1176">
        <v>88.975873222691746</v>
      </c>
      <c r="U1176">
        <v>2.5514539469641888</v>
      </c>
      <c r="V1176">
        <v>2.9336799326863701</v>
      </c>
      <c r="W1176">
        <v>3.3730943146768602</v>
      </c>
      <c r="X1176">
        <v>3.6072071704345601</v>
      </c>
      <c r="Y1176">
        <v>-0.19189497559235799</v>
      </c>
      <c r="Z1176">
        <v>0.17569111512999699</v>
      </c>
      <c r="AA1176">
        <v>-0.304970615080496</v>
      </c>
      <c r="AB1176">
        <v>1906.836709612184</v>
      </c>
      <c r="AC1176">
        <v>0.7978420820676605</v>
      </c>
      <c r="AD1176">
        <v>2.1056638128240834</v>
      </c>
      <c r="AE1176">
        <v>-0.25037207080954499</v>
      </c>
      <c r="AF1176">
        <v>0.2147664637028</v>
      </c>
      <c r="AG1176">
        <v>0.91429499390956803</v>
      </c>
      <c r="AH1176">
        <v>1.0490785076790099</v>
      </c>
      <c r="AI1176">
        <v>0.36454853475333798</v>
      </c>
      <c r="AJ1176">
        <v>0.75956164422351902</v>
      </c>
      <c r="AK1176">
        <v>44.055988999999997</v>
      </c>
      <c r="AL1176">
        <v>4.8317350000000001</v>
      </c>
      <c r="AM1176">
        <v>43.694249999999997</v>
      </c>
      <c r="AN1176">
        <v>4.1099999999999994</v>
      </c>
    </row>
    <row r="1177" spans="1:40" x14ac:dyDescent="0.35">
      <c r="A1177">
        <v>1453</v>
      </c>
      <c r="B1177">
        <v>72</v>
      </c>
      <c r="C1177" t="s">
        <v>40</v>
      </c>
      <c r="D1177" t="s">
        <v>52</v>
      </c>
      <c r="E1177" t="s">
        <v>68</v>
      </c>
      <c r="F1177" t="s">
        <v>53</v>
      </c>
      <c r="G1177">
        <v>5</v>
      </c>
      <c r="H1177">
        <v>25</v>
      </c>
      <c r="I1177">
        <v>5</v>
      </c>
      <c r="J1177" t="s">
        <v>50</v>
      </c>
      <c r="K1177" t="s">
        <v>46</v>
      </c>
      <c r="L1177" t="s">
        <v>77</v>
      </c>
      <c r="M1177">
        <v>511.37379025477219</v>
      </c>
      <c r="N1177">
        <v>632</v>
      </c>
      <c r="O1177">
        <v>423</v>
      </c>
      <c r="P1177">
        <v>274</v>
      </c>
      <c r="Q1177">
        <v>0</v>
      </c>
      <c r="R1177">
        <v>2.3978952727983707</v>
      </c>
      <c r="S1177">
        <v>5.1416635565026603</v>
      </c>
      <c r="T1177">
        <v>90.472417453603512</v>
      </c>
      <c r="U1177">
        <v>2.7735735584863375</v>
      </c>
      <c r="V1177">
        <v>-0.15231437986527399</v>
      </c>
      <c r="W1177">
        <v>3.49635939345109E-2</v>
      </c>
      <c r="X1177">
        <v>-0.19627808847033801</v>
      </c>
      <c r="Y1177">
        <v>-0.57382446736590997</v>
      </c>
      <c r="Z1177">
        <v>-0.74335605457542497</v>
      </c>
      <c r="AA1177">
        <v>-0.53588051656191904</v>
      </c>
      <c r="AB1177">
        <v>3937</v>
      </c>
      <c r="AC1177">
        <v>0</v>
      </c>
      <c r="AD1177">
        <v>1</v>
      </c>
      <c r="AE1177">
        <v>-0.72244456620022002</v>
      </c>
      <c r="AF1177">
        <v>0.109270094289547</v>
      </c>
      <c r="AG1177">
        <v>-1.3868986114675901</v>
      </c>
      <c r="AH1177">
        <v>-0.261690830964598</v>
      </c>
      <c r="AI1177">
        <v>0.17453793465220099</v>
      </c>
      <c r="AJ1177">
        <v>0.31783320160275702</v>
      </c>
      <c r="AK1177">
        <v>47.259622</v>
      </c>
      <c r="AL1177">
        <v>-7.8518000000000004E-2</v>
      </c>
      <c r="AM1177">
        <v>50.640682937000001</v>
      </c>
      <c r="AN1177">
        <v>4.6610704270000003</v>
      </c>
    </row>
    <row r="1178" spans="1:40" x14ac:dyDescent="0.35">
      <c r="A1178">
        <v>1455</v>
      </c>
      <c r="B1178">
        <v>42</v>
      </c>
      <c r="C1178" t="s">
        <v>40</v>
      </c>
      <c r="D1178" t="s">
        <v>66</v>
      </c>
      <c r="E1178" t="s">
        <v>42</v>
      </c>
      <c r="F1178" t="s">
        <v>49</v>
      </c>
      <c r="G1178">
        <v>5</v>
      </c>
      <c r="H1178">
        <v>25</v>
      </c>
      <c r="I1178">
        <v>4</v>
      </c>
      <c r="J1178" t="s">
        <v>50</v>
      </c>
      <c r="K1178" t="s">
        <v>46</v>
      </c>
      <c r="L1178" t="s">
        <v>69</v>
      </c>
      <c r="M1178">
        <v>411.16131954764171</v>
      </c>
      <c r="N1178">
        <v>519</v>
      </c>
      <c r="O1178">
        <v>260</v>
      </c>
      <c r="P1178">
        <v>233</v>
      </c>
      <c r="Q1178">
        <v>2.3978952727983707</v>
      </c>
      <c r="R1178">
        <v>4.5538768916005408</v>
      </c>
      <c r="S1178">
        <v>5.4847969334906548</v>
      </c>
      <c r="T1178">
        <v>93.296000000000006</v>
      </c>
      <c r="U1178">
        <v>2.2325431437911538</v>
      </c>
      <c r="V1178">
        <v>-0.44922684044461197</v>
      </c>
      <c r="W1178">
        <v>-0.76855194782346203</v>
      </c>
      <c r="X1178">
        <v>-0.44700324392789598</v>
      </c>
      <c r="Y1178">
        <v>-0.846122564821426</v>
      </c>
      <c r="Z1178">
        <v>-0.92679578564836795</v>
      </c>
      <c r="AA1178">
        <v>0.86332342905974202</v>
      </c>
      <c r="AB1178">
        <v>2050</v>
      </c>
      <c r="AC1178">
        <v>1</v>
      </c>
      <c r="AD1178">
        <v>2</v>
      </c>
      <c r="AE1178">
        <v>-0.51011828243844404</v>
      </c>
      <c r="AF1178">
        <v>0.83701791747474796</v>
      </c>
      <c r="AG1178">
        <v>0.68271432853160496</v>
      </c>
      <c r="AH1178">
        <v>-1.2656313215746899</v>
      </c>
      <c r="AI1178">
        <v>-1.15915877202898</v>
      </c>
      <c r="AJ1178">
        <v>0.57843942711228902</v>
      </c>
      <c r="AK1178">
        <v>47.177235000000003</v>
      </c>
      <c r="AL1178">
        <v>4.964315</v>
      </c>
      <c r="AM1178">
        <v>50.655000000000001</v>
      </c>
      <c r="AN1178">
        <v>3.07</v>
      </c>
    </row>
    <row r="1179" spans="1:40" x14ac:dyDescent="0.35">
      <c r="A1179">
        <v>1456</v>
      </c>
      <c r="B1179">
        <v>29.5</v>
      </c>
      <c r="C1179" t="s">
        <v>48</v>
      </c>
      <c r="D1179" t="s">
        <v>41</v>
      </c>
      <c r="E1179" t="s">
        <v>42</v>
      </c>
      <c r="F1179" t="s">
        <v>49</v>
      </c>
      <c r="G1179">
        <v>4</v>
      </c>
      <c r="H1179">
        <v>16</v>
      </c>
      <c r="I1179">
        <v>5</v>
      </c>
      <c r="J1179" t="s">
        <v>56</v>
      </c>
      <c r="K1179" t="s">
        <v>46</v>
      </c>
      <c r="L1179" t="s">
        <v>59</v>
      </c>
      <c r="M1179">
        <v>179.55461848964629</v>
      </c>
      <c r="N1179">
        <v>227</v>
      </c>
      <c r="O1179">
        <v>173</v>
      </c>
      <c r="P1179">
        <v>133</v>
      </c>
      <c r="Q1179">
        <v>1.3862943611198906</v>
      </c>
      <c r="R1179">
        <v>1.3862943611198906</v>
      </c>
      <c r="S1179">
        <v>4.9972122737641147</v>
      </c>
      <c r="T1179">
        <v>90.035146103896111</v>
      </c>
      <c r="U1179">
        <v>1.418823059726001</v>
      </c>
      <c r="V1179">
        <v>-0.52223564926899602</v>
      </c>
      <c r="W1179">
        <v>-0.46072710968150399</v>
      </c>
      <c r="X1179">
        <v>-0.361786268345754</v>
      </c>
      <c r="Y1179">
        <v>-0.552694479448822</v>
      </c>
      <c r="Z1179">
        <v>2.1676297177028899E-2</v>
      </c>
      <c r="AA1179">
        <v>0.625223797005378</v>
      </c>
      <c r="AB1179">
        <v>2234.6992515788952</v>
      </c>
      <c r="AC1179">
        <v>0</v>
      </c>
      <c r="AD1179">
        <v>0.12112735591028891</v>
      </c>
      <c r="AE1179">
        <v>-0.60610368582010199</v>
      </c>
      <c r="AF1179">
        <v>1.12808816973752</v>
      </c>
      <c r="AG1179">
        <v>0.48339549247706998</v>
      </c>
      <c r="AH1179">
        <v>0.18001488879399399</v>
      </c>
      <c r="AI1179">
        <v>1.5878567888260799</v>
      </c>
      <c r="AJ1179">
        <v>0.227331084903274</v>
      </c>
      <c r="AK1179">
        <v>47.411035099999999</v>
      </c>
      <c r="AL1179">
        <v>0.98369799999999996</v>
      </c>
      <c r="AM1179">
        <v>48.78</v>
      </c>
      <c r="AN1179">
        <v>2.2610000000000001</v>
      </c>
    </row>
    <row r="1180" spans="1:40" x14ac:dyDescent="0.35">
      <c r="A1180">
        <v>1457</v>
      </c>
      <c r="B1180">
        <v>72</v>
      </c>
      <c r="C1180" t="s">
        <v>40</v>
      </c>
      <c r="D1180" t="s">
        <v>52</v>
      </c>
      <c r="E1180" t="s">
        <v>42</v>
      </c>
      <c r="F1180" t="s">
        <v>49</v>
      </c>
      <c r="G1180">
        <v>3</v>
      </c>
      <c r="H1180">
        <v>9</v>
      </c>
      <c r="I1180">
        <v>7</v>
      </c>
      <c r="J1180" t="s">
        <v>56</v>
      </c>
      <c r="K1180" t="s">
        <v>46</v>
      </c>
      <c r="L1180" t="s">
        <v>51</v>
      </c>
      <c r="M1180">
        <v>157.82131685425651</v>
      </c>
      <c r="N1180">
        <v>184</v>
      </c>
      <c r="O1180">
        <v>154</v>
      </c>
      <c r="P1180">
        <v>161</v>
      </c>
      <c r="Q1180">
        <v>0</v>
      </c>
      <c r="R1180">
        <v>1.3862943611198906</v>
      </c>
      <c r="S1180">
        <v>4.3438054218536841</v>
      </c>
      <c r="T1180">
        <v>91.16</v>
      </c>
      <c r="U1180">
        <v>2.3174698847378039</v>
      </c>
      <c r="V1180">
        <v>-0.58471966768986094</v>
      </c>
      <c r="W1180">
        <v>-0.55557078097057</v>
      </c>
      <c r="X1180">
        <v>-0.47566183223429498</v>
      </c>
      <c r="Y1180">
        <v>-0.95884680312505799</v>
      </c>
      <c r="Z1180">
        <v>-0.76521334103430205</v>
      </c>
      <c r="AA1180">
        <v>-0.77245900699560299</v>
      </c>
      <c r="AB1180">
        <v>1376</v>
      </c>
      <c r="AC1180">
        <v>0</v>
      </c>
      <c r="AD1180">
        <v>2</v>
      </c>
      <c r="AE1180">
        <v>-1.2769936012368599</v>
      </c>
      <c r="AF1180">
        <v>0.268000367633905</v>
      </c>
      <c r="AG1180">
        <v>0.23143374061952399</v>
      </c>
      <c r="AH1180">
        <v>-4.80659968451898E-2</v>
      </c>
      <c r="AI1180">
        <v>-0.81394169272544703</v>
      </c>
      <c r="AJ1180">
        <v>-1.31327799821003</v>
      </c>
      <c r="AK1180">
        <v>47.815207299999997</v>
      </c>
      <c r="AL1180">
        <v>3.8001657</v>
      </c>
      <c r="AM1180">
        <v>48.856372813999997</v>
      </c>
      <c r="AN1180">
        <v>2.3525296170000001</v>
      </c>
    </row>
    <row r="1181" spans="1:40" x14ac:dyDescent="0.35">
      <c r="A1181">
        <v>1458</v>
      </c>
      <c r="B1181">
        <v>57</v>
      </c>
      <c r="C1181" t="s">
        <v>40</v>
      </c>
      <c r="D1181" t="s">
        <v>41</v>
      </c>
      <c r="E1181" t="s">
        <v>42</v>
      </c>
      <c r="F1181" t="s">
        <v>49</v>
      </c>
      <c r="G1181">
        <v>4</v>
      </c>
      <c r="H1181">
        <v>16</v>
      </c>
      <c r="I1181">
        <v>7</v>
      </c>
      <c r="J1181" t="s">
        <v>56</v>
      </c>
      <c r="K1181" t="s">
        <v>46</v>
      </c>
      <c r="L1181" t="s">
        <v>79</v>
      </c>
      <c r="M1181">
        <v>170.51420991106761</v>
      </c>
      <c r="N1181">
        <v>279</v>
      </c>
      <c r="O1181">
        <v>175</v>
      </c>
      <c r="P1181">
        <v>212</v>
      </c>
      <c r="Q1181">
        <v>0</v>
      </c>
      <c r="R1181">
        <v>1.0986122886681098</v>
      </c>
      <c r="S1181">
        <v>4.4659081186545837</v>
      </c>
      <c r="T1181">
        <v>90.88000000000001</v>
      </c>
      <c r="U1181">
        <v>0.63076672920079646</v>
      </c>
      <c r="V1181">
        <v>-0.66459185691613598</v>
      </c>
      <c r="W1181">
        <v>-0.11297510960708999</v>
      </c>
      <c r="X1181">
        <v>-0.19037106594949799</v>
      </c>
      <c r="Y1181">
        <v>-0.374020329094302</v>
      </c>
      <c r="Z1181">
        <v>-0.78642831806525804</v>
      </c>
      <c r="AA1181">
        <v>-1.3830773108541501</v>
      </c>
      <c r="AB1181">
        <v>1910</v>
      </c>
      <c r="AC1181">
        <v>4</v>
      </c>
      <c r="AD1181">
        <v>0</v>
      </c>
      <c r="AE1181">
        <v>3.4620335695619099E-2</v>
      </c>
      <c r="AF1181">
        <v>0.77246191032216904</v>
      </c>
      <c r="AG1181">
        <v>-0.133022490593177</v>
      </c>
      <c r="AH1181">
        <v>0.95108719321347102</v>
      </c>
      <c r="AI1181">
        <v>0.51892632858198795</v>
      </c>
      <c r="AJ1181">
        <v>2.2965399587648701E-2</v>
      </c>
      <c r="AK1181">
        <v>42.698529999999998</v>
      </c>
      <c r="AL1181">
        <v>2.8953120000000001</v>
      </c>
      <c r="AM1181">
        <v>43.912875</v>
      </c>
      <c r="AN1181">
        <v>1.6122500000000002</v>
      </c>
    </row>
    <row r="1182" spans="1:40" x14ac:dyDescent="0.35">
      <c r="A1182">
        <v>1459</v>
      </c>
      <c r="B1182">
        <v>72</v>
      </c>
      <c r="C1182" t="s">
        <v>48</v>
      </c>
      <c r="D1182" t="s">
        <v>52</v>
      </c>
      <c r="E1182" t="s">
        <v>42</v>
      </c>
      <c r="F1182" t="s">
        <v>61</v>
      </c>
      <c r="G1182">
        <v>5</v>
      </c>
      <c r="H1182">
        <v>25</v>
      </c>
      <c r="I1182">
        <v>7</v>
      </c>
      <c r="J1182" t="s">
        <v>50</v>
      </c>
      <c r="K1182" t="s">
        <v>46</v>
      </c>
      <c r="L1182" t="s">
        <v>76</v>
      </c>
      <c r="M1182">
        <v>353.07063458206147</v>
      </c>
      <c r="N1182">
        <v>396</v>
      </c>
      <c r="O1182">
        <v>265</v>
      </c>
      <c r="P1182">
        <v>328</v>
      </c>
      <c r="Q1182">
        <v>0</v>
      </c>
      <c r="R1182">
        <v>1.0986122886681098</v>
      </c>
      <c r="S1182">
        <v>4.1588830833596715</v>
      </c>
      <c r="T1182">
        <v>91.226666666666674</v>
      </c>
      <c r="U1182">
        <v>1.418823059726001</v>
      </c>
      <c r="V1182">
        <v>-0.39095273818515502</v>
      </c>
      <c r="W1182">
        <v>-0.53446083104759001</v>
      </c>
      <c r="X1182">
        <v>-0.40804429067029002</v>
      </c>
      <c r="Y1182">
        <v>-0.56789545922357498</v>
      </c>
      <c r="Z1182">
        <v>-0.94760790482486201</v>
      </c>
      <c r="AA1182">
        <v>-1.0848673571571601</v>
      </c>
      <c r="AB1182">
        <v>1770.5103102717287</v>
      </c>
      <c r="AC1182">
        <v>0.28213528618230871</v>
      </c>
      <c r="AD1182">
        <v>1.7130468298323378</v>
      </c>
      <c r="AE1182">
        <v>-1.13486126839574</v>
      </c>
      <c r="AF1182">
        <v>0.91612579820034168</v>
      </c>
      <c r="AG1182">
        <v>0.76160825674596377</v>
      </c>
      <c r="AH1182">
        <v>0.47616581204169484</v>
      </c>
      <c r="AI1182">
        <v>0.123275163154197</v>
      </c>
      <c r="AJ1182">
        <v>1.1297623675169599</v>
      </c>
      <c r="AK1182">
        <v>47.330690599999997</v>
      </c>
      <c r="AL1182">
        <v>2.8390453999999998</v>
      </c>
      <c r="AM1182">
        <v>47.086666666666666</v>
      </c>
      <c r="AN1182">
        <v>-1.8166666666666664</v>
      </c>
    </row>
    <row r="1183" spans="1:40" x14ac:dyDescent="0.35">
      <c r="A1183">
        <v>1460</v>
      </c>
      <c r="B1183">
        <v>72</v>
      </c>
      <c r="C1183" t="s">
        <v>40</v>
      </c>
      <c r="D1183" t="s">
        <v>52</v>
      </c>
      <c r="E1183" t="s">
        <v>42</v>
      </c>
      <c r="F1183" t="s">
        <v>61</v>
      </c>
      <c r="G1183">
        <v>4</v>
      </c>
      <c r="H1183">
        <v>16</v>
      </c>
      <c r="I1183">
        <v>3</v>
      </c>
      <c r="J1183" t="s">
        <v>45</v>
      </c>
      <c r="K1183" t="s">
        <v>46</v>
      </c>
      <c r="L1183" t="s">
        <v>65</v>
      </c>
      <c r="M1183">
        <v>642.06211054029529</v>
      </c>
      <c r="N1183">
        <v>841</v>
      </c>
      <c r="O1183">
        <v>430</v>
      </c>
      <c r="P1183">
        <v>373</v>
      </c>
      <c r="Q1183">
        <v>0</v>
      </c>
      <c r="R1183">
        <v>0</v>
      </c>
      <c r="S1183">
        <v>4.4543472962535073</v>
      </c>
      <c r="T1183">
        <v>89.333044733044744</v>
      </c>
      <c r="U1183">
        <v>1.2554235437523662</v>
      </c>
      <c r="V1183">
        <v>1.64975517953679</v>
      </c>
      <c r="W1183">
        <v>2.4220969657957299</v>
      </c>
      <c r="X1183">
        <v>1.68128863126442</v>
      </c>
      <c r="Y1183">
        <v>2.0553398017137301</v>
      </c>
      <c r="Z1183">
        <v>2.0921400018840099</v>
      </c>
      <c r="AA1183">
        <v>2.0596698968962701</v>
      </c>
      <c r="AB1183">
        <v>3262.71</v>
      </c>
      <c r="AC1183">
        <v>0.33</v>
      </c>
      <c r="AD1183">
        <v>0.66</v>
      </c>
      <c r="AE1183">
        <v>1.9221838973381</v>
      </c>
      <c r="AF1183">
        <v>0.74973300046250102</v>
      </c>
      <c r="AG1183">
        <v>1.0620793537926501</v>
      </c>
      <c r="AH1183">
        <v>0.80803981117018597</v>
      </c>
      <c r="AI1183">
        <v>1.5196778284643</v>
      </c>
      <c r="AJ1183">
        <v>-1.3479571738129199</v>
      </c>
      <c r="AK1183">
        <v>43.537466000000002</v>
      </c>
      <c r="AL1183">
        <v>6.4627330000000001</v>
      </c>
      <c r="AM1183">
        <v>48.738</v>
      </c>
      <c r="AN1183">
        <v>2.8575714285714287</v>
      </c>
    </row>
    <row r="1184" spans="1:40" x14ac:dyDescent="0.35">
      <c r="A1184">
        <v>1462</v>
      </c>
      <c r="B1184">
        <v>72</v>
      </c>
      <c r="C1184" t="s">
        <v>40</v>
      </c>
      <c r="D1184" t="s">
        <v>52</v>
      </c>
      <c r="E1184" t="s">
        <v>42</v>
      </c>
      <c r="F1184" t="s">
        <v>49</v>
      </c>
      <c r="G1184">
        <v>5</v>
      </c>
      <c r="H1184">
        <v>25</v>
      </c>
      <c r="I1184">
        <v>5</v>
      </c>
      <c r="J1184" t="s">
        <v>45</v>
      </c>
      <c r="K1184" t="s">
        <v>46</v>
      </c>
      <c r="L1184" t="s">
        <v>79</v>
      </c>
      <c r="M1184">
        <v>682.21306297834451</v>
      </c>
      <c r="N1184">
        <v>842</v>
      </c>
      <c r="O1184">
        <v>486</v>
      </c>
      <c r="P1184">
        <v>367</v>
      </c>
      <c r="Q1184">
        <v>0</v>
      </c>
      <c r="R1184">
        <v>1.0986122886681098</v>
      </c>
      <c r="S1184">
        <v>4.4659081186545837</v>
      </c>
      <c r="T1184">
        <v>90.88000000000001</v>
      </c>
      <c r="U1184">
        <v>0.63076672920079646</v>
      </c>
      <c r="V1184">
        <v>-0.66459185691613598</v>
      </c>
      <c r="W1184">
        <v>-0.11297510960708999</v>
      </c>
      <c r="X1184">
        <v>-0.19037106594949799</v>
      </c>
      <c r="Y1184">
        <v>-0.374020329094302</v>
      </c>
      <c r="Z1184">
        <v>-0.78642831806525804</v>
      </c>
      <c r="AA1184">
        <v>-1.3830773108541501</v>
      </c>
      <c r="AB1184">
        <v>1910</v>
      </c>
      <c r="AC1184">
        <v>4</v>
      </c>
      <c r="AD1184">
        <v>0</v>
      </c>
      <c r="AE1184">
        <v>3.4620335695619099E-2</v>
      </c>
      <c r="AF1184">
        <v>1.0092095389173401</v>
      </c>
      <c r="AG1184">
        <v>0.57018466921034705</v>
      </c>
      <c r="AH1184">
        <v>-0.246621450002354</v>
      </c>
      <c r="AI1184">
        <v>-0.24354018008543499</v>
      </c>
      <c r="AJ1184">
        <v>-1.6830863727354799</v>
      </c>
      <c r="AK1184">
        <v>42.698529999999998</v>
      </c>
      <c r="AL1184">
        <v>2.8953120000000001</v>
      </c>
      <c r="AM1184">
        <v>48.802999999999997</v>
      </c>
      <c r="AN1184">
        <v>2.1179999999999999</v>
      </c>
    </row>
    <row r="1185" spans="1:40" x14ac:dyDescent="0.35">
      <c r="A1185">
        <v>1464</v>
      </c>
      <c r="B1185">
        <v>57</v>
      </c>
      <c r="C1185" t="s">
        <v>48</v>
      </c>
      <c r="D1185" t="s">
        <v>52</v>
      </c>
      <c r="E1185" t="s">
        <v>68</v>
      </c>
      <c r="F1185" t="s">
        <v>49</v>
      </c>
      <c r="G1185">
        <v>3</v>
      </c>
      <c r="H1185">
        <v>9</v>
      </c>
      <c r="I1185">
        <v>5</v>
      </c>
      <c r="J1185" t="s">
        <v>45</v>
      </c>
      <c r="K1185" t="s">
        <v>46</v>
      </c>
      <c r="L1185" t="s">
        <v>51</v>
      </c>
      <c r="M1185">
        <v>320.69041887723353</v>
      </c>
      <c r="N1185">
        <v>432</v>
      </c>
      <c r="O1185">
        <v>310</v>
      </c>
      <c r="P1185">
        <v>334</v>
      </c>
      <c r="Q1185">
        <v>0</v>
      </c>
      <c r="R1185">
        <v>1.3862943611198906</v>
      </c>
      <c r="S1185">
        <v>4.3438054218536841</v>
      </c>
      <c r="T1185">
        <v>91.16</v>
      </c>
      <c r="U1185">
        <v>2.3174698847378039</v>
      </c>
      <c r="V1185">
        <v>-0.58471966768986094</v>
      </c>
      <c r="W1185">
        <v>-0.55557078097057</v>
      </c>
      <c r="X1185">
        <v>-0.47566183223429498</v>
      </c>
      <c r="Y1185">
        <v>-0.95884680312505799</v>
      </c>
      <c r="Z1185">
        <v>-0.76521334103430205</v>
      </c>
      <c r="AA1185">
        <v>-0.77245900699560299</v>
      </c>
      <c r="AB1185">
        <v>1376</v>
      </c>
      <c r="AC1185">
        <v>0</v>
      </c>
      <c r="AD1185">
        <v>2</v>
      </c>
      <c r="AE1185">
        <v>-1.2769936012368599</v>
      </c>
      <c r="AF1185">
        <v>1.31889767016635</v>
      </c>
      <c r="AG1185">
        <v>-0.66707268694155297</v>
      </c>
      <c r="AH1185">
        <v>0.99443126724707598</v>
      </c>
      <c r="AI1185">
        <v>1.4836044289928401</v>
      </c>
      <c r="AJ1185">
        <v>0.76193534118230599</v>
      </c>
      <c r="AK1185">
        <v>47.815207299999997</v>
      </c>
      <c r="AL1185">
        <v>3.8001657</v>
      </c>
      <c r="AM1185">
        <v>50.640682937000001</v>
      </c>
      <c r="AN1185">
        <v>4.6610704270000003</v>
      </c>
    </row>
    <row r="1186" spans="1:40" x14ac:dyDescent="0.35">
      <c r="A1186">
        <v>1465</v>
      </c>
      <c r="B1186">
        <v>72</v>
      </c>
      <c r="C1186" t="s">
        <v>40</v>
      </c>
      <c r="D1186" t="s">
        <v>52</v>
      </c>
      <c r="E1186" t="s">
        <v>42</v>
      </c>
      <c r="F1186" t="s">
        <v>49</v>
      </c>
      <c r="G1186">
        <v>4</v>
      </c>
      <c r="H1186">
        <v>16</v>
      </c>
      <c r="I1186">
        <v>6</v>
      </c>
      <c r="J1186" t="s">
        <v>56</v>
      </c>
      <c r="K1186" t="s">
        <v>46</v>
      </c>
      <c r="L1186" t="s">
        <v>60</v>
      </c>
      <c r="M1186">
        <v>134.33055094155691</v>
      </c>
      <c r="N1186">
        <v>109</v>
      </c>
      <c r="O1186">
        <v>82</v>
      </c>
      <c r="P1186">
        <v>333</v>
      </c>
      <c r="Q1186">
        <v>3.8501476017100584</v>
      </c>
      <c r="R1186">
        <v>2.9957322735539909</v>
      </c>
      <c r="S1186">
        <v>5.4424177105217932</v>
      </c>
      <c r="T1186">
        <v>88.975873222691746</v>
      </c>
      <c r="U1186">
        <v>2.5514539469641888</v>
      </c>
      <c r="V1186">
        <v>2.9336799326863701</v>
      </c>
      <c r="W1186">
        <v>3.3730943146768602</v>
      </c>
      <c r="X1186">
        <v>3.6072071704345601</v>
      </c>
      <c r="Y1186">
        <v>-0.19189497559235799</v>
      </c>
      <c r="Z1186">
        <v>0.17569111512999699</v>
      </c>
      <c r="AA1186">
        <v>-0.304970615080496</v>
      </c>
      <c r="AB1186">
        <v>1906.836709612184</v>
      </c>
      <c r="AC1186">
        <v>0.7978420820676605</v>
      </c>
      <c r="AD1186">
        <v>2.1056638128240834</v>
      </c>
      <c r="AE1186">
        <v>-0.25037207080954499</v>
      </c>
      <c r="AF1186">
        <v>1.5118051043504199</v>
      </c>
      <c r="AG1186">
        <v>0.68693864598118204</v>
      </c>
      <c r="AH1186">
        <v>0.17217048846080901</v>
      </c>
      <c r="AI1186">
        <v>0.96807586181433003</v>
      </c>
      <c r="AJ1186">
        <v>0.412493661242957</v>
      </c>
      <c r="AK1186">
        <v>44.055988999999997</v>
      </c>
      <c r="AL1186">
        <v>4.8317350000000001</v>
      </c>
      <c r="AM1186">
        <v>45.255249999999997</v>
      </c>
      <c r="AN1186">
        <v>4.6435000000000004</v>
      </c>
    </row>
    <row r="1187" spans="1:40" x14ac:dyDescent="0.35">
      <c r="A1187">
        <v>1466</v>
      </c>
      <c r="B1187">
        <v>42</v>
      </c>
      <c r="C1187" t="s">
        <v>40</v>
      </c>
      <c r="D1187" t="s">
        <v>41</v>
      </c>
      <c r="E1187" t="s">
        <v>42</v>
      </c>
      <c r="F1187" t="s">
        <v>61</v>
      </c>
      <c r="G1187">
        <v>3</v>
      </c>
      <c r="H1187">
        <v>9</v>
      </c>
      <c r="I1187">
        <v>5</v>
      </c>
      <c r="J1187" t="s">
        <v>45</v>
      </c>
      <c r="K1187" t="s">
        <v>46</v>
      </c>
      <c r="L1187" t="s">
        <v>62</v>
      </c>
      <c r="M1187">
        <v>106.9712994590172</v>
      </c>
      <c r="N1187">
        <v>142</v>
      </c>
      <c r="O1187">
        <v>100</v>
      </c>
      <c r="P1187">
        <v>112</v>
      </c>
      <c r="Q1187">
        <v>0.69314718055994529</v>
      </c>
      <c r="R1187">
        <v>3.2580965380214821</v>
      </c>
      <c r="S1187">
        <v>3.2580965380214821</v>
      </c>
      <c r="T1187">
        <v>95.68</v>
      </c>
      <c r="U1187">
        <v>0</v>
      </c>
      <c r="V1187">
        <v>1.82802042479695</v>
      </c>
      <c r="W1187">
        <v>0.99424279543483596</v>
      </c>
      <c r="X1187">
        <v>0.99177342203587404</v>
      </c>
      <c r="Y1187">
        <v>-0.96278755162326501</v>
      </c>
      <c r="Z1187">
        <v>-0.75605764486205096</v>
      </c>
      <c r="AA1187">
        <v>-0.80037586101695801</v>
      </c>
      <c r="AB1187">
        <v>2092.91</v>
      </c>
      <c r="AC1187">
        <v>0</v>
      </c>
      <c r="AD1187">
        <v>2.1</v>
      </c>
      <c r="AE1187">
        <v>-1.0768626388726401</v>
      </c>
      <c r="AF1187">
        <v>-1.39764002106297</v>
      </c>
      <c r="AG1187">
        <v>0.44727084834576603</v>
      </c>
      <c r="AH1187">
        <v>-0.49837867886623999</v>
      </c>
      <c r="AI1187">
        <v>-1.90855856516288</v>
      </c>
      <c r="AJ1187">
        <v>-1.5649727950435199</v>
      </c>
      <c r="AK1187">
        <v>49.042560999999999</v>
      </c>
      <c r="AL1187">
        <v>3.9528660000000002</v>
      </c>
      <c r="AM1187">
        <v>48.884999999999998</v>
      </c>
      <c r="AN1187">
        <v>2.5089999999999999</v>
      </c>
    </row>
    <row r="1188" spans="1:40" x14ac:dyDescent="0.35">
      <c r="A1188">
        <v>1467</v>
      </c>
      <c r="B1188">
        <v>72</v>
      </c>
      <c r="C1188" t="s">
        <v>40</v>
      </c>
      <c r="D1188" t="s">
        <v>52</v>
      </c>
      <c r="E1188" t="s">
        <v>42</v>
      </c>
      <c r="F1188" t="s">
        <v>49</v>
      </c>
      <c r="G1188">
        <v>2</v>
      </c>
      <c r="H1188">
        <v>4</v>
      </c>
      <c r="I1188">
        <v>4</v>
      </c>
      <c r="J1188" t="s">
        <v>56</v>
      </c>
      <c r="K1188" t="s">
        <v>46</v>
      </c>
      <c r="L1188" t="s">
        <v>77</v>
      </c>
      <c r="M1188">
        <v>253.57285753495381</v>
      </c>
      <c r="N1188">
        <v>321</v>
      </c>
      <c r="O1188">
        <v>204</v>
      </c>
      <c r="P1188">
        <v>127</v>
      </c>
      <c r="Q1188">
        <v>0</v>
      </c>
      <c r="R1188">
        <v>2.3978952727983707</v>
      </c>
      <c r="S1188">
        <v>5.1416635565026603</v>
      </c>
      <c r="T1188">
        <v>90.472417453603512</v>
      </c>
      <c r="U1188">
        <v>2.7735735584863375</v>
      </c>
      <c r="V1188">
        <v>-0.15231437986527399</v>
      </c>
      <c r="W1188">
        <v>3.49635939345109E-2</v>
      </c>
      <c r="X1188">
        <v>-0.19627808847033801</v>
      </c>
      <c r="Y1188">
        <v>-0.57382446736590997</v>
      </c>
      <c r="Z1188">
        <v>-0.74335605457542497</v>
      </c>
      <c r="AA1188">
        <v>-0.53588051656191904</v>
      </c>
      <c r="AB1188">
        <v>3937</v>
      </c>
      <c r="AC1188">
        <v>0</v>
      </c>
      <c r="AD1188">
        <v>1</v>
      </c>
      <c r="AE1188">
        <v>-0.72244456620022002</v>
      </c>
      <c r="AF1188">
        <v>-1.2895132877914699</v>
      </c>
      <c r="AG1188">
        <v>-0.88464579076512095</v>
      </c>
      <c r="AH1188">
        <v>-0.49153975475872203</v>
      </c>
      <c r="AI1188">
        <v>-0.50706417727782704</v>
      </c>
      <c r="AJ1188">
        <v>0.63297437616453001</v>
      </c>
      <c r="AK1188">
        <v>47.259622</v>
      </c>
      <c r="AL1188">
        <v>-7.8518000000000004E-2</v>
      </c>
      <c r="AM1188">
        <v>48.856372813999997</v>
      </c>
      <c r="AN1188">
        <v>2.3525296170000001</v>
      </c>
    </row>
    <row r="1189" spans="1:40" x14ac:dyDescent="0.35">
      <c r="A1189">
        <v>1468</v>
      </c>
      <c r="B1189">
        <v>72</v>
      </c>
      <c r="C1189" t="s">
        <v>48</v>
      </c>
      <c r="D1189" t="s">
        <v>66</v>
      </c>
      <c r="E1189" t="s">
        <v>42</v>
      </c>
      <c r="F1189" t="s">
        <v>43</v>
      </c>
      <c r="G1189">
        <v>4</v>
      </c>
      <c r="H1189">
        <v>16</v>
      </c>
      <c r="I1189">
        <v>5</v>
      </c>
      <c r="J1189" t="s">
        <v>56</v>
      </c>
      <c r="K1189" t="s">
        <v>46</v>
      </c>
      <c r="L1189" t="s">
        <v>62</v>
      </c>
      <c r="M1189">
        <v>427.49775475304131</v>
      </c>
      <c r="N1189">
        <v>480</v>
      </c>
      <c r="O1189">
        <v>270</v>
      </c>
      <c r="P1189">
        <v>261</v>
      </c>
      <c r="Q1189">
        <v>0.69314718055994529</v>
      </c>
      <c r="R1189">
        <v>3.2580965380214821</v>
      </c>
      <c r="S1189">
        <v>3.2580965380214821</v>
      </c>
      <c r="T1189">
        <v>95.68</v>
      </c>
      <c r="U1189">
        <v>0</v>
      </c>
      <c r="V1189">
        <v>1.82802042479695</v>
      </c>
      <c r="W1189">
        <v>0.99424279543483596</v>
      </c>
      <c r="X1189">
        <v>0.99177342203587404</v>
      </c>
      <c r="Y1189">
        <v>-0.96278755162326501</v>
      </c>
      <c r="Z1189">
        <v>-0.75605764486205096</v>
      </c>
      <c r="AA1189">
        <v>-0.80037586101695801</v>
      </c>
      <c r="AB1189">
        <v>2092.91</v>
      </c>
      <c r="AC1189">
        <v>0</v>
      </c>
      <c r="AD1189">
        <v>2.1</v>
      </c>
      <c r="AE1189">
        <v>-1.0768626388726401</v>
      </c>
      <c r="AF1189">
        <v>0.18343969581970601</v>
      </c>
      <c r="AG1189">
        <v>1.4201466278156201</v>
      </c>
      <c r="AH1189">
        <v>0.92449141153042502</v>
      </c>
      <c r="AI1189">
        <v>0.74318681618151405</v>
      </c>
      <c r="AJ1189">
        <v>1.13219827916871</v>
      </c>
      <c r="AK1189">
        <v>49.042560999999999</v>
      </c>
      <c r="AL1189">
        <v>3.9528660000000002</v>
      </c>
      <c r="AM1189">
        <v>48.111866200000001</v>
      </c>
      <c r="AN1189">
        <v>-1.6801145</v>
      </c>
    </row>
    <row r="1190" spans="1:40" x14ac:dyDescent="0.35">
      <c r="A1190">
        <v>1469</v>
      </c>
      <c r="B1190">
        <v>57</v>
      </c>
      <c r="C1190" t="s">
        <v>40</v>
      </c>
      <c r="D1190" t="s">
        <v>41</v>
      </c>
      <c r="E1190" t="s">
        <v>42</v>
      </c>
      <c r="F1190" t="s">
        <v>49</v>
      </c>
      <c r="G1190">
        <v>5</v>
      </c>
      <c r="H1190">
        <v>25</v>
      </c>
      <c r="I1190">
        <v>3</v>
      </c>
      <c r="J1190" t="s">
        <v>45</v>
      </c>
      <c r="K1190" t="s">
        <v>46</v>
      </c>
      <c r="L1190" t="s">
        <v>55</v>
      </c>
      <c r="M1190">
        <v>412.64325530878449</v>
      </c>
      <c r="N1190">
        <v>573</v>
      </c>
      <c r="O1190">
        <v>376</v>
      </c>
      <c r="P1190">
        <v>220</v>
      </c>
      <c r="Q1190">
        <v>2.0794415416798357</v>
      </c>
      <c r="R1190">
        <v>2.3025850929940459</v>
      </c>
      <c r="S1190">
        <v>3.2580965380214821</v>
      </c>
      <c r="T1190">
        <v>95.12</v>
      </c>
      <c r="U1190">
        <v>0</v>
      </c>
      <c r="V1190">
        <v>1.89305099905856</v>
      </c>
      <c r="W1190">
        <v>0.59880690621441701</v>
      </c>
      <c r="X1190">
        <v>1.1856460040685599</v>
      </c>
      <c r="Y1190">
        <v>-0.15565097555555901</v>
      </c>
      <c r="Z1190">
        <v>-0.22748295097212001</v>
      </c>
      <c r="AA1190">
        <v>1.0415013010201299</v>
      </c>
      <c r="AB1190">
        <v>2939.9504036908884</v>
      </c>
      <c r="AC1190">
        <v>2</v>
      </c>
      <c r="AD1190">
        <v>0.42868127643214149</v>
      </c>
      <c r="AE1190">
        <v>-2.40641039566141E-2</v>
      </c>
      <c r="AF1190">
        <v>1.1824138270259501</v>
      </c>
      <c r="AG1190">
        <v>-0.23008828733183101</v>
      </c>
      <c r="AH1190">
        <v>-0.104289350913434</v>
      </c>
      <c r="AI1190">
        <v>0.92789000888121098</v>
      </c>
      <c r="AJ1190">
        <v>-0.82915149160748003</v>
      </c>
      <c r="AK1190">
        <v>48.0777517</v>
      </c>
      <c r="AL1190">
        <v>7.3579641000000002</v>
      </c>
      <c r="AM1190">
        <v>48.978500000000004</v>
      </c>
      <c r="AN1190">
        <v>1.9269999999999998</v>
      </c>
    </row>
    <row r="1191" spans="1:40" x14ac:dyDescent="0.35">
      <c r="A1191">
        <v>1470</v>
      </c>
      <c r="B1191">
        <v>57</v>
      </c>
      <c r="C1191" t="s">
        <v>40</v>
      </c>
      <c r="D1191" t="s">
        <v>52</v>
      </c>
      <c r="E1191" t="s">
        <v>42</v>
      </c>
      <c r="F1191" t="s">
        <v>49</v>
      </c>
      <c r="G1191">
        <v>3</v>
      </c>
      <c r="H1191">
        <v>9</v>
      </c>
      <c r="I1191">
        <v>7</v>
      </c>
      <c r="J1191" t="s">
        <v>50</v>
      </c>
      <c r="K1191" t="s">
        <v>46</v>
      </c>
      <c r="L1191" t="s">
        <v>72</v>
      </c>
      <c r="M1191">
        <v>613.03425014736126</v>
      </c>
      <c r="N1191">
        <v>742</v>
      </c>
      <c r="O1191">
        <v>485</v>
      </c>
      <c r="P1191">
        <v>707</v>
      </c>
      <c r="Q1191">
        <v>0.69314718055994529</v>
      </c>
      <c r="R1191">
        <v>1.3862943611198906</v>
      </c>
      <c r="S1191">
        <v>4.5538768916005408</v>
      </c>
      <c r="T1191">
        <v>89.340161030595823</v>
      </c>
      <c r="U1191">
        <v>1.4712304197281412</v>
      </c>
      <c r="V1191">
        <v>0.59716251398508702</v>
      </c>
      <c r="W1191">
        <v>0.91068296986709796</v>
      </c>
      <c r="X1191">
        <v>1.2273243988355</v>
      </c>
      <c r="Y1191">
        <v>-0.4121809470949</v>
      </c>
      <c r="Z1191">
        <v>-0.86472582726521097</v>
      </c>
      <c r="AA1191">
        <v>-1.0172779374790899</v>
      </c>
      <c r="AB1191">
        <v>1828.1689246701658</v>
      </c>
      <c r="AC1191">
        <v>1.1127464888636687</v>
      </c>
      <c r="AD1191">
        <v>1.8630656830756136</v>
      </c>
      <c r="AE1191">
        <v>-0.53926882203722504</v>
      </c>
      <c r="AF1191">
        <v>1.0451402882060301</v>
      </c>
      <c r="AG1191">
        <v>-0.90185241708735497</v>
      </c>
      <c r="AH1191">
        <v>1.10705406391024</v>
      </c>
      <c r="AI1191">
        <v>0.31236028941809901</v>
      </c>
      <c r="AJ1191">
        <v>1.0070518215222</v>
      </c>
      <c r="AK1191">
        <v>44.503641999999999</v>
      </c>
      <c r="AL1191">
        <v>1.1863669999999999</v>
      </c>
      <c r="AM1191">
        <v>48.712000000000003</v>
      </c>
      <c r="AN1191">
        <v>-3.99</v>
      </c>
    </row>
    <row r="1192" spans="1:40" x14ac:dyDescent="0.35">
      <c r="A1192">
        <v>1472</v>
      </c>
      <c r="B1192">
        <v>72</v>
      </c>
      <c r="C1192" t="s">
        <v>40</v>
      </c>
      <c r="D1192" t="s">
        <v>52</v>
      </c>
      <c r="E1192" t="s">
        <v>42</v>
      </c>
      <c r="F1192" t="s">
        <v>49</v>
      </c>
      <c r="G1192">
        <v>6</v>
      </c>
      <c r="H1192">
        <v>36</v>
      </c>
      <c r="I1192">
        <v>7</v>
      </c>
      <c r="J1192" t="s">
        <v>56</v>
      </c>
      <c r="K1192" t="s">
        <v>46</v>
      </c>
      <c r="L1192" t="s">
        <v>62</v>
      </c>
      <c r="M1192">
        <v>124.5237466302607</v>
      </c>
      <c r="N1192">
        <v>167</v>
      </c>
      <c r="O1192">
        <v>120</v>
      </c>
      <c r="P1192">
        <v>109</v>
      </c>
      <c r="Q1192">
        <v>0.69314718055994529</v>
      </c>
      <c r="R1192">
        <v>3.2580965380214821</v>
      </c>
      <c r="S1192">
        <v>3.2580965380214821</v>
      </c>
      <c r="T1192">
        <v>95.68</v>
      </c>
      <c r="U1192">
        <v>0</v>
      </c>
      <c r="V1192">
        <v>1.82802042479695</v>
      </c>
      <c r="W1192">
        <v>0.99424279543483596</v>
      </c>
      <c r="X1192">
        <v>0.99177342203587404</v>
      </c>
      <c r="Y1192">
        <v>-0.96278755162326501</v>
      </c>
      <c r="Z1192">
        <v>-0.75605764486205096</v>
      </c>
      <c r="AA1192">
        <v>-0.80037586101695801</v>
      </c>
      <c r="AB1192">
        <v>2092.91</v>
      </c>
      <c r="AC1192">
        <v>0</v>
      </c>
      <c r="AD1192">
        <v>2.1</v>
      </c>
      <c r="AE1192">
        <v>-1.0768626388726401</v>
      </c>
      <c r="AF1192">
        <v>-8.6932263158736506E-2</v>
      </c>
      <c r="AG1192">
        <v>1.28673428543677</v>
      </c>
      <c r="AH1192">
        <v>0.67475752817638002</v>
      </c>
      <c r="AI1192">
        <v>0.55384833548503054</v>
      </c>
      <c r="AJ1192">
        <v>-0.18240949370188653</v>
      </c>
      <c r="AK1192">
        <v>49.042560999999999</v>
      </c>
      <c r="AL1192">
        <v>3.9528660000000002</v>
      </c>
      <c r="AM1192">
        <v>48.884999999999998</v>
      </c>
      <c r="AN1192">
        <v>2.266</v>
      </c>
    </row>
    <row r="1193" spans="1:40" x14ac:dyDescent="0.35">
      <c r="A1193">
        <v>1475</v>
      </c>
      <c r="B1193">
        <v>57</v>
      </c>
      <c r="C1193" t="s">
        <v>48</v>
      </c>
      <c r="D1193" t="s">
        <v>66</v>
      </c>
      <c r="E1193" t="s">
        <v>42</v>
      </c>
      <c r="F1193" t="s">
        <v>61</v>
      </c>
      <c r="G1193">
        <v>5</v>
      </c>
      <c r="H1193">
        <v>25</v>
      </c>
      <c r="I1193">
        <v>5</v>
      </c>
      <c r="J1193" t="s">
        <v>50</v>
      </c>
      <c r="K1193" t="s">
        <v>46</v>
      </c>
      <c r="L1193" t="s">
        <v>59</v>
      </c>
      <c r="M1193">
        <v>216.51523088254811</v>
      </c>
      <c r="N1193">
        <v>263</v>
      </c>
      <c r="O1193">
        <v>214</v>
      </c>
      <c r="P1193">
        <v>168</v>
      </c>
      <c r="Q1193">
        <v>1.3862943611198906</v>
      </c>
      <c r="R1193">
        <v>1.3862943611198906</v>
      </c>
      <c r="S1193">
        <v>4.9972122737641147</v>
      </c>
      <c r="T1193">
        <v>90.035146103896111</v>
      </c>
      <c r="U1193">
        <v>1.418823059726001</v>
      </c>
      <c r="V1193">
        <v>-0.52223564926899602</v>
      </c>
      <c r="W1193">
        <v>-0.46072710968150399</v>
      </c>
      <c r="X1193">
        <v>-0.361786268345754</v>
      </c>
      <c r="Y1193">
        <v>-0.552694479448822</v>
      </c>
      <c r="Z1193">
        <v>2.1676297177028899E-2</v>
      </c>
      <c r="AA1193">
        <v>0.625223797005378</v>
      </c>
      <c r="AB1193">
        <v>2234.6992515788952</v>
      </c>
      <c r="AC1193">
        <v>0</v>
      </c>
      <c r="AD1193">
        <v>0.12112735591028891</v>
      </c>
      <c r="AE1193">
        <v>-0.60610368582010199</v>
      </c>
      <c r="AF1193">
        <v>3.11265912801598E-2</v>
      </c>
      <c r="AG1193">
        <v>9.6043828009372306E-2</v>
      </c>
      <c r="AH1193">
        <v>1.20900163105562</v>
      </c>
      <c r="AI1193">
        <v>0.60048715657729101</v>
      </c>
      <c r="AJ1193">
        <v>0.10794741777419301</v>
      </c>
      <c r="AK1193">
        <v>47.411035099999999</v>
      </c>
      <c r="AL1193">
        <v>0.98369799999999996</v>
      </c>
      <c r="AM1193">
        <v>49.111250000000013</v>
      </c>
      <c r="AN1193">
        <v>2.402833333333334</v>
      </c>
    </row>
    <row r="1194" spans="1:40" x14ac:dyDescent="0.35">
      <c r="A1194">
        <v>1476</v>
      </c>
      <c r="B1194">
        <v>72</v>
      </c>
      <c r="C1194" t="s">
        <v>40</v>
      </c>
      <c r="D1194" t="s">
        <v>52</v>
      </c>
      <c r="E1194" t="s">
        <v>68</v>
      </c>
      <c r="F1194" t="s">
        <v>49</v>
      </c>
      <c r="G1194">
        <v>4</v>
      </c>
      <c r="H1194">
        <v>16</v>
      </c>
      <c r="I1194">
        <v>7</v>
      </c>
      <c r="J1194" t="s">
        <v>56</v>
      </c>
      <c r="K1194" t="s">
        <v>46</v>
      </c>
      <c r="L1194" t="s">
        <v>62</v>
      </c>
      <c r="M1194">
        <v>185.02215271766741</v>
      </c>
      <c r="N1194">
        <v>263</v>
      </c>
      <c r="O1194">
        <v>231</v>
      </c>
      <c r="P1194">
        <v>208</v>
      </c>
      <c r="Q1194">
        <v>0.69314718055994529</v>
      </c>
      <c r="R1194">
        <v>3.2580965380214821</v>
      </c>
      <c r="S1194">
        <v>3.2580965380214821</v>
      </c>
      <c r="T1194">
        <v>95.68</v>
      </c>
      <c r="U1194">
        <v>0</v>
      </c>
      <c r="V1194">
        <v>1.82802042479695</v>
      </c>
      <c r="W1194">
        <v>0.99424279543483596</v>
      </c>
      <c r="X1194">
        <v>0.99177342203587404</v>
      </c>
      <c r="Y1194">
        <v>-0.96278755162326501</v>
      </c>
      <c r="Z1194">
        <v>-0.75605764486205096</v>
      </c>
      <c r="AA1194">
        <v>-0.80037586101695801</v>
      </c>
      <c r="AB1194">
        <v>2092.91</v>
      </c>
      <c r="AC1194">
        <v>0</v>
      </c>
      <c r="AD1194">
        <v>2.1</v>
      </c>
      <c r="AE1194">
        <v>-1.0768626388726401</v>
      </c>
      <c r="AF1194">
        <v>0.81825379737515702</v>
      </c>
      <c r="AG1194">
        <v>-0.168477239461192</v>
      </c>
      <c r="AH1194">
        <v>-2.3348183487631999</v>
      </c>
      <c r="AI1194">
        <v>-0.97970658534811605</v>
      </c>
      <c r="AJ1194">
        <v>0.33821730204093098</v>
      </c>
      <c r="AK1194">
        <v>49.042560999999999</v>
      </c>
      <c r="AL1194">
        <v>3.9528660000000002</v>
      </c>
      <c r="AM1194">
        <v>50.640682937000001</v>
      </c>
      <c r="AN1194">
        <v>4.6610704270000003</v>
      </c>
    </row>
    <row r="1195" spans="1:40" x14ac:dyDescent="0.35">
      <c r="A1195">
        <v>1477</v>
      </c>
      <c r="B1195">
        <v>42</v>
      </c>
      <c r="C1195" t="s">
        <v>48</v>
      </c>
      <c r="D1195" t="s">
        <v>41</v>
      </c>
      <c r="E1195" t="s">
        <v>42</v>
      </c>
      <c r="F1195" t="s">
        <v>61</v>
      </c>
      <c r="G1195">
        <v>3</v>
      </c>
      <c r="H1195">
        <v>9</v>
      </c>
      <c r="I1195">
        <v>2</v>
      </c>
      <c r="J1195" t="s">
        <v>56</v>
      </c>
      <c r="K1195" t="s">
        <v>46</v>
      </c>
      <c r="L1195" t="s">
        <v>55</v>
      </c>
      <c r="M1195">
        <v>342.96122671274969</v>
      </c>
      <c r="N1195">
        <v>457</v>
      </c>
      <c r="O1195">
        <v>303</v>
      </c>
      <c r="P1195">
        <v>313</v>
      </c>
      <c r="Q1195">
        <v>2.0794415416798357</v>
      </c>
      <c r="R1195">
        <v>2.3025850929940459</v>
      </c>
      <c r="S1195">
        <v>3.2580965380214821</v>
      </c>
      <c r="T1195">
        <v>95.12</v>
      </c>
      <c r="U1195">
        <v>0</v>
      </c>
      <c r="V1195">
        <v>1.89305099905856</v>
      </c>
      <c r="W1195">
        <v>0.59880690621441701</v>
      </c>
      <c r="X1195">
        <v>1.1856460040685599</v>
      </c>
      <c r="Y1195">
        <v>-0.15565097555555901</v>
      </c>
      <c r="Z1195">
        <v>-0.22748295097212001</v>
      </c>
      <c r="AA1195">
        <v>1.0415013010201299</v>
      </c>
      <c r="AB1195">
        <v>2939.9504036908884</v>
      </c>
      <c r="AC1195">
        <v>2</v>
      </c>
      <c r="AD1195">
        <v>0.42868127643214149</v>
      </c>
      <c r="AE1195">
        <v>-2.40641039566141E-2</v>
      </c>
      <c r="AF1195">
        <v>0.88423227842332897</v>
      </c>
      <c r="AG1195">
        <v>0.52261852542426301</v>
      </c>
      <c r="AH1195">
        <v>0.54233739395580205</v>
      </c>
      <c r="AI1195">
        <v>0.190281227033373</v>
      </c>
      <c r="AJ1195">
        <v>-0.89102452910553098</v>
      </c>
      <c r="AK1195">
        <v>48.0777517</v>
      </c>
      <c r="AL1195">
        <v>7.3579641000000002</v>
      </c>
      <c r="AM1195">
        <v>45.272500000000001</v>
      </c>
      <c r="AN1195">
        <v>5.50075</v>
      </c>
    </row>
    <row r="1196" spans="1:40" x14ac:dyDescent="0.35">
      <c r="A1196">
        <v>1478</v>
      </c>
      <c r="B1196">
        <v>72</v>
      </c>
      <c r="C1196" t="s">
        <v>40</v>
      </c>
      <c r="D1196" t="s">
        <v>52</v>
      </c>
      <c r="E1196" t="s">
        <v>42</v>
      </c>
      <c r="F1196" t="s">
        <v>49</v>
      </c>
      <c r="G1196">
        <v>5</v>
      </c>
      <c r="H1196">
        <v>25</v>
      </c>
      <c r="I1196">
        <v>5</v>
      </c>
      <c r="J1196" t="s">
        <v>56</v>
      </c>
      <c r="K1196" t="s">
        <v>46</v>
      </c>
      <c r="L1196" t="s">
        <v>65</v>
      </c>
      <c r="M1196">
        <v>784.39689322391393</v>
      </c>
      <c r="N1196">
        <v>1140</v>
      </c>
      <c r="O1196">
        <v>580</v>
      </c>
      <c r="P1196">
        <v>473</v>
      </c>
      <c r="Q1196">
        <v>0</v>
      </c>
      <c r="R1196">
        <v>0</v>
      </c>
      <c r="S1196">
        <v>4.4543472962535073</v>
      </c>
      <c r="T1196">
        <v>89.333044733044744</v>
      </c>
      <c r="U1196">
        <v>1.2554235437523662</v>
      </c>
      <c r="V1196">
        <v>1.64975517953679</v>
      </c>
      <c r="W1196">
        <v>2.4220969657957299</v>
      </c>
      <c r="X1196">
        <v>1.68128863126442</v>
      </c>
      <c r="Y1196">
        <v>2.0553398017137301</v>
      </c>
      <c r="Z1196">
        <v>2.0921400018840099</v>
      </c>
      <c r="AA1196">
        <v>2.0596698968962701</v>
      </c>
      <c r="AB1196">
        <v>3262.71</v>
      </c>
      <c r="AC1196">
        <v>0.33</v>
      </c>
      <c r="AD1196">
        <v>0.66</v>
      </c>
      <c r="AE1196">
        <v>1.9221838973381</v>
      </c>
      <c r="AF1196">
        <v>0.73508228318697999</v>
      </c>
      <c r="AG1196">
        <v>0.62726187352476204</v>
      </c>
      <c r="AH1196">
        <v>-0.13093150938752801</v>
      </c>
      <c r="AI1196">
        <v>0.51930760773990303</v>
      </c>
      <c r="AJ1196">
        <v>-0.86029973841374396</v>
      </c>
      <c r="AK1196">
        <v>43.537466000000002</v>
      </c>
      <c r="AL1196">
        <v>6.4627330000000001</v>
      </c>
      <c r="AM1196">
        <v>48.134999999999998</v>
      </c>
      <c r="AN1196">
        <v>-1.2131818181818184</v>
      </c>
    </row>
    <row r="1197" spans="1:40" x14ac:dyDescent="0.35">
      <c r="A1197">
        <v>1479</v>
      </c>
      <c r="B1197">
        <v>57</v>
      </c>
      <c r="C1197" t="s">
        <v>40</v>
      </c>
      <c r="D1197" t="s">
        <v>41</v>
      </c>
      <c r="E1197" t="s">
        <v>42</v>
      </c>
      <c r="F1197" t="s">
        <v>61</v>
      </c>
      <c r="G1197">
        <v>5</v>
      </c>
      <c r="H1197">
        <v>25</v>
      </c>
      <c r="I1197">
        <v>5</v>
      </c>
      <c r="J1197" t="s">
        <v>56</v>
      </c>
      <c r="K1197" t="s">
        <v>46</v>
      </c>
      <c r="L1197" t="s">
        <v>47</v>
      </c>
      <c r="M1197">
        <v>611.08567391793747</v>
      </c>
      <c r="N1197">
        <v>755</v>
      </c>
      <c r="O1197">
        <v>464</v>
      </c>
      <c r="P1197">
        <v>352</v>
      </c>
      <c r="Q1197">
        <v>5.9107966440405271</v>
      </c>
      <c r="R1197">
        <v>6.4997870406558542</v>
      </c>
      <c r="S1197">
        <v>8.6415324656718457</v>
      </c>
      <c r="T1197">
        <v>89.265350482850479</v>
      </c>
      <c r="U1197">
        <v>1.4417786561042019</v>
      </c>
      <c r="V1197">
        <v>-0.22886708829074301</v>
      </c>
      <c r="W1197">
        <v>0.28745285629339301</v>
      </c>
      <c r="X1197">
        <v>-0.15627425222847</v>
      </c>
      <c r="Y1197">
        <v>1.45226138127617</v>
      </c>
      <c r="Z1197">
        <v>0.98247225355557</v>
      </c>
      <c r="AA1197">
        <v>0.627775520474398</v>
      </c>
      <c r="AB1197">
        <v>3362.2959371744532</v>
      </c>
      <c r="AC1197">
        <v>2.8998317172850387</v>
      </c>
      <c r="AD1197">
        <v>2.9499158586425196</v>
      </c>
      <c r="AE1197">
        <v>1.06273170356322</v>
      </c>
      <c r="AF1197">
        <v>-0.24727649921516101</v>
      </c>
      <c r="AG1197">
        <v>0.36761279238880701</v>
      </c>
      <c r="AH1197">
        <v>6.3146642308278796E-3</v>
      </c>
      <c r="AI1197">
        <v>-0.31729763034790298</v>
      </c>
      <c r="AJ1197">
        <v>0.10570820833130801</v>
      </c>
      <c r="AK1197">
        <v>43.3535629403058</v>
      </c>
      <c r="AL1197">
        <v>3.21615314793977</v>
      </c>
      <c r="AM1197">
        <v>48.813000000000002</v>
      </c>
      <c r="AN1197">
        <v>2.3879999999999999</v>
      </c>
    </row>
    <row r="1198" spans="1:40" x14ac:dyDescent="0.35">
      <c r="A1198">
        <v>1481</v>
      </c>
      <c r="B1198">
        <v>57</v>
      </c>
      <c r="C1198" t="s">
        <v>40</v>
      </c>
      <c r="D1198" t="s">
        <v>41</v>
      </c>
      <c r="E1198" t="s">
        <v>42</v>
      </c>
      <c r="F1198" t="s">
        <v>49</v>
      </c>
      <c r="G1198">
        <v>4</v>
      </c>
      <c r="H1198">
        <v>16</v>
      </c>
      <c r="I1198">
        <v>6</v>
      </c>
      <c r="J1198" t="s">
        <v>56</v>
      </c>
      <c r="K1198" t="s">
        <v>46</v>
      </c>
      <c r="L1198" t="s">
        <v>76</v>
      </c>
      <c r="M1198">
        <v>173.64663678342501</v>
      </c>
      <c r="N1198">
        <v>199</v>
      </c>
      <c r="O1198">
        <v>141</v>
      </c>
      <c r="P1198">
        <v>113</v>
      </c>
      <c r="Q1198">
        <v>0</v>
      </c>
      <c r="R1198">
        <v>1.0986122886681098</v>
      </c>
      <c r="S1198">
        <v>4.1588830833596715</v>
      </c>
      <c r="T1198">
        <v>91.226666666666674</v>
      </c>
      <c r="U1198">
        <v>1.418823059726001</v>
      </c>
      <c r="V1198">
        <v>-0.39095273818515502</v>
      </c>
      <c r="W1198">
        <v>-0.53446083104759001</v>
      </c>
      <c r="X1198">
        <v>-0.40804429067029002</v>
      </c>
      <c r="Y1198">
        <v>-0.56789545922357498</v>
      </c>
      <c r="Z1198">
        <v>-0.94760790482486201</v>
      </c>
      <c r="AA1198">
        <v>-1.0848673571571601</v>
      </c>
      <c r="AB1198">
        <v>1770.5103102717287</v>
      </c>
      <c r="AC1198">
        <v>0.28213528618230871</v>
      </c>
      <c r="AD1198">
        <v>1.7130468298323378</v>
      </c>
      <c r="AE1198">
        <v>-1.13486126839574</v>
      </c>
      <c r="AF1198">
        <v>-1.10645911654944</v>
      </c>
      <c r="AG1198">
        <v>-1.6700042663460399</v>
      </c>
      <c r="AH1198">
        <v>0.32902147253769598</v>
      </c>
      <c r="AI1198">
        <v>0.24003542059188901</v>
      </c>
      <c r="AJ1198">
        <v>0.45021436752565003</v>
      </c>
      <c r="AK1198">
        <v>47.330690599999997</v>
      </c>
      <c r="AL1198">
        <v>2.8390453999999998</v>
      </c>
      <c r="AM1198">
        <v>48.856372813999997</v>
      </c>
      <c r="AN1198">
        <v>2.3525296170000001</v>
      </c>
    </row>
    <row r="1199" spans="1:40" x14ac:dyDescent="0.35">
      <c r="A1199">
        <v>1482</v>
      </c>
      <c r="B1199">
        <v>72</v>
      </c>
      <c r="C1199" t="s">
        <v>40</v>
      </c>
      <c r="D1199" t="s">
        <v>52</v>
      </c>
      <c r="E1199" t="s">
        <v>42</v>
      </c>
      <c r="F1199" t="s">
        <v>49</v>
      </c>
      <c r="G1199">
        <v>6</v>
      </c>
      <c r="H1199">
        <v>36</v>
      </c>
      <c r="I1199">
        <v>5</v>
      </c>
      <c r="J1199" t="s">
        <v>50</v>
      </c>
      <c r="K1199" t="s">
        <v>46</v>
      </c>
      <c r="L1199" t="s">
        <v>59</v>
      </c>
      <c r="M1199">
        <v>98.52705292137972</v>
      </c>
      <c r="N1199">
        <v>105</v>
      </c>
      <c r="O1199">
        <v>85</v>
      </c>
      <c r="P1199">
        <v>52</v>
      </c>
      <c r="Q1199">
        <v>1.3862943611198906</v>
      </c>
      <c r="R1199">
        <v>1.3862943611198906</v>
      </c>
      <c r="S1199">
        <v>4.9972122737641147</v>
      </c>
      <c r="T1199">
        <v>90.035146103896111</v>
      </c>
      <c r="U1199">
        <v>1.418823059726001</v>
      </c>
      <c r="V1199">
        <v>-0.52223564926899602</v>
      </c>
      <c r="W1199">
        <v>-0.46072710968150399</v>
      </c>
      <c r="X1199">
        <v>-0.361786268345754</v>
      </c>
      <c r="Y1199">
        <v>-0.552694479448822</v>
      </c>
      <c r="Z1199">
        <v>2.1676297177028899E-2</v>
      </c>
      <c r="AA1199">
        <v>0.625223797005378</v>
      </c>
      <c r="AB1199">
        <v>2234.6992515788952</v>
      </c>
      <c r="AC1199">
        <v>0</v>
      </c>
      <c r="AD1199">
        <v>0.12112735591028891</v>
      </c>
      <c r="AE1199">
        <v>-0.60610368582010199</v>
      </c>
      <c r="AF1199">
        <v>1.8264192078286201</v>
      </c>
      <c r="AG1199">
        <v>-0.43814203487313402</v>
      </c>
      <c r="AH1199">
        <v>0.94619545501439495</v>
      </c>
      <c r="AI1199">
        <v>1.3948768395113516</v>
      </c>
      <c r="AJ1199">
        <v>3.9595282208503682E-2</v>
      </c>
      <c r="AK1199">
        <v>47.411035099999999</v>
      </c>
      <c r="AL1199">
        <v>0.98369799999999996</v>
      </c>
      <c r="AM1199">
        <v>47.948666666666668</v>
      </c>
      <c r="AN1199">
        <v>2.028</v>
      </c>
    </row>
    <row r="1200" spans="1:40" x14ac:dyDescent="0.35">
      <c r="A1200">
        <v>1484</v>
      </c>
      <c r="B1200">
        <v>72</v>
      </c>
      <c r="C1200" t="s">
        <v>40</v>
      </c>
      <c r="D1200" t="s">
        <v>52</v>
      </c>
      <c r="E1200" t="s">
        <v>68</v>
      </c>
      <c r="F1200" t="s">
        <v>49</v>
      </c>
      <c r="G1200">
        <v>5</v>
      </c>
      <c r="H1200">
        <v>25</v>
      </c>
      <c r="I1200">
        <v>5</v>
      </c>
      <c r="J1200" t="s">
        <v>56</v>
      </c>
      <c r="K1200" t="s">
        <v>46</v>
      </c>
      <c r="L1200" t="s">
        <v>63</v>
      </c>
      <c r="M1200">
        <v>732.39509136202378</v>
      </c>
      <c r="N1200">
        <v>858</v>
      </c>
      <c r="O1200">
        <v>532</v>
      </c>
      <c r="P1200">
        <v>315</v>
      </c>
      <c r="Q1200">
        <v>0</v>
      </c>
      <c r="R1200">
        <v>0</v>
      </c>
      <c r="S1200">
        <v>2.1972245773362196</v>
      </c>
      <c r="T1200">
        <v>88.571764705882345</v>
      </c>
      <c r="U1200">
        <v>1.0581645007873905</v>
      </c>
      <c r="V1200">
        <v>-0.86345913794285001</v>
      </c>
      <c r="W1200">
        <v>-0.82100750411685597</v>
      </c>
      <c r="X1200">
        <v>-0.74332398245148801</v>
      </c>
      <c r="Y1200">
        <v>1.4483117406157899</v>
      </c>
      <c r="Z1200">
        <v>1.7680602694732599</v>
      </c>
      <c r="AA1200">
        <v>0.26366440732357699</v>
      </c>
      <c r="AB1200">
        <v>4236</v>
      </c>
      <c r="AC1200">
        <v>0</v>
      </c>
      <c r="AD1200">
        <v>4</v>
      </c>
      <c r="AE1200">
        <v>1.6751267091712101</v>
      </c>
      <c r="AF1200">
        <v>0.79211422067090198</v>
      </c>
      <c r="AG1200">
        <v>-4.6343091776464403E-2</v>
      </c>
      <c r="AH1200">
        <v>-0.83886753379557299</v>
      </c>
      <c r="AI1200">
        <v>0.32048625345833998</v>
      </c>
      <c r="AJ1200">
        <v>-0.976531146971511</v>
      </c>
      <c r="AK1200">
        <v>45.086143999999997</v>
      </c>
      <c r="AL1200">
        <v>-0.60531999999999997</v>
      </c>
      <c r="AM1200">
        <v>50.640682937000001</v>
      </c>
      <c r="AN1200">
        <v>4.6610704270000003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4826-8500-4766-B89C-99E6EA1DE58A}">
  <sheetPr codeName="Feuil2"/>
  <dimension ref="A1:I266"/>
  <sheetViews>
    <sheetView workbookViewId="0">
      <selection activeCell="E1" activeCellId="2" sqref="A1:C1048576 F1:F1048576 E1:E1048576"/>
    </sheetView>
  </sheetViews>
  <sheetFormatPr baseColWidth="10" defaultRowHeight="14.5" x14ac:dyDescent="0.35"/>
  <sheetData>
    <row r="1" spans="1:8" x14ac:dyDescent="0.35">
      <c r="A1" s="7" t="s">
        <v>423</v>
      </c>
    </row>
    <row r="3" spans="1:8" x14ac:dyDescent="0.35">
      <c r="A3" s="1" t="s">
        <v>329</v>
      </c>
      <c r="B3" s="1" t="s">
        <v>328</v>
      </c>
      <c r="C3" s="1" t="s">
        <v>85</v>
      </c>
      <c r="D3" s="1" t="s">
        <v>325</v>
      </c>
      <c r="E3" s="1" t="s">
        <v>326</v>
      </c>
      <c r="F3" s="10" t="s">
        <v>327</v>
      </c>
      <c r="G3" s="10" t="s">
        <v>323</v>
      </c>
      <c r="H3" s="10" t="s">
        <v>324</v>
      </c>
    </row>
    <row r="4" spans="1:8" x14ac:dyDescent="0.35">
      <c r="A4" t="s">
        <v>70</v>
      </c>
      <c r="B4" t="s">
        <v>86</v>
      </c>
      <c r="C4">
        <v>1090</v>
      </c>
      <c r="D4">
        <v>0</v>
      </c>
      <c r="E4">
        <v>25</v>
      </c>
      <c r="F4" s="2">
        <v>92.52</v>
      </c>
      <c r="G4" s="2"/>
      <c r="H4" s="2"/>
    </row>
    <row r="5" spans="1:8" x14ac:dyDescent="0.35">
      <c r="B5" t="s">
        <v>88</v>
      </c>
      <c r="C5">
        <v>350</v>
      </c>
      <c r="D5">
        <v>0</v>
      </c>
      <c r="E5">
        <v>19</v>
      </c>
      <c r="F5" s="2">
        <v>89.8</v>
      </c>
      <c r="G5" s="2"/>
      <c r="H5" s="2"/>
    </row>
    <row r="6" spans="1:8" x14ac:dyDescent="0.35">
      <c r="B6" t="s">
        <v>89</v>
      </c>
      <c r="C6">
        <v>799</v>
      </c>
      <c r="D6">
        <v>0</v>
      </c>
      <c r="E6">
        <v>25</v>
      </c>
      <c r="F6" s="2">
        <v>91.72</v>
      </c>
      <c r="G6" s="2"/>
      <c r="H6" s="2"/>
    </row>
    <row r="7" spans="1:8" x14ac:dyDescent="0.35">
      <c r="B7" t="s">
        <v>90</v>
      </c>
      <c r="C7">
        <v>640</v>
      </c>
      <c r="D7">
        <v>0</v>
      </c>
      <c r="E7">
        <v>25</v>
      </c>
      <c r="F7" s="2">
        <v>92.04</v>
      </c>
      <c r="G7" s="2"/>
      <c r="H7" s="2"/>
    </row>
    <row r="8" spans="1:8" x14ac:dyDescent="0.35">
      <c r="B8" t="s">
        <v>91</v>
      </c>
      <c r="C8">
        <v>1200</v>
      </c>
      <c r="D8">
        <v>0</v>
      </c>
      <c r="E8">
        <v>21</v>
      </c>
      <c r="F8" s="2">
        <v>90.16</v>
      </c>
      <c r="G8" s="2"/>
      <c r="H8" s="2"/>
    </row>
    <row r="9" spans="1:8" x14ac:dyDescent="0.35">
      <c r="B9" t="s">
        <v>92</v>
      </c>
      <c r="C9">
        <v>330</v>
      </c>
      <c r="D9">
        <v>0</v>
      </c>
      <c r="E9">
        <v>24</v>
      </c>
      <c r="F9" s="2">
        <v>91.04</v>
      </c>
      <c r="G9" s="2"/>
      <c r="H9" s="2"/>
    </row>
    <row r="10" spans="1:8" x14ac:dyDescent="0.35">
      <c r="B10" t="s">
        <v>93</v>
      </c>
      <c r="C10">
        <v>580</v>
      </c>
      <c r="D10">
        <v>0</v>
      </c>
      <c r="E10">
        <v>14</v>
      </c>
      <c r="F10" s="2">
        <v>89.56</v>
      </c>
      <c r="G10" s="2"/>
      <c r="H10" s="2"/>
    </row>
    <row r="11" spans="1:8" x14ac:dyDescent="0.35">
      <c r="B11" t="s">
        <v>94</v>
      </c>
      <c r="C11">
        <v>230</v>
      </c>
      <c r="D11">
        <v>0</v>
      </c>
      <c r="E11">
        <v>17</v>
      </c>
      <c r="F11" s="2">
        <v>89.92</v>
      </c>
      <c r="G11" s="2"/>
      <c r="H11" s="2"/>
    </row>
    <row r="12" spans="1:8" x14ac:dyDescent="0.35">
      <c r="B12" t="s">
        <v>95</v>
      </c>
      <c r="C12">
        <v>320</v>
      </c>
      <c r="D12">
        <v>0</v>
      </c>
      <c r="E12">
        <v>17</v>
      </c>
      <c r="F12" s="2">
        <v>89.68</v>
      </c>
      <c r="G12" s="2"/>
      <c r="H12" s="2"/>
    </row>
    <row r="13" spans="1:8" x14ac:dyDescent="0.35">
      <c r="B13" t="s">
        <v>96</v>
      </c>
      <c r="C13">
        <v>413</v>
      </c>
      <c r="D13">
        <v>0</v>
      </c>
      <c r="E13">
        <v>17</v>
      </c>
      <c r="F13" s="2">
        <v>89.72</v>
      </c>
      <c r="G13" s="2"/>
      <c r="H13" s="2"/>
    </row>
    <row r="14" spans="1:8" x14ac:dyDescent="0.35">
      <c r="A14" s="3" t="s">
        <v>70</v>
      </c>
      <c r="B14" s="3"/>
      <c r="C14" s="3"/>
      <c r="D14" s="3">
        <v>0</v>
      </c>
      <c r="E14" s="3">
        <v>204</v>
      </c>
      <c r="F14" s="4">
        <v>92.52</v>
      </c>
      <c r="G14" s="4">
        <v>90.615999999999985</v>
      </c>
      <c r="H14" s="4">
        <v>1.11573792223403</v>
      </c>
    </row>
    <row r="15" spans="1:8" x14ac:dyDescent="0.35">
      <c r="A15" t="s">
        <v>78</v>
      </c>
      <c r="B15" t="s">
        <v>97</v>
      </c>
      <c r="C15">
        <v>418</v>
      </c>
      <c r="D15">
        <v>0</v>
      </c>
      <c r="E15">
        <v>12</v>
      </c>
      <c r="F15" s="2">
        <v>89.4</v>
      </c>
      <c r="G15" s="2"/>
      <c r="H15" s="2"/>
    </row>
    <row r="16" spans="1:8" x14ac:dyDescent="0.35">
      <c r="B16" t="s">
        <v>98</v>
      </c>
      <c r="C16">
        <v>243</v>
      </c>
      <c r="D16">
        <v>0</v>
      </c>
      <c r="E16">
        <v>11</v>
      </c>
      <c r="F16" s="2">
        <v>90.277777777777771</v>
      </c>
      <c r="G16" s="2"/>
      <c r="H16" s="2"/>
    </row>
    <row r="17" spans="1:8" x14ac:dyDescent="0.35">
      <c r="B17" t="s">
        <v>99</v>
      </c>
      <c r="C17">
        <v>276</v>
      </c>
      <c r="D17">
        <v>0</v>
      </c>
      <c r="E17">
        <v>4</v>
      </c>
      <c r="F17" s="2">
        <v>88.777777777777771</v>
      </c>
      <c r="G17" s="2"/>
      <c r="H17" s="2"/>
    </row>
    <row r="18" spans="1:8" x14ac:dyDescent="0.35">
      <c r="B18" t="s">
        <v>100</v>
      </c>
      <c r="C18">
        <v>33</v>
      </c>
      <c r="D18">
        <v>0</v>
      </c>
      <c r="E18">
        <v>1</v>
      </c>
      <c r="F18" s="2">
        <v>87.4</v>
      </c>
      <c r="G18" s="2"/>
      <c r="H18" s="2"/>
    </row>
    <row r="19" spans="1:8" x14ac:dyDescent="0.35">
      <c r="B19" t="s">
        <v>101</v>
      </c>
      <c r="C19">
        <v>130</v>
      </c>
      <c r="D19">
        <v>0</v>
      </c>
      <c r="E19">
        <v>7</v>
      </c>
      <c r="F19" s="2">
        <v>88.916666666666671</v>
      </c>
      <c r="G19" s="2"/>
      <c r="H19" s="2"/>
    </row>
    <row r="20" spans="1:8" x14ac:dyDescent="0.35">
      <c r="B20" t="s">
        <v>102</v>
      </c>
      <c r="C20">
        <v>89</v>
      </c>
      <c r="D20">
        <v>0</v>
      </c>
      <c r="E20">
        <v>0</v>
      </c>
      <c r="F20" s="2">
        <v>87.454545454545453</v>
      </c>
      <c r="G20" s="2"/>
      <c r="H20" s="2"/>
    </row>
    <row r="21" spans="1:8" x14ac:dyDescent="0.35">
      <c r="B21" t="s">
        <v>103</v>
      </c>
      <c r="C21">
        <v>89</v>
      </c>
      <c r="D21">
        <v>0</v>
      </c>
      <c r="E21">
        <v>3</v>
      </c>
      <c r="F21" s="2">
        <v>89.461538461538467</v>
      </c>
      <c r="G21" s="2"/>
      <c r="H21" s="2"/>
    </row>
    <row r="22" spans="1:8" x14ac:dyDescent="0.35">
      <c r="B22" t="s">
        <v>104</v>
      </c>
      <c r="C22">
        <v>160</v>
      </c>
      <c r="D22">
        <v>0</v>
      </c>
      <c r="E22">
        <v>5</v>
      </c>
      <c r="F22" s="2">
        <v>87.454545454545453</v>
      </c>
      <c r="G22" s="2"/>
      <c r="H22" s="2"/>
    </row>
    <row r="23" spans="1:8" x14ac:dyDescent="0.35">
      <c r="A23" s="3" t="s">
        <v>78</v>
      </c>
      <c r="B23" s="3"/>
      <c r="C23" s="3"/>
      <c r="D23" s="3">
        <v>0</v>
      </c>
      <c r="E23" s="3">
        <v>43</v>
      </c>
      <c r="F23" s="4">
        <v>90.277777777777771</v>
      </c>
      <c r="G23" s="4">
        <v>88.642856449106446</v>
      </c>
      <c r="H23" s="4">
        <v>1.0940428522509147</v>
      </c>
    </row>
    <row r="24" spans="1:8" x14ac:dyDescent="0.35">
      <c r="A24" t="s">
        <v>105</v>
      </c>
      <c r="B24" t="s">
        <v>106</v>
      </c>
      <c r="C24">
        <v>1500</v>
      </c>
      <c r="D24">
        <v>0</v>
      </c>
      <c r="E24">
        <v>25</v>
      </c>
      <c r="F24" s="2">
        <v>93.48</v>
      </c>
      <c r="G24" s="2"/>
      <c r="H24" s="2"/>
    </row>
    <row r="25" spans="1:8" x14ac:dyDescent="0.35">
      <c r="B25" t="s">
        <v>107</v>
      </c>
      <c r="C25">
        <v>1400</v>
      </c>
      <c r="D25">
        <v>0</v>
      </c>
      <c r="E25">
        <v>24</v>
      </c>
      <c r="F25" s="2">
        <v>91.68</v>
      </c>
      <c r="G25" s="2"/>
      <c r="H25" s="2"/>
    </row>
    <row r="26" spans="1:8" x14ac:dyDescent="0.35">
      <c r="B26" t="s">
        <v>108</v>
      </c>
      <c r="C26">
        <v>2500</v>
      </c>
      <c r="D26">
        <v>0</v>
      </c>
      <c r="E26">
        <v>25</v>
      </c>
      <c r="F26" s="2">
        <v>91.4</v>
      </c>
      <c r="G26" s="2"/>
      <c r="H26" s="2"/>
    </row>
    <row r="27" spans="1:8" x14ac:dyDescent="0.35">
      <c r="B27" t="s">
        <v>109</v>
      </c>
      <c r="C27">
        <v>1580</v>
      </c>
      <c r="D27">
        <v>0</v>
      </c>
      <c r="E27">
        <v>21</v>
      </c>
      <c r="F27" s="2">
        <v>91.28</v>
      </c>
      <c r="G27" s="2"/>
      <c r="H27" s="2"/>
    </row>
    <row r="28" spans="1:8" x14ac:dyDescent="0.35">
      <c r="B28" t="s">
        <v>110</v>
      </c>
      <c r="C28">
        <v>40</v>
      </c>
      <c r="D28">
        <v>0</v>
      </c>
      <c r="E28">
        <v>15</v>
      </c>
      <c r="F28" s="2">
        <v>91.941176470588232</v>
      </c>
      <c r="G28" s="2"/>
      <c r="H28" s="2"/>
    </row>
    <row r="29" spans="1:8" x14ac:dyDescent="0.35">
      <c r="B29" t="s">
        <v>111</v>
      </c>
      <c r="C29">
        <v>135</v>
      </c>
      <c r="D29">
        <v>0</v>
      </c>
      <c r="E29">
        <v>9</v>
      </c>
      <c r="F29" s="2">
        <v>90.166666666666671</v>
      </c>
      <c r="G29" s="2"/>
      <c r="H29" s="2"/>
    </row>
    <row r="30" spans="1:8" x14ac:dyDescent="0.35">
      <c r="B30" t="s">
        <v>112</v>
      </c>
      <c r="C30">
        <v>75</v>
      </c>
      <c r="D30">
        <v>0</v>
      </c>
      <c r="E30">
        <v>1</v>
      </c>
      <c r="F30" s="2">
        <v>87.625</v>
      </c>
      <c r="G30" s="2"/>
      <c r="H30" s="2"/>
    </row>
    <row r="31" spans="1:8" x14ac:dyDescent="0.35">
      <c r="B31" t="s">
        <v>113</v>
      </c>
      <c r="C31">
        <v>120</v>
      </c>
      <c r="D31">
        <v>0</v>
      </c>
      <c r="E31">
        <v>7</v>
      </c>
      <c r="F31" s="2">
        <v>90.7</v>
      </c>
      <c r="G31" s="2"/>
      <c r="H31" s="2"/>
    </row>
    <row r="32" spans="1:8" x14ac:dyDescent="0.35">
      <c r="B32" t="s">
        <v>114</v>
      </c>
      <c r="C32">
        <v>200</v>
      </c>
      <c r="D32">
        <v>0</v>
      </c>
      <c r="E32">
        <v>4</v>
      </c>
      <c r="F32" s="2">
        <v>89.07692307692308</v>
      </c>
      <c r="G32" s="2"/>
      <c r="H32" s="2"/>
    </row>
    <row r="33" spans="1:8" x14ac:dyDescent="0.35">
      <c r="B33" t="s">
        <v>115</v>
      </c>
      <c r="C33">
        <v>7</v>
      </c>
      <c r="D33">
        <v>0</v>
      </c>
      <c r="E33">
        <v>1</v>
      </c>
      <c r="F33" s="2">
        <v>93</v>
      </c>
      <c r="G33" s="2"/>
      <c r="H33" s="2"/>
    </row>
    <row r="34" spans="1:8" x14ac:dyDescent="0.35">
      <c r="B34" t="s">
        <v>116</v>
      </c>
      <c r="C34">
        <v>11</v>
      </c>
      <c r="D34">
        <v>0</v>
      </c>
      <c r="E34">
        <v>2</v>
      </c>
      <c r="F34" s="2">
        <v>95</v>
      </c>
      <c r="G34" s="2"/>
      <c r="H34" s="2"/>
    </row>
    <row r="35" spans="1:8" x14ac:dyDescent="0.35">
      <c r="B35" t="s">
        <v>117</v>
      </c>
      <c r="C35">
        <v>2200</v>
      </c>
      <c r="D35">
        <v>0</v>
      </c>
      <c r="E35">
        <v>3</v>
      </c>
      <c r="F35" s="2">
        <v>86.173913043478265</v>
      </c>
      <c r="G35" s="2"/>
      <c r="H35" s="2"/>
    </row>
    <row r="36" spans="1:8" x14ac:dyDescent="0.35">
      <c r="B36" t="s">
        <v>118</v>
      </c>
      <c r="C36">
        <v>165</v>
      </c>
      <c r="D36">
        <v>0</v>
      </c>
      <c r="E36">
        <v>25</v>
      </c>
      <c r="F36" s="2">
        <v>92.36</v>
      </c>
      <c r="G36" s="2"/>
      <c r="H36" s="2"/>
    </row>
    <row r="37" spans="1:8" x14ac:dyDescent="0.35">
      <c r="B37" t="s">
        <v>119</v>
      </c>
      <c r="C37">
        <v>20</v>
      </c>
      <c r="D37">
        <v>0</v>
      </c>
      <c r="E37">
        <v>8</v>
      </c>
      <c r="F37" s="2">
        <v>91.625</v>
      </c>
      <c r="G37" s="2"/>
      <c r="H37" s="2"/>
    </row>
    <row r="38" spans="1:8" x14ac:dyDescent="0.35">
      <c r="B38" t="s">
        <v>120</v>
      </c>
      <c r="C38">
        <v>75</v>
      </c>
      <c r="D38">
        <v>0</v>
      </c>
      <c r="E38">
        <v>0</v>
      </c>
      <c r="F38" s="2">
        <v>85.25</v>
      </c>
      <c r="G38" s="2"/>
      <c r="H38" s="2"/>
    </row>
    <row r="39" spans="1:8" x14ac:dyDescent="0.35">
      <c r="B39" t="s">
        <v>121</v>
      </c>
      <c r="C39">
        <v>6000</v>
      </c>
      <c r="D39">
        <v>0</v>
      </c>
      <c r="E39">
        <v>0</v>
      </c>
      <c r="F39" s="2">
        <v>86.8</v>
      </c>
      <c r="G39" s="2"/>
      <c r="H39" s="2"/>
    </row>
    <row r="40" spans="1:8" x14ac:dyDescent="0.35">
      <c r="A40" s="3" t="s">
        <v>331</v>
      </c>
      <c r="B40" s="3"/>
      <c r="C40" s="3"/>
      <c r="D40" s="3">
        <v>0</v>
      </c>
      <c r="E40" s="3">
        <v>170</v>
      </c>
      <c r="F40" s="4">
        <v>95</v>
      </c>
      <c r="G40" s="4">
        <v>90.472417453603512</v>
      </c>
      <c r="H40" s="4">
        <v>2.7735735584863375</v>
      </c>
    </row>
    <row r="41" spans="1:8" x14ac:dyDescent="0.35">
      <c r="A41" t="s">
        <v>122</v>
      </c>
      <c r="B41" t="s">
        <v>123</v>
      </c>
      <c r="C41">
        <v>4500</v>
      </c>
      <c r="D41">
        <v>0</v>
      </c>
      <c r="E41">
        <v>23</v>
      </c>
      <c r="F41" s="2">
        <v>90.56</v>
      </c>
      <c r="G41" s="2"/>
      <c r="H41" s="2"/>
    </row>
    <row r="42" spans="1:8" x14ac:dyDescent="0.35">
      <c r="B42" t="s">
        <v>125</v>
      </c>
      <c r="C42">
        <v>150</v>
      </c>
      <c r="D42">
        <v>0</v>
      </c>
      <c r="E42">
        <v>0</v>
      </c>
      <c r="F42" s="2">
        <v>86.166666666666671</v>
      </c>
      <c r="G42" s="2"/>
      <c r="H42" s="2"/>
    </row>
    <row r="43" spans="1:8" x14ac:dyDescent="0.35">
      <c r="B43" t="s">
        <v>126</v>
      </c>
      <c r="C43">
        <v>1189</v>
      </c>
      <c r="D43">
        <v>0</v>
      </c>
      <c r="E43">
        <v>6</v>
      </c>
      <c r="F43" s="2">
        <v>88.555555555555557</v>
      </c>
      <c r="G43" s="2"/>
      <c r="H43" s="2"/>
    </row>
    <row r="44" spans="1:8" x14ac:dyDescent="0.35">
      <c r="B44" t="s">
        <v>127</v>
      </c>
      <c r="C44">
        <v>230</v>
      </c>
      <c r="D44">
        <v>0</v>
      </c>
      <c r="E44">
        <v>5</v>
      </c>
      <c r="F44" s="2">
        <v>88.6</v>
      </c>
      <c r="G44" s="2"/>
      <c r="H44" s="2"/>
    </row>
    <row r="45" spans="1:8" x14ac:dyDescent="0.35">
      <c r="B45" t="s">
        <v>128</v>
      </c>
      <c r="C45">
        <v>91</v>
      </c>
      <c r="D45">
        <v>0</v>
      </c>
      <c r="E45">
        <v>0</v>
      </c>
      <c r="F45" s="2">
        <v>86</v>
      </c>
      <c r="G45" s="2"/>
      <c r="H45" s="2"/>
    </row>
    <row r="46" spans="1:8" x14ac:dyDescent="0.35">
      <c r="B46" t="s">
        <v>129</v>
      </c>
      <c r="C46">
        <v>330</v>
      </c>
      <c r="D46">
        <v>0</v>
      </c>
      <c r="E46">
        <v>0</v>
      </c>
      <c r="F46" s="2">
        <v>86.444444444444443</v>
      </c>
      <c r="G46" s="2"/>
      <c r="H46" s="2"/>
    </row>
    <row r="47" spans="1:8" x14ac:dyDescent="0.35">
      <c r="A47" s="3" t="s">
        <v>75</v>
      </c>
      <c r="B47" s="3"/>
      <c r="C47" s="3"/>
      <c r="D47" s="3">
        <v>0</v>
      </c>
      <c r="E47" s="3">
        <v>34</v>
      </c>
      <c r="F47" s="4">
        <v>90.56</v>
      </c>
      <c r="G47" s="4">
        <v>87.721111111111114</v>
      </c>
      <c r="H47" s="4">
        <v>1.8185946276597997</v>
      </c>
    </row>
    <row r="48" spans="1:8" x14ac:dyDescent="0.35">
      <c r="A48" t="s">
        <v>130</v>
      </c>
      <c r="B48" t="s">
        <v>131</v>
      </c>
      <c r="C48">
        <v>2046</v>
      </c>
      <c r="D48">
        <v>0</v>
      </c>
      <c r="E48">
        <v>25</v>
      </c>
      <c r="F48" s="2">
        <v>91.64</v>
      </c>
      <c r="G48" s="2"/>
      <c r="H48" s="2"/>
    </row>
    <row r="49" spans="1:8" x14ac:dyDescent="0.35">
      <c r="B49" t="s">
        <v>132</v>
      </c>
      <c r="C49">
        <v>1134</v>
      </c>
      <c r="D49">
        <v>0</v>
      </c>
      <c r="E49">
        <v>20</v>
      </c>
      <c r="F49" s="2">
        <v>90.6</v>
      </c>
      <c r="G49" s="2"/>
      <c r="H49" s="2"/>
    </row>
    <row r="50" spans="1:8" x14ac:dyDescent="0.35">
      <c r="B50" t="s">
        <v>133</v>
      </c>
      <c r="C50">
        <v>380</v>
      </c>
      <c r="D50">
        <v>0</v>
      </c>
      <c r="E50">
        <v>25</v>
      </c>
      <c r="F50" s="2">
        <v>91.72</v>
      </c>
      <c r="G50" s="2"/>
      <c r="H50" s="2"/>
    </row>
    <row r="51" spans="1:8" x14ac:dyDescent="0.35">
      <c r="B51" t="s">
        <v>134</v>
      </c>
      <c r="C51">
        <v>1103</v>
      </c>
      <c r="D51">
        <v>3</v>
      </c>
      <c r="E51">
        <v>27</v>
      </c>
      <c r="F51" s="2">
        <v>92.88</v>
      </c>
      <c r="G51" s="2"/>
      <c r="H51" s="2"/>
    </row>
    <row r="52" spans="1:8" x14ac:dyDescent="0.35">
      <c r="B52" t="s">
        <v>135</v>
      </c>
      <c r="C52">
        <v>700</v>
      </c>
      <c r="D52">
        <v>0</v>
      </c>
      <c r="E52">
        <v>6</v>
      </c>
      <c r="F52" s="2">
        <v>88.64</v>
      </c>
      <c r="G52" s="2"/>
      <c r="H52" s="2"/>
    </row>
    <row r="53" spans="1:8" x14ac:dyDescent="0.35">
      <c r="B53" t="s">
        <v>136</v>
      </c>
      <c r="C53">
        <v>71</v>
      </c>
      <c r="D53">
        <v>0</v>
      </c>
      <c r="E53">
        <v>7</v>
      </c>
      <c r="F53" s="2">
        <v>89.818181818181813</v>
      </c>
      <c r="G53" s="2"/>
      <c r="H53" s="2"/>
    </row>
    <row r="54" spans="1:8" x14ac:dyDescent="0.35">
      <c r="B54" t="s">
        <v>137</v>
      </c>
      <c r="C54">
        <v>1064</v>
      </c>
      <c r="D54">
        <v>0</v>
      </c>
      <c r="E54">
        <v>11</v>
      </c>
      <c r="F54" s="2">
        <v>89.72</v>
      </c>
      <c r="G54" s="2"/>
      <c r="H54" s="2"/>
    </row>
    <row r="55" spans="1:8" x14ac:dyDescent="0.35">
      <c r="B55" t="s">
        <v>138</v>
      </c>
      <c r="C55">
        <v>230</v>
      </c>
      <c r="D55">
        <v>0</v>
      </c>
      <c r="E55">
        <v>3</v>
      </c>
      <c r="F55" s="2">
        <v>89</v>
      </c>
      <c r="G55" s="2"/>
      <c r="H55" s="2"/>
    </row>
    <row r="56" spans="1:8" x14ac:dyDescent="0.35">
      <c r="B56" t="s">
        <v>139</v>
      </c>
      <c r="C56">
        <v>1100</v>
      </c>
      <c r="D56">
        <v>0</v>
      </c>
      <c r="E56">
        <v>7</v>
      </c>
      <c r="F56" s="2">
        <v>89.875</v>
      </c>
      <c r="G56" s="2"/>
      <c r="H56" s="2"/>
    </row>
    <row r="57" spans="1:8" x14ac:dyDescent="0.35">
      <c r="B57" t="s">
        <v>140</v>
      </c>
      <c r="C57">
        <v>165</v>
      </c>
      <c r="D57">
        <v>0</v>
      </c>
      <c r="E57">
        <v>1</v>
      </c>
      <c r="F57" s="2">
        <v>88.428571428571431</v>
      </c>
      <c r="G57" s="2"/>
      <c r="H57" s="2"/>
    </row>
    <row r="58" spans="1:8" x14ac:dyDescent="0.35">
      <c r="B58" t="s">
        <v>142</v>
      </c>
      <c r="C58">
        <v>38.299999999999997</v>
      </c>
      <c r="D58">
        <v>0</v>
      </c>
      <c r="E58">
        <v>3</v>
      </c>
      <c r="F58" s="2">
        <v>89.6</v>
      </c>
      <c r="G58" s="2"/>
      <c r="H58" s="2"/>
    </row>
    <row r="59" spans="1:8" x14ac:dyDescent="0.35">
      <c r="B59" t="s">
        <v>143</v>
      </c>
      <c r="C59">
        <v>12.3</v>
      </c>
      <c r="D59">
        <v>0</v>
      </c>
      <c r="E59">
        <v>12</v>
      </c>
      <c r="F59" s="2">
        <v>88.5</v>
      </c>
      <c r="G59" s="2"/>
      <c r="H59" s="2"/>
    </row>
    <row r="60" spans="1:8" x14ac:dyDescent="0.35">
      <c r="A60" s="3" t="s">
        <v>59</v>
      </c>
      <c r="B60" s="3"/>
      <c r="C60" s="3"/>
      <c r="D60" s="3">
        <v>3</v>
      </c>
      <c r="E60" s="3">
        <v>147</v>
      </c>
      <c r="F60" s="4"/>
      <c r="G60" s="4">
        <v>90.035146103896111</v>
      </c>
      <c r="H60" s="4">
        <v>1.418823059726001</v>
      </c>
    </row>
    <row r="61" spans="1:8" x14ac:dyDescent="0.35">
      <c r="B61" t="s">
        <v>144</v>
      </c>
      <c r="C61">
        <v>1424</v>
      </c>
      <c r="D61">
        <v>0</v>
      </c>
      <c r="E61">
        <v>25</v>
      </c>
      <c r="F61" s="2">
        <v>91.56</v>
      </c>
      <c r="G61" s="2"/>
      <c r="H61" s="2"/>
    </row>
    <row r="62" spans="1:8" x14ac:dyDescent="0.35">
      <c r="B62" t="s">
        <v>146</v>
      </c>
      <c r="C62">
        <v>3053</v>
      </c>
      <c r="D62">
        <v>0</v>
      </c>
      <c r="E62">
        <v>25</v>
      </c>
      <c r="F62" s="2">
        <v>92.44</v>
      </c>
      <c r="G62" s="2"/>
      <c r="H62" s="2"/>
    </row>
    <row r="63" spans="1:8" x14ac:dyDescent="0.35">
      <c r="B63" t="s">
        <v>148</v>
      </c>
      <c r="C63">
        <v>647</v>
      </c>
      <c r="D63">
        <v>0</v>
      </c>
      <c r="E63">
        <v>13</v>
      </c>
      <c r="F63" s="2">
        <v>89.68</v>
      </c>
      <c r="G63" s="2"/>
      <c r="H63" s="2"/>
    </row>
    <row r="64" spans="1:8" x14ac:dyDescent="0.35">
      <c r="A64" s="3" t="s">
        <v>76</v>
      </c>
      <c r="B64" s="3"/>
      <c r="C64" s="3"/>
      <c r="D64" s="3">
        <v>0</v>
      </c>
      <c r="E64" s="3">
        <v>63</v>
      </c>
      <c r="F64" s="4">
        <v>92.44</v>
      </c>
      <c r="G64" s="4">
        <v>91.226666666666674</v>
      </c>
      <c r="H64" s="4">
        <v>1.4098699703636932</v>
      </c>
    </row>
    <row r="65" spans="1:8" s="12" customFormat="1" x14ac:dyDescent="0.35">
      <c r="B65" s="12" t="s">
        <v>149</v>
      </c>
      <c r="C65" s="12">
        <v>25</v>
      </c>
      <c r="D65" s="12">
        <v>0</v>
      </c>
      <c r="E65" s="12">
        <v>0</v>
      </c>
      <c r="F65" s="13">
        <v>88</v>
      </c>
      <c r="G65" s="13"/>
      <c r="H65" s="13"/>
    </row>
    <row r="66" spans="1:8" s="12" customFormat="1" x14ac:dyDescent="0.35">
      <c r="B66" s="12" t="s">
        <v>151</v>
      </c>
      <c r="C66" s="12">
        <v>40</v>
      </c>
      <c r="D66" s="12">
        <v>0</v>
      </c>
      <c r="E66" s="12">
        <v>0</v>
      </c>
      <c r="F66" s="13">
        <v>86.642857142857139</v>
      </c>
      <c r="G66" s="13"/>
      <c r="H66" s="13"/>
    </row>
    <row r="67" spans="1:8" s="12" customFormat="1" x14ac:dyDescent="0.35">
      <c r="A67" s="12" t="s">
        <v>152</v>
      </c>
      <c r="B67" s="12" t="s">
        <v>153</v>
      </c>
      <c r="C67" s="12">
        <v>354</v>
      </c>
      <c r="D67" s="12">
        <v>0</v>
      </c>
      <c r="E67" s="12">
        <v>2</v>
      </c>
      <c r="F67" s="13">
        <v>88.04</v>
      </c>
      <c r="G67" s="13"/>
      <c r="H67" s="13"/>
    </row>
    <row r="68" spans="1:8" s="12" customFormat="1" x14ac:dyDescent="0.35">
      <c r="B68" s="12" t="s">
        <v>154</v>
      </c>
      <c r="C68" s="12">
        <v>300</v>
      </c>
      <c r="D68" s="12">
        <v>0</v>
      </c>
      <c r="E68" s="12">
        <v>3</v>
      </c>
      <c r="F68" s="13">
        <v>87.84</v>
      </c>
      <c r="G68" s="13"/>
      <c r="H68" s="13"/>
    </row>
    <row r="69" spans="1:8" s="12" customFormat="1" x14ac:dyDescent="0.35">
      <c r="B69" s="12" t="s">
        <v>155</v>
      </c>
      <c r="C69" s="12">
        <v>215</v>
      </c>
      <c r="D69" s="12">
        <v>0</v>
      </c>
      <c r="E69" s="12">
        <v>10</v>
      </c>
      <c r="F69" s="13">
        <v>89.5625</v>
      </c>
      <c r="G69" s="13"/>
      <c r="H69" s="13"/>
    </row>
    <row r="70" spans="1:8" s="12" customFormat="1" x14ac:dyDescent="0.35">
      <c r="B70" s="12" t="s">
        <v>157</v>
      </c>
      <c r="C70" s="12">
        <v>233</v>
      </c>
      <c r="D70" s="12">
        <v>0</v>
      </c>
      <c r="E70" s="12">
        <v>6</v>
      </c>
      <c r="F70" s="13">
        <v>88.36</v>
      </c>
      <c r="G70" s="13"/>
      <c r="H70" s="13"/>
    </row>
    <row r="71" spans="1:8" s="12" customFormat="1" x14ac:dyDescent="0.35">
      <c r="B71" s="12" t="s">
        <v>158</v>
      </c>
      <c r="C71" s="12">
        <v>150</v>
      </c>
      <c r="D71" s="12">
        <v>0</v>
      </c>
      <c r="E71" s="12">
        <v>2</v>
      </c>
      <c r="F71" s="13">
        <v>88.285714285714292</v>
      </c>
      <c r="G71" s="13"/>
      <c r="H71" s="13"/>
    </row>
    <row r="72" spans="1:8" s="12" customFormat="1" x14ac:dyDescent="0.35">
      <c r="A72" s="14"/>
      <c r="B72" s="14" t="s">
        <v>159</v>
      </c>
      <c r="C72" s="14">
        <v>83</v>
      </c>
      <c r="D72" s="14">
        <v>0</v>
      </c>
      <c r="E72" s="14">
        <v>4</v>
      </c>
      <c r="F72" s="15">
        <v>90.166666666666671</v>
      </c>
      <c r="G72" s="15"/>
      <c r="H72" s="15"/>
    </row>
    <row r="73" spans="1:8" x14ac:dyDescent="0.35">
      <c r="A73" t="s">
        <v>80</v>
      </c>
      <c r="B73" t="s">
        <v>160</v>
      </c>
      <c r="C73">
        <v>75</v>
      </c>
      <c r="D73">
        <v>0</v>
      </c>
      <c r="E73">
        <v>0</v>
      </c>
      <c r="F73" s="2">
        <v>86.333333333333329</v>
      </c>
      <c r="G73" s="2"/>
      <c r="H73" s="2"/>
    </row>
    <row r="74" spans="1:8" x14ac:dyDescent="0.35">
      <c r="B74" t="s">
        <v>161</v>
      </c>
      <c r="C74">
        <v>650</v>
      </c>
      <c r="D74">
        <v>0</v>
      </c>
      <c r="E74">
        <v>4</v>
      </c>
      <c r="F74" s="2">
        <v>89.4</v>
      </c>
      <c r="G74" s="2"/>
      <c r="H74" s="2"/>
    </row>
    <row r="75" spans="1:8" x14ac:dyDescent="0.35">
      <c r="B75" t="s">
        <v>163</v>
      </c>
      <c r="C75">
        <v>267</v>
      </c>
      <c r="D75">
        <v>0</v>
      </c>
      <c r="E75">
        <v>6</v>
      </c>
      <c r="F75" s="2">
        <v>92</v>
      </c>
      <c r="G75" s="2"/>
      <c r="H75" s="2"/>
    </row>
    <row r="76" spans="1:8" x14ac:dyDescent="0.35">
      <c r="A76" s="3" t="s">
        <v>80</v>
      </c>
      <c r="B76" s="3"/>
      <c r="C76" s="3"/>
      <c r="D76" s="3">
        <v>0</v>
      </c>
      <c r="E76" s="3">
        <v>10</v>
      </c>
      <c r="F76" s="4">
        <v>92</v>
      </c>
      <c r="G76" s="4">
        <v>89.244444444444454</v>
      </c>
      <c r="H76" s="4">
        <v>2.8365341397427142</v>
      </c>
    </row>
    <row r="77" spans="1:8" x14ac:dyDescent="0.35">
      <c r="A77" t="s">
        <v>74</v>
      </c>
      <c r="B77" t="s">
        <v>165</v>
      </c>
      <c r="C77">
        <v>843</v>
      </c>
      <c r="D77">
        <v>0</v>
      </c>
      <c r="E77">
        <v>25</v>
      </c>
      <c r="F77" s="2">
        <v>93.08</v>
      </c>
      <c r="G77" s="2"/>
      <c r="H77" s="2"/>
    </row>
    <row r="78" spans="1:8" x14ac:dyDescent="0.35">
      <c r="B78" t="s">
        <v>166</v>
      </c>
      <c r="C78">
        <v>35</v>
      </c>
      <c r="D78">
        <v>1</v>
      </c>
      <c r="E78">
        <v>24</v>
      </c>
      <c r="F78" s="2">
        <v>92.32</v>
      </c>
      <c r="G78" s="2"/>
      <c r="H78" s="2"/>
    </row>
    <row r="79" spans="1:8" x14ac:dyDescent="0.35">
      <c r="B79" t="s">
        <v>167</v>
      </c>
      <c r="C79">
        <v>50</v>
      </c>
      <c r="D79">
        <v>2</v>
      </c>
      <c r="E79">
        <v>22</v>
      </c>
      <c r="F79" s="2">
        <v>91.80952380952381</v>
      </c>
      <c r="G79" s="2"/>
      <c r="H79" s="2"/>
    </row>
    <row r="80" spans="1:8" x14ac:dyDescent="0.35">
      <c r="B80" t="s">
        <v>168</v>
      </c>
      <c r="C80">
        <v>1814</v>
      </c>
      <c r="D80">
        <v>1</v>
      </c>
      <c r="E80">
        <v>25</v>
      </c>
      <c r="F80" s="2">
        <v>93.083333333333329</v>
      </c>
      <c r="G80" s="2"/>
      <c r="H80" s="2"/>
    </row>
    <row r="81" spans="1:8" x14ac:dyDescent="0.35">
      <c r="B81" t="s">
        <v>169</v>
      </c>
      <c r="C81">
        <v>67</v>
      </c>
      <c r="D81">
        <v>0</v>
      </c>
      <c r="E81">
        <v>18</v>
      </c>
      <c r="F81" s="2">
        <v>90.95</v>
      </c>
      <c r="G81" s="2"/>
      <c r="H81" s="2"/>
    </row>
    <row r="82" spans="1:8" x14ac:dyDescent="0.35">
      <c r="B82" t="s">
        <v>170</v>
      </c>
      <c r="C82">
        <v>63</v>
      </c>
      <c r="D82">
        <v>0</v>
      </c>
      <c r="E82">
        <v>9</v>
      </c>
      <c r="F82" s="2">
        <v>90.666666666666671</v>
      </c>
      <c r="G82" s="2"/>
      <c r="H82" s="2"/>
    </row>
    <row r="83" spans="1:8" x14ac:dyDescent="0.35">
      <c r="A83" s="3" t="s">
        <v>74</v>
      </c>
      <c r="B83" s="3"/>
      <c r="C83" s="3"/>
      <c r="D83" s="3">
        <v>4</v>
      </c>
      <c r="E83" s="3">
        <v>123</v>
      </c>
      <c r="F83" s="4">
        <v>93.083333333333329</v>
      </c>
      <c r="G83" s="4">
        <v>91.984920634920627</v>
      </c>
      <c r="H83" s="4">
        <v>1.0351430572167302</v>
      </c>
    </row>
    <row r="84" spans="1:8" x14ac:dyDescent="0.35">
      <c r="A84" s="3" t="s">
        <v>171</v>
      </c>
      <c r="B84" s="3" t="s">
        <v>172</v>
      </c>
      <c r="C84" s="3">
        <v>1804</v>
      </c>
      <c r="D84" s="3">
        <v>0</v>
      </c>
      <c r="E84" s="3">
        <v>1</v>
      </c>
      <c r="F84" s="4">
        <v>87.72</v>
      </c>
      <c r="G84" s="4">
        <v>87.72</v>
      </c>
      <c r="H84" s="4">
        <v>0</v>
      </c>
    </row>
    <row r="85" spans="1:8" x14ac:dyDescent="0.35">
      <c r="B85" t="s">
        <v>63</v>
      </c>
      <c r="C85">
        <v>6000</v>
      </c>
      <c r="D85">
        <v>0</v>
      </c>
      <c r="E85">
        <v>2</v>
      </c>
      <c r="F85" s="2">
        <v>87.82352941176471</v>
      </c>
      <c r="G85" s="2"/>
      <c r="H85" s="2"/>
    </row>
    <row r="86" spans="1:8" x14ac:dyDescent="0.35">
      <c r="B86" t="s">
        <v>174</v>
      </c>
      <c r="C86">
        <v>2960</v>
      </c>
      <c r="D86">
        <v>0</v>
      </c>
      <c r="E86">
        <v>6</v>
      </c>
      <c r="F86" s="2">
        <v>89.32</v>
      </c>
      <c r="G86" s="2"/>
      <c r="H86" s="2"/>
    </row>
    <row r="87" spans="1:8" x14ac:dyDescent="0.35">
      <c r="A87" s="3" t="s">
        <v>330</v>
      </c>
      <c r="B87" s="3"/>
      <c r="C87" s="3"/>
      <c r="D87" s="3">
        <v>0</v>
      </c>
      <c r="E87" s="3">
        <v>8</v>
      </c>
      <c r="F87" s="4">
        <v>89.32</v>
      </c>
      <c r="G87" s="4">
        <v>88.571764705882345</v>
      </c>
      <c r="H87" s="4">
        <v>1.0581645007873905</v>
      </c>
    </row>
    <row r="88" spans="1:8" x14ac:dyDescent="0.35">
      <c r="B88" t="s">
        <v>73</v>
      </c>
      <c r="C88">
        <v>3087</v>
      </c>
      <c r="D88">
        <v>0</v>
      </c>
      <c r="E88">
        <v>9</v>
      </c>
      <c r="F88" s="2">
        <v>89.32</v>
      </c>
      <c r="G88" s="2"/>
      <c r="H88" s="2"/>
    </row>
    <row r="89" spans="1:8" x14ac:dyDescent="0.35">
      <c r="B89" t="s">
        <v>175</v>
      </c>
      <c r="C89">
        <v>1640</v>
      </c>
      <c r="D89">
        <v>0</v>
      </c>
      <c r="E89">
        <v>25</v>
      </c>
      <c r="F89" s="2">
        <v>93.24</v>
      </c>
      <c r="G89" s="2"/>
      <c r="H89" s="2"/>
    </row>
    <row r="90" spans="1:8" x14ac:dyDescent="0.35">
      <c r="B90" t="s">
        <v>176</v>
      </c>
      <c r="C90">
        <v>1200</v>
      </c>
      <c r="D90">
        <v>6</v>
      </c>
      <c r="E90">
        <v>25</v>
      </c>
      <c r="F90" s="2">
        <v>93.68</v>
      </c>
      <c r="G90" s="2"/>
      <c r="H90" s="2"/>
    </row>
    <row r="91" spans="1:8" x14ac:dyDescent="0.35">
      <c r="B91" t="s">
        <v>177</v>
      </c>
      <c r="C91">
        <v>660</v>
      </c>
      <c r="D91">
        <v>0</v>
      </c>
      <c r="E91">
        <v>11</v>
      </c>
      <c r="F91" s="2">
        <v>91.25</v>
      </c>
      <c r="G91" s="2"/>
      <c r="H91" s="2"/>
    </row>
    <row r="92" spans="1:8" x14ac:dyDescent="0.35">
      <c r="A92" s="3" t="s">
        <v>73</v>
      </c>
      <c r="B92" s="3"/>
      <c r="C92" s="3"/>
      <c r="D92" s="3">
        <v>6</v>
      </c>
      <c r="E92" s="3">
        <v>70</v>
      </c>
      <c r="F92" s="4">
        <v>93.68</v>
      </c>
      <c r="G92" s="4">
        <v>91.872500000000002</v>
      </c>
      <c r="H92" s="4">
        <v>2.0033201607997366</v>
      </c>
    </row>
    <row r="93" spans="1:8" x14ac:dyDescent="0.35">
      <c r="B93" t="s">
        <v>178</v>
      </c>
      <c r="C93">
        <v>5400</v>
      </c>
      <c r="D93">
        <v>25</v>
      </c>
      <c r="E93">
        <v>25</v>
      </c>
      <c r="F93" s="2">
        <v>94.84</v>
      </c>
      <c r="G93" s="2"/>
      <c r="H93" s="2"/>
    </row>
    <row r="94" spans="1:8" x14ac:dyDescent="0.35">
      <c r="B94" t="s">
        <v>179</v>
      </c>
      <c r="C94">
        <v>813</v>
      </c>
      <c r="D94">
        <v>28</v>
      </c>
      <c r="E94">
        <v>25</v>
      </c>
      <c r="F94" s="2">
        <v>94.24</v>
      </c>
      <c r="G94" s="2"/>
      <c r="H94" s="2"/>
    </row>
    <row r="95" spans="1:8" x14ac:dyDescent="0.35">
      <c r="B95" t="s">
        <v>180</v>
      </c>
      <c r="C95">
        <v>800</v>
      </c>
      <c r="D95">
        <v>0</v>
      </c>
      <c r="E95">
        <v>11</v>
      </c>
      <c r="F95" s="2">
        <v>89.4</v>
      </c>
      <c r="G95" s="2"/>
      <c r="H95" s="2"/>
    </row>
    <row r="96" spans="1:8" x14ac:dyDescent="0.35">
      <c r="A96" s="3" t="s">
        <v>54</v>
      </c>
      <c r="B96" s="3"/>
      <c r="C96" s="3"/>
      <c r="D96" s="3">
        <v>53</v>
      </c>
      <c r="E96" s="3">
        <v>61</v>
      </c>
      <c r="F96" s="4">
        <v>94.84</v>
      </c>
      <c r="G96" s="4">
        <v>92.826666666666668</v>
      </c>
      <c r="H96" s="4">
        <v>2.9827057067926286</v>
      </c>
    </row>
    <row r="97" spans="1:9" x14ac:dyDescent="0.35">
      <c r="B97" t="s">
        <v>181</v>
      </c>
      <c r="C97">
        <v>1213</v>
      </c>
      <c r="D97">
        <v>15</v>
      </c>
      <c r="E97">
        <v>25</v>
      </c>
      <c r="F97" s="2">
        <v>93.04</v>
      </c>
      <c r="G97" s="2"/>
      <c r="H97" s="2"/>
    </row>
    <row r="98" spans="1:9" x14ac:dyDescent="0.35">
      <c r="B98" t="s">
        <v>182</v>
      </c>
      <c r="C98">
        <v>1530</v>
      </c>
      <c r="D98">
        <v>4</v>
      </c>
      <c r="E98">
        <v>25</v>
      </c>
      <c r="F98" s="2">
        <v>92.6</v>
      </c>
      <c r="G98" s="2"/>
      <c r="H98" s="2"/>
    </row>
    <row r="99" spans="1:9" x14ac:dyDescent="0.35">
      <c r="B99" t="s">
        <v>183</v>
      </c>
      <c r="C99">
        <v>1200</v>
      </c>
      <c r="D99">
        <v>3</v>
      </c>
      <c r="E99">
        <v>22</v>
      </c>
      <c r="F99" s="2">
        <v>91.16</v>
      </c>
      <c r="G99" s="2"/>
      <c r="H99" s="2"/>
    </row>
    <row r="100" spans="1:9" x14ac:dyDescent="0.35">
      <c r="B100" t="s">
        <v>184</v>
      </c>
      <c r="C100">
        <v>929</v>
      </c>
      <c r="D100">
        <v>3</v>
      </c>
      <c r="E100">
        <v>25</v>
      </c>
      <c r="F100" s="2">
        <v>92.2</v>
      </c>
      <c r="G100" s="2"/>
      <c r="H100" s="2"/>
    </row>
    <row r="101" spans="1:9" x14ac:dyDescent="0.35">
      <c r="B101" t="s">
        <v>185</v>
      </c>
      <c r="C101">
        <v>600</v>
      </c>
      <c r="D101">
        <v>0</v>
      </c>
      <c r="E101">
        <v>3</v>
      </c>
      <c r="F101" s="2">
        <v>88.6</v>
      </c>
      <c r="G101" s="2"/>
      <c r="H101" s="2"/>
    </row>
    <row r="102" spans="1:9" x14ac:dyDescent="0.35">
      <c r="B102" t="s">
        <v>186</v>
      </c>
      <c r="C102">
        <v>567</v>
      </c>
      <c r="D102">
        <v>0</v>
      </c>
      <c r="E102">
        <v>0</v>
      </c>
      <c r="F102" s="2">
        <v>87.72</v>
      </c>
      <c r="G102" s="2"/>
      <c r="H102" s="2"/>
    </row>
    <row r="103" spans="1:9" x14ac:dyDescent="0.35">
      <c r="B103" t="s">
        <v>187</v>
      </c>
      <c r="C103">
        <v>4318</v>
      </c>
      <c r="D103">
        <v>0</v>
      </c>
      <c r="E103">
        <v>15</v>
      </c>
      <c r="F103" s="2">
        <v>90.24</v>
      </c>
      <c r="G103" s="2"/>
      <c r="H103" s="2"/>
    </row>
    <row r="104" spans="1:9" x14ac:dyDescent="0.35">
      <c r="A104" s="3" t="s">
        <v>58</v>
      </c>
      <c r="B104" s="3"/>
      <c r="C104" s="3"/>
      <c r="D104" s="3">
        <v>25</v>
      </c>
      <c r="E104" s="3">
        <v>115</v>
      </c>
      <c r="F104" s="4">
        <v>93.04</v>
      </c>
      <c r="G104" s="4">
        <v>90.794285714285706</v>
      </c>
      <c r="H104" s="4">
        <v>2.0407094938023995</v>
      </c>
      <c r="I104" s="2"/>
    </row>
    <row r="105" spans="1:9" x14ac:dyDescent="0.35">
      <c r="A105" t="s">
        <v>65</v>
      </c>
      <c r="B105" t="s">
        <v>188</v>
      </c>
      <c r="D105">
        <v>0</v>
      </c>
      <c r="E105">
        <v>24</v>
      </c>
      <c r="F105" s="2">
        <v>90.92</v>
      </c>
      <c r="G105" s="2"/>
      <c r="H105" s="2"/>
    </row>
    <row r="106" spans="1:9" x14ac:dyDescent="0.35">
      <c r="B106" t="s">
        <v>189</v>
      </c>
      <c r="C106">
        <v>9660</v>
      </c>
      <c r="D106">
        <v>0</v>
      </c>
      <c r="E106">
        <v>25</v>
      </c>
      <c r="F106" s="2">
        <v>91.16</v>
      </c>
      <c r="G106" s="2"/>
      <c r="H106" s="2"/>
    </row>
    <row r="107" spans="1:9" x14ac:dyDescent="0.35">
      <c r="B107" t="s">
        <v>191</v>
      </c>
      <c r="C107">
        <v>50</v>
      </c>
      <c r="D107">
        <v>0</v>
      </c>
      <c r="E107">
        <v>8</v>
      </c>
      <c r="F107" s="2">
        <v>89.86666666666666</v>
      </c>
      <c r="G107" s="2"/>
      <c r="H107" s="2"/>
    </row>
    <row r="108" spans="1:9" x14ac:dyDescent="0.35">
      <c r="B108" t="s">
        <v>192</v>
      </c>
      <c r="C108">
        <v>197</v>
      </c>
      <c r="D108">
        <v>0</v>
      </c>
      <c r="E108">
        <v>3</v>
      </c>
      <c r="F108" s="2">
        <v>87.80952380952381</v>
      </c>
      <c r="G108" s="2"/>
      <c r="H108" s="2"/>
    </row>
    <row r="109" spans="1:9" x14ac:dyDescent="0.35">
      <c r="B109" t="s">
        <v>193</v>
      </c>
      <c r="C109">
        <v>4500</v>
      </c>
      <c r="D109">
        <v>0</v>
      </c>
      <c r="E109">
        <v>10</v>
      </c>
      <c r="F109" s="2">
        <v>89.56</v>
      </c>
      <c r="G109" s="2"/>
      <c r="H109" s="2"/>
    </row>
    <row r="110" spans="1:9" x14ac:dyDescent="0.35">
      <c r="B110" t="s">
        <v>194</v>
      </c>
      <c r="C110">
        <v>175</v>
      </c>
      <c r="D110">
        <v>0</v>
      </c>
      <c r="E110">
        <v>1</v>
      </c>
      <c r="F110" s="2">
        <v>87.666666666666671</v>
      </c>
      <c r="G110" s="2"/>
      <c r="H110" s="2"/>
    </row>
    <row r="111" spans="1:9" x14ac:dyDescent="0.35">
      <c r="B111" t="s">
        <v>196</v>
      </c>
      <c r="C111">
        <v>2877</v>
      </c>
      <c r="D111">
        <v>0</v>
      </c>
      <c r="E111">
        <v>4</v>
      </c>
      <c r="F111" s="2">
        <v>88.56</v>
      </c>
      <c r="G111" s="2"/>
      <c r="H111" s="2"/>
    </row>
    <row r="112" spans="1:9" x14ac:dyDescent="0.35">
      <c r="B112" t="s">
        <v>197</v>
      </c>
      <c r="C112">
        <v>230</v>
      </c>
      <c r="D112">
        <v>0</v>
      </c>
      <c r="E112">
        <v>4</v>
      </c>
      <c r="F112" s="2">
        <v>88.63636363636364</v>
      </c>
      <c r="G112" s="2"/>
      <c r="H112" s="2"/>
    </row>
    <row r="113" spans="1:8" x14ac:dyDescent="0.35">
      <c r="B113" t="s">
        <v>198</v>
      </c>
      <c r="C113">
        <v>52</v>
      </c>
      <c r="D113">
        <v>0</v>
      </c>
      <c r="E113">
        <v>6</v>
      </c>
      <c r="F113" s="2">
        <v>89.818181818181813</v>
      </c>
      <c r="G113" s="2"/>
      <c r="H113" s="2"/>
    </row>
    <row r="114" spans="1:8" x14ac:dyDescent="0.35">
      <c r="A114" s="3" t="s">
        <v>65</v>
      </c>
      <c r="B114" s="3"/>
      <c r="C114" s="5"/>
      <c r="D114" s="5">
        <v>0</v>
      </c>
      <c r="E114" s="5">
        <v>85</v>
      </c>
      <c r="F114" s="6">
        <v>91.16</v>
      </c>
      <c r="G114" s="6">
        <v>89.333044733044744</v>
      </c>
      <c r="H114" s="6">
        <v>1.2554235437523662</v>
      </c>
    </row>
    <row r="115" spans="1:8" x14ac:dyDescent="0.35">
      <c r="A115" s="3" t="s">
        <v>55</v>
      </c>
      <c r="B115" s="3" t="s">
        <v>199</v>
      </c>
      <c r="C115" s="3">
        <v>15600</v>
      </c>
      <c r="D115" s="3">
        <v>7</v>
      </c>
      <c r="E115" s="3">
        <v>25</v>
      </c>
      <c r="F115" s="4">
        <v>95.12</v>
      </c>
      <c r="G115" s="4">
        <v>95.12</v>
      </c>
      <c r="H115" s="4">
        <v>0</v>
      </c>
    </row>
    <row r="116" spans="1:8" x14ac:dyDescent="0.35">
      <c r="A116" s="3" t="s">
        <v>62</v>
      </c>
      <c r="B116" s="3" t="s">
        <v>62</v>
      </c>
      <c r="C116" s="3">
        <v>34300</v>
      </c>
      <c r="D116" s="3">
        <v>1</v>
      </c>
      <c r="E116" s="3">
        <v>25</v>
      </c>
      <c r="F116" s="9">
        <v>95.68</v>
      </c>
      <c r="G116" s="9">
        <v>95.68</v>
      </c>
      <c r="H116" s="9">
        <v>0</v>
      </c>
    </row>
    <row r="117" spans="1:8" x14ac:dyDescent="0.35">
      <c r="A117" t="s">
        <v>51</v>
      </c>
      <c r="B117" t="s">
        <v>51</v>
      </c>
      <c r="C117">
        <v>5700</v>
      </c>
      <c r="D117">
        <v>0</v>
      </c>
      <c r="E117">
        <v>23</v>
      </c>
      <c r="F117" s="2">
        <v>90.44</v>
      </c>
      <c r="G117" s="2"/>
      <c r="H117" s="2"/>
    </row>
    <row r="118" spans="1:8" x14ac:dyDescent="0.35">
      <c r="B118" t="s">
        <v>202</v>
      </c>
      <c r="C118">
        <v>106</v>
      </c>
      <c r="D118">
        <v>0</v>
      </c>
      <c r="E118">
        <v>25</v>
      </c>
      <c r="F118" s="2">
        <v>93.6</v>
      </c>
      <c r="G118" s="2"/>
      <c r="H118" s="2"/>
    </row>
    <row r="119" spans="1:8" x14ac:dyDescent="0.35">
      <c r="B119" t="s">
        <v>203</v>
      </c>
      <c r="C119">
        <v>769</v>
      </c>
      <c r="D119">
        <v>0</v>
      </c>
      <c r="E119">
        <v>25</v>
      </c>
      <c r="F119" s="2">
        <v>92.32</v>
      </c>
      <c r="G119" s="2"/>
      <c r="H119" s="2"/>
    </row>
    <row r="120" spans="1:8" x14ac:dyDescent="0.35">
      <c r="B120" t="s">
        <v>204</v>
      </c>
      <c r="C120">
        <v>780</v>
      </c>
      <c r="D120">
        <v>0</v>
      </c>
      <c r="E120">
        <v>3</v>
      </c>
      <c r="F120" s="2">
        <v>88.28</v>
      </c>
      <c r="G120" s="2"/>
      <c r="H120" s="2"/>
    </row>
    <row r="121" spans="1:8" x14ac:dyDescent="0.35">
      <c r="A121" s="3" t="s">
        <v>51</v>
      </c>
      <c r="B121" s="3"/>
      <c r="C121" s="3"/>
      <c r="D121" s="3">
        <v>0</v>
      </c>
      <c r="E121" s="3">
        <v>76</v>
      </c>
      <c r="F121" s="4">
        <v>93.6</v>
      </c>
      <c r="G121" s="4">
        <v>91.16</v>
      </c>
      <c r="H121" s="4">
        <v>2.3174698847378039</v>
      </c>
    </row>
    <row r="122" spans="1:8" x14ac:dyDescent="0.35">
      <c r="A122" t="s">
        <v>205</v>
      </c>
      <c r="B122" t="s">
        <v>206</v>
      </c>
      <c r="C122">
        <v>64</v>
      </c>
      <c r="D122">
        <v>0</v>
      </c>
      <c r="E122">
        <v>2</v>
      </c>
      <c r="F122" s="2">
        <v>88.055555555555557</v>
      </c>
      <c r="G122" s="2"/>
      <c r="H122" s="2"/>
    </row>
    <row r="123" spans="1:8" x14ac:dyDescent="0.35">
      <c r="B123" t="s">
        <v>207</v>
      </c>
      <c r="C123">
        <v>300</v>
      </c>
      <c r="D123">
        <v>0</v>
      </c>
      <c r="E123">
        <v>21</v>
      </c>
      <c r="F123" s="2">
        <v>90.48</v>
      </c>
      <c r="G123" s="2"/>
      <c r="H123" s="2"/>
    </row>
    <row r="124" spans="1:8" x14ac:dyDescent="0.35">
      <c r="B124" t="s">
        <v>208</v>
      </c>
      <c r="C124">
        <v>650</v>
      </c>
      <c r="D124">
        <v>0</v>
      </c>
      <c r="E124">
        <v>25</v>
      </c>
      <c r="F124" s="2">
        <v>91.24</v>
      </c>
      <c r="G124" s="2"/>
      <c r="H124" s="2"/>
    </row>
    <row r="125" spans="1:8" x14ac:dyDescent="0.35">
      <c r="B125" t="s">
        <v>209</v>
      </c>
      <c r="C125">
        <v>363</v>
      </c>
      <c r="D125">
        <v>0</v>
      </c>
      <c r="E125">
        <v>15</v>
      </c>
      <c r="F125" s="2">
        <v>89.92</v>
      </c>
      <c r="G125" s="2"/>
      <c r="H125" s="2"/>
    </row>
    <row r="126" spans="1:8" x14ac:dyDescent="0.35">
      <c r="B126" t="s">
        <v>210</v>
      </c>
      <c r="C126">
        <v>340</v>
      </c>
      <c r="D126">
        <v>0</v>
      </c>
      <c r="E126">
        <v>25</v>
      </c>
      <c r="F126" s="2">
        <v>90.88</v>
      </c>
      <c r="G126" s="2"/>
      <c r="H126" s="2"/>
    </row>
    <row r="127" spans="1:8" x14ac:dyDescent="0.35">
      <c r="A127" s="3" t="s">
        <v>205</v>
      </c>
      <c r="B127" s="3"/>
      <c r="C127" s="3"/>
      <c r="D127" s="3">
        <v>0</v>
      </c>
      <c r="E127" s="3">
        <v>88</v>
      </c>
      <c r="F127" s="4">
        <v>91.24</v>
      </c>
      <c r="G127" s="4">
        <v>90.115111111111119</v>
      </c>
      <c r="H127" s="4">
        <v>1.2513404171152498</v>
      </c>
    </row>
    <row r="128" spans="1:8" x14ac:dyDescent="0.35">
      <c r="A128" t="s">
        <v>211</v>
      </c>
      <c r="B128" t="s">
        <v>57</v>
      </c>
      <c r="C128">
        <v>475</v>
      </c>
      <c r="D128">
        <v>0</v>
      </c>
      <c r="E128">
        <v>25</v>
      </c>
      <c r="F128" s="2">
        <v>91.68</v>
      </c>
      <c r="G128" s="2"/>
      <c r="H128" s="2"/>
    </row>
    <row r="129" spans="2:8" x14ac:dyDescent="0.35">
      <c r="B129" t="s">
        <v>212</v>
      </c>
      <c r="C129">
        <v>320</v>
      </c>
      <c r="D129">
        <v>0</v>
      </c>
      <c r="E129">
        <v>25</v>
      </c>
      <c r="F129" s="2">
        <v>92.48</v>
      </c>
      <c r="G129" s="2"/>
      <c r="H129" s="2"/>
    </row>
    <row r="130" spans="2:8" x14ac:dyDescent="0.35">
      <c r="B130" t="s">
        <v>213</v>
      </c>
      <c r="C130">
        <v>400</v>
      </c>
      <c r="D130">
        <v>0</v>
      </c>
      <c r="E130">
        <v>25</v>
      </c>
      <c r="F130" s="2">
        <v>93.88</v>
      </c>
      <c r="G130" s="2"/>
      <c r="H130" s="2"/>
    </row>
    <row r="131" spans="2:8" x14ac:dyDescent="0.35">
      <c r="B131" t="s">
        <v>214</v>
      </c>
      <c r="C131">
        <v>210</v>
      </c>
      <c r="D131">
        <v>1</v>
      </c>
      <c r="E131">
        <v>25</v>
      </c>
      <c r="F131" s="2">
        <v>95.2</v>
      </c>
      <c r="G131" s="2"/>
      <c r="H131" s="2"/>
    </row>
    <row r="132" spans="2:8" x14ac:dyDescent="0.35">
      <c r="B132" t="s">
        <v>215</v>
      </c>
      <c r="C132">
        <v>310</v>
      </c>
      <c r="D132">
        <v>0</v>
      </c>
      <c r="E132">
        <v>25</v>
      </c>
      <c r="F132" s="2">
        <v>93.56</v>
      </c>
      <c r="G132" s="2"/>
      <c r="H132" s="2"/>
    </row>
    <row r="133" spans="2:8" x14ac:dyDescent="0.35">
      <c r="B133" t="s">
        <v>216</v>
      </c>
      <c r="C133">
        <v>245</v>
      </c>
      <c r="D133">
        <v>0</v>
      </c>
      <c r="E133">
        <v>25</v>
      </c>
      <c r="F133" s="2">
        <v>93.92</v>
      </c>
      <c r="G133" s="2"/>
      <c r="H133" s="2"/>
    </row>
    <row r="134" spans="2:8" x14ac:dyDescent="0.35">
      <c r="B134" t="s">
        <v>217</v>
      </c>
      <c r="C134">
        <v>169</v>
      </c>
      <c r="D134">
        <v>0</v>
      </c>
      <c r="E134">
        <v>17</v>
      </c>
      <c r="F134" s="2">
        <v>90.44</v>
      </c>
      <c r="G134" s="2"/>
      <c r="H134" s="2"/>
    </row>
    <row r="135" spans="2:8" x14ac:dyDescent="0.35">
      <c r="B135" t="s">
        <v>218</v>
      </c>
      <c r="C135">
        <v>54</v>
      </c>
      <c r="D135">
        <v>0</v>
      </c>
      <c r="E135">
        <v>5</v>
      </c>
      <c r="F135" s="2">
        <v>88.2</v>
      </c>
      <c r="G135" s="2"/>
      <c r="H135" s="2"/>
    </row>
    <row r="136" spans="2:8" x14ac:dyDescent="0.35">
      <c r="B136" t="s">
        <v>219</v>
      </c>
      <c r="C136">
        <v>130</v>
      </c>
      <c r="D136">
        <v>0</v>
      </c>
      <c r="E136">
        <v>5</v>
      </c>
      <c r="F136" s="2">
        <v>88.96</v>
      </c>
      <c r="G136" s="2"/>
      <c r="H136" s="2"/>
    </row>
    <row r="137" spans="2:8" x14ac:dyDescent="0.35">
      <c r="B137" t="s">
        <v>220</v>
      </c>
      <c r="C137">
        <v>146</v>
      </c>
      <c r="D137">
        <v>0</v>
      </c>
      <c r="E137">
        <v>17</v>
      </c>
      <c r="F137" s="2">
        <v>89.72</v>
      </c>
      <c r="G137" s="2"/>
      <c r="H137" s="2"/>
    </row>
    <row r="138" spans="2:8" x14ac:dyDescent="0.35">
      <c r="B138" t="s">
        <v>221</v>
      </c>
      <c r="C138">
        <v>199</v>
      </c>
      <c r="D138">
        <v>0</v>
      </c>
      <c r="E138">
        <v>15</v>
      </c>
      <c r="F138" s="2">
        <v>89.8</v>
      </c>
      <c r="G138" s="2"/>
      <c r="H138" s="2"/>
    </row>
    <row r="139" spans="2:8" x14ac:dyDescent="0.35">
      <c r="B139" t="s">
        <v>222</v>
      </c>
      <c r="C139">
        <v>158</v>
      </c>
      <c r="D139">
        <v>0</v>
      </c>
      <c r="E139">
        <v>14</v>
      </c>
      <c r="F139" s="2">
        <v>89.68</v>
      </c>
      <c r="G139" s="2"/>
      <c r="H139" s="2"/>
    </row>
    <row r="140" spans="2:8" x14ac:dyDescent="0.35">
      <c r="B140" t="s">
        <v>223</v>
      </c>
      <c r="C140">
        <v>205</v>
      </c>
      <c r="D140">
        <v>0</v>
      </c>
      <c r="E140">
        <v>24</v>
      </c>
      <c r="F140" s="2">
        <v>90.36</v>
      </c>
      <c r="G140" s="2"/>
      <c r="H140" s="2"/>
    </row>
    <row r="141" spans="2:8" x14ac:dyDescent="0.35">
      <c r="B141" t="s">
        <v>224</v>
      </c>
      <c r="C141">
        <v>160</v>
      </c>
      <c r="D141">
        <v>0</v>
      </c>
      <c r="E141">
        <v>25</v>
      </c>
      <c r="F141" s="2">
        <v>91.16</v>
      </c>
      <c r="G141" s="2"/>
      <c r="H141" s="2"/>
    </row>
    <row r="142" spans="2:8" x14ac:dyDescent="0.35">
      <c r="B142" t="s">
        <v>225</v>
      </c>
      <c r="C142">
        <v>135</v>
      </c>
      <c r="D142">
        <v>0</v>
      </c>
      <c r="E142">
        <v>15</v>
      </c>
      <c r="F142" s="2">
        <v>89.88</v>
      </c>
      <c r="G142" s="2"/>
      <c r="H142" s="2"/>
    </row>
    <row r="143" spans="2:8" x14ac:dyDescent="0.35">
      <c r="B143" t="s">
        <v>226</v>
      </c>
      <c r="C143">
        <v>333</v>
      </c>
      <c r="D143">
        <v>0</v>
      </c>
      <c r="E143">
        <v>24</v>
      </c>
      <c r="F143" s="2">
        <v>90.88</v>
      </c>
      <c r="G143" s="2"/>
      <c r="H143" s="2"/>
    </row>
    <row r="144" spans="2:8" x14ac:dyDescent="0.35">
      <c r="B144" t="s">
        <v>227</v>
      </c>
      <c r="C144">
        <v>144</v>
      </c>
      <c r="D144">
        <v>0</v>
      </c>
      <c r="E144">
        <v>22</v>
      </c>
      <c r="F144" s="2">
        <v>90.52</v>
      </c>
      <c r="G144" s="2"/>
      <c r="H144" s="2"/>
    </row>
    <row r="145" spans="1:8" x14ac:dyDescent="0.35">
      <c r="B145" t="s">
        <v>228</v>
      </c>
      <c r="C145">
        <v>33</v>
      </c>
      <c r="D145">
        <v>0</v>
      </c>
      <c r="E145">
        <v>0</v>
      </c>
      <c r="F145" s="2">
        <v>84.8</v>
      </c>
      <c r="G145" s="2"/>
      <c r="H145" s="2"/>
    </row>
    <row r="146" spans="1:8" x14ac:dyDescent="0.35">
      <c r="B146" t="s">
        <v>229</v>
      </c>
      <c r="C146">
        <v>210</v>
      </c>
      <c r="D146">
        <v>0</v>
      </c>
      <c r="E146">
        <v>25</v>
      </c>
      <c r="F146" s="2">
        <v>92.4</v>
      </c>
      <c r="G146" s="2"/>
      <c r="H146" s="2"/>
    </row>
    <row r="147" spans="1:8" x14ac:dyDescent="0.35">
      <c r="A147" s="3" t="s">
        <v>57</v>
      </c>
      <c r="B147" s="3"/>
      <c r="C147" s="3"/>
      <c r="D147" s="3">
        <v>1</v>
      </c>
      <c r="E147" s="3">
        <v>358</v>
      </c>
      <c r="F147" s="4">
        <v>95.2</v>
      </c>
      <c r="G147" s="4">
        <v>90.922105263157903</v>
      </c>
      <c r="H147" s="4">
        <v>2.3923758041545438</v>
      </c>
    </row>
    <row r="148" spans="1:8" x14ac:dyDescent="0.35">
      <c r="A148" t="s">
        <v>230</v>
      </c>
      <c r="B148" t="s">
        <v>231</v>
      </c>
      <c r="C148">
        <v>152</v>
      </c>
      <c r="D148">
        <v>0</v>
      </c>
      <c r="E148">
        <v>25</v>
      </c>
      <c r="F148" s="2">
        <v>95.36</v>
      </c>
      <c r="G148" s="2"/>
      <c r="H148" s="2"/>
    </row>
    <row r="149" spans="1:8" x14ac:dyDescent="0.35">
      <c r="B149" t="s">
        <v>232</v>
      </c>
      <c r="C149">
        <v>160</v>
      </c>
      <c r="D149">
        <v>0</v>
      </c>
      <c r="E149">
        <v>19</v>
      </c>
      <c r="F149" s="2">
        <v>90.04</v>
      </c>
      <c r="G149" s="2"/>
      <c r="H149" s="2"/>
    </row>
    <row r="150" spans="1:8" x14ac:dyDescent="0.35">
      <c r="B150" t="s">
        <v>233</v>
      </c>
      <c r="C150">
        <v>125</v>
      </c>
      <c r="D150">
        <v>0</v>
      </c>
      <c r="E150">
        <v>21</v>
      </c>
      <c r="F150" s="2">
        <v>90.12</v>
      </c>
      <c r="G150" s="2"/>
      <c r="H150" s="2"/>
    </row>
    <row r="151" spans="1:8" x14ac:dyDescent="0.35">
      <c r="B151" t="s">
        <v>234</v>
      </c>
      <c r="C151">
        <v>3679</v>
      </c>
      <c r="D151">
        <v>0</v>
      </c>
      <c r="E151">
        <v>25</v>
      </c>
      <c r="F151" s="2">
        <v>94.08</v>
      </c>
      <c r="G151" s="2"/>
      <c r="H151" s="2"/>
    </row>
    <row r="152" spans="1:8" x14ac:dyDescent="0.35">
      <c r="B152" t="s">
        <v>235</v>
      </c>
      <c r="C152">
        <v>402</v>
      </c>
      <c r="D152">
        <v>0</v>
      </c>
      <c r="E152">
        <v>25</v>
      </c>
      <c r="F152" s="2">
        <v>95.76</v>
      </c>
      <c r="G152" s="2"/>
      <c r="H152" s="2"/>
    </row>
    <row r="153" spans="1:8" x14ac:dyDescent="0.35">
      <c r="B153" t="s">
        <v>236</v>
      </c>
      <c r="C153">
        <v>283</v>
      </c>
      <c r="D153">
        <v>0</v>
      </c>
      <c r="E153">
        <v>25</v>
      </c>
      <c r="F153" s="2">
        <v>90.8</v>
      </c>
      <c r="G153" s="2"/>
      <c r="H153" s="2"/>
    </row>
    <row r="154" spans="1:8" x14ac:dyDescent="0.35">
      <c r="B154" t="s">
        <v>237</v>
      </c>
      <c r="C154">
        <v>96</v>
      </c>
      <c r="D154">
        <v>0</v>
      </c>
      <c r="E154">
        <v>25</v>
      </c>
      <c r="F154" s="2">
        <v>94.76</v>
      </c>
      <c r="G154" s="2"/>
      <c r="H154" s="2"/>
    </row>
    <row r="155" spans="1:8" x14ac:dyDescent="0.35">
      <c r="B155" t="s">
        <v>238</v>
      </c>
      <c r="C155">
        <v>310</v>
      </c>
      <c r="D155">
        <v>0</v>
      </c>
      <c r="E155">
        <v>25</v>
      </c>
      <c r="F155" s="2">
        <v>93.08</v>
      </c>
      <c r="G155" s="2"/>
      <c r="H155" s="2"/>
    </row>
    <row r="156" spans="1:8" x14ac:dyDescent="0.35">
      <c r="B156" t="s">
        <v>239</v>
      </c>
      <c r="C156">
        <v>150</v>
      </c>
      <c r="D156">
        <v>10</v>
      </c>
      <c r="E156">
        <v>25</v>
      </c>
      <c r="F156" s="2">
        <v>95.48</v>
      </c>
      <c r="G156" s="2"/>
      <c r="H156" s="2"/>
    </row>
    <row r="157" spans="1:8" x14ac:dyDescent="0.35">
      <c r="B157" t="s">
        <v>240</v>
      </c>
      <c r="C157">
        <v>16</v>
      </c>
      <c r="D157">
        <v>0</v>
      </c>
      <c r="E157">
        <v>25</v>
      </c>
      <c r="F157" s="2">
        <v>93.48</v>
      </c>
      <c r="G157" s="2"/>
      <c r="H157" s="2"/>
    </row>
    <row r="158" spans="1:8" x14ac:dyDescent="0.35">
      <c r="A158" s="3" t="s">
        <v>69</v>
      </c>
      <c r="B158" s="3"/>
      <c r="C158" s="3"/>
      <c r="D158" s="3">
        <v>10</v>
      </c>
      <c r="E158" s="3">
        <v>240</v>
      </c>
      <c r="F158" s="4">
        <v>95.76</v>
      </c>
      <c r="G158" s="4">
        <v>93.296000000000006</v>
      </c>
      <c r="H158" s="4">
        <v>2.2325431437911538</v>
      </c>
    </row>
    <row r="159" spans="1:8" x14ac:dyDescent="0.35">
      <c r="A159" t="s">
        <v>241</v>
      </c>
      <c r="B159" t="s">
        <v>242</v>
      </c>
      <c r="C159">
        <v>6934</v>
      </c>
      <c r="D159">
        <v>0</v>
      </c>
      <c r="E159">
        <v>5</v>
      </c>
      <c r="F159" s="2">
        <v>88.76</v>
      </c>
      <c r="G159" s="2"/>
      <c r="H159" s="2"/>
    </row>
    <row r="160" spans="1:8" x14ac:dyDescent="0.35">
      <c r="B160" t="s">
        <v>244</v>
      </c>
      <c r="C160">
        <v>1337</v>
      </c>
      <c r="D160">
        <v>0</v>
      </c>
      <c r="E160">
        <v>24</v>
      </c>
      <c r="F160" s="2">
        <v>92.04</v>
      </c>
      <c r="G160" s="2"/>
      <c r="H160" s="2"/>
    </row>
    <row r="161" spans="1:8" x14ac:dyDescent="0.35">
      <c r="B161" t="s">
        <v>245</v>
      </c>
      <c r="C161">
        <v>4000</v>
      </c>
      <c r="D161">
        <v>0</v>
      </c>
      <c r="E161">
        <v>24</v>
      </c>
      <c r="F161" s="2">
        <v>90.92</v>
      </c>
      <c r="G161" s="2"/>
      <c r="H161" s="2"/>
    </row>
    <row r="162" spans="1:8" x14ac:dyDescent="0.35">
      <c r="B162" t="s">
        <v>247</v>
      </c>
      <c r="C162">
        <v>1300</v>
      </c>
      <c r="D162">
        <v>0</v>
      </c>
      <c r="E162">
        <v>18</v>
      </c>
      <c r="F162" s="2">
        <v>90.24</v>
      </c>
      <c r="G162" s="2"/>
      <c r="H162" s="2"/>
    </row>
    <row r="163" spans="1:8" x14ac:dyDescent="0.35">
      <c r="B163" t="s">
        <v>248</v>
      </c>
      <c r="C163">
        <v>2400</v>
      </c>
      <c r="D163">
        <v>0</v>
      </c>
      <c r="E163">
        <v>2</v>
      </c>
      <c r="F163" s="2">
        <v>87.8</v>
      </c>
      <c r="G163" s="2"/>
      <c r="H163" s="2"/>
    </row>
    <row r="164" spans="1:8" x14ac:dyDescent="0.35">
      <c r="B164" t="s">
        <v>249</v>
      </c>
      <c r="C164">
        <v>2000</v>
      </c>
      <c r="D164">
        <v>0</v>
      </c>
      <c r="E164">
        <v>2</v>
      </c>
      <c r="F164" s="2">
        <v>87.666666666666671</v>
      </c>
      <c r="G164" s="2"/>
      <c r="H164" s="2"/>
    </row>
    <row r="165" spans="1:8" x14ac:dyDescent="0.35">
      <c r="B165" t="s">
        <v>250</v>
      </c>
      <c r="C165">
        <v>3600</v>
      </c>
      <c r="D165">
        <v>1</v>
      </c>
      <c r="E165">
        <v>9</v>
      </c>
      <c r="F165" s="2">
        <v>89.173913043478265</v>
      </c>
      <c r="G165" s="2"/>
      <c r="H165" s="2"/>
    </row>
    <row r="166" spans="1:8" x14ac:dyDescent="0.35">
      <c r="B166" t="s">
        <v>251</v>
      </c>
      <c r="C166">
        <v>6800</v>
      </c>
      <c r="D166">
        <v>0</v>
      </c>
      <c r="E166">
        <v>7</v>
      </c>
      <c r="F166" s="2">
        <v>89.2</v>
      </c>
      <c r="G166" s="2"/>
      <c r="H166" s="2"/>
    </row>
    <row r="167" spans="1:8" x14ac:dyDescent="0.35">
      <c r="B167" t="s">
        <v>253</v>
      </c>
      <c r="C167">
        <v>270</v>
      </c>
      <c r="D167">
        <v>0</v>
      </c>
      <c r="E167">
        <v>3</v>
      </c>
      <c r="F167" s="2">
        <v>88.260869565217391</v>
      </c>
      <c r="G167" s="2"/>
      <c r="H167" s="2"/>
    </row>
    <row r="168" spans="1:8" x14ac:dyDescent="0.35">
      <c r="A168" s="3" t="s">
        <v>72</v>
      </c>
      <c r="B168" s="3"/>
      <c r="C168" s="3"/>
      <c r="D168" s="3">
        <v>1</v>
      </c>
      <c r="E168" s="3">
        <v>94</v>
      </c>
      <c r="F168" s="4">
        <v>92.04</v>
      </c>
      <c r="G168" s="4">
        <v>89.340161030595823</v>
      </c>
      <c r="H168" s="4">
        <v>1.4712304197281412</v>
      </c>
    </row>
    <row r="169" spans="1:8" x14ac:dyDescent="0.35">
      <c r="A169" s="3" t="s">
        <v>254</v>
      </c>
      <c r="B169" s="3" t="s">
        <v>254</v>
      </c>
      <c r="C169" s="3">
        <v>412</v>
      </c>
      <c r="D169" s="3">
        <v>0</v>
      </c>
      <c r="E169" s="3">
        <v>2</v>
      </c>
      <c r="F169" s="4">
        <v>87.86666666666666</v>
      </c>
      <c r="G169" s="4">
        <v>87.86666666666666</v>
      </c>
      <c r="H169" s="4">
        <v>0</v>
      </c>
    </row>
    <row r="170" spans="1:8" x14ac:dyDescent="0.35">
      <c r="B170" t="s">
        <v>256</v>
      </c>
      <c r="C170">
        <v>47</v>
      </c>
      <c r="D170">
        <v>0</v>
      </c>
      <c r="E170">
        <v>2</v>
      </c>
      <c r="F170" s="2">
        <v>88.555555555555557</v>
      </c>
      <c r="G170" s="2"/>
      <c r="H170" s="2"/>
    </row>
    <row r="171" spans="1:8" x14ac:dyDescent="0.35">
      <c r="B171" t="s">
        <v>257</v>
      </c>
      <c r="C171">
        <v>50</v>
      </c>
      <c r="D171">
        <v>0</v>
      </c>
      <c r="E171">
        <v>8</v>
      </c>
      <c r="F171" s="2">
        <v>88.96</v>
      </c>
      <c r="G171" s="2"/>
      <c r="H171" s="2"/>
    </row>
    <row r="172" spans="1:8" x14ac:dyDescent="0.35">
      <c r="B172" t="s">
        <v>258</v>
      </c>
      <c r="C172">
        <v>300</v>
      </c>
      <c r="D172">
        <v>0</v>
      </c>
      <c r="E172">
        <v>0</v>
      </c>
      <c r="F172" s="2">
        <v>87.142857142857139</v>
      </c>
      <c r="G172" s="2"/>
      <c r="H172" s="2"/>
    </row>
    <row r="173" spans="1:8" x14ac:dyDescent="0.35">
      <c r="B173" t="s">
        <v>259</v>
      </c>
      <c r="C173">
        <v>400</v>
      </c>
      <c r="D173">
        <v>0</v>
      </c>
      <c r="E173">
        <v>2</v>
      </c>
      <c r="F173" s="2">
        <v>88.15789473684211</v>
      </c>
      <c r="G173" s="2"/>
      <c r="H173" s="2"/>
    </row>
    <row r="174" spans="1:8" x14ac:dyDescent="0.35">
      <c r="B174" t="s">
        <v>260</v>
      </c>
      <c r="C174">
        <v>39</v>
      </c>
      <c r="D174">
        <v>0</v>
      </c>
      <c r="E174">
        <v>10</v>
      </c>
      <c r="F174" s="2">
        <v>89.8125</v>
      </c>
      <c r="G174" s="2"/>
      <c r="H174" s="2"/>
    </row>
    <row r="175" spans="1:8" x14ac:dyDescent="0.35">
      <c r="B175" t="s">
        <v>261</v>
      </c>
      <c r="C175">
        <v>100</v>
      </c>
      <c r="D175">
        <v>0</v>
      </c>
      <c r="E175">
        <v>0</v>
      </c>
      <c r="F175" s="2">
        <v>86.727272727272734</v>
      </c>
      <c r="G175" s="2"/>
      <c r="H175" s="2"/>
    </row>
    <row r="176" spans="1:8" x14ac:dyDescent="0.35">
      <c r="B176" t="s">
        <v>262</v>
      </c>
      <c r="C176">
        <v>12</v>
      </c>
      <c r="D176">
        <v>0</v>
      </c>
      <c r="E176">
        <v>2</v>
      </c>
      <c r="F176" s="2">
        <v>89.75</v>
      </c>
      <c r="G176" s="2"/>
      <c r="H176" s="2"/>
    </row>
    <row r="177" spans="1:8" x14ac:dyDescent="0.35">
      <c r="B177" t="s">
        <v>263</v>
      </c>
      <c r="C177">
        <v>271</v>
      </c>
      <c r="D177">
        <v>0</v>
      </c>
      <c r="E177">
        <v>10</v>
      </c>
      <c r="F177" s="2">
        <v>89.24</v>
      </c>
      <c r="G177" s="2"/>
      <c r="H177" s="2"/>
    </row>
    <row r="178" spans="1:8" x14ac:dyDescent="0.35">
      <c r="B178" t="s">
        <v>81</v>
      </c>
      <c r="C178">
        <v>2015</v>
      </c>
      <c r="D178">
        <v>0</v>
      </c>
      <c r="E178">
        <v>24</v>
      </c>
      <c r="F178" s="2">
        <v>90</v>
      </c>
      <c r="G178" s="2"/>
      <c r="H178" s="2"/>
    </row>
    <row r="179" spans="1:8" x14ac:dyDescent="0.35">
      <c r="A179" s="3" t="s">
        <v>81</v>
      </c>
      <c r="B179" s="3"/>
      <c r="C179" s="3"/>
      <c r="D179" s="3">
        <v>0</v>
      </c>
      <c r="E179" s="3">
        <v>56</v>
      </c>
      <c r="F179" s="4">
        <v>90</v>
      </c>
      <c r="G179" s="4">
        <v>88.705120018058608</v>
      </c>
      <c r="H179" s="4">
        <v>1.1736806104474848</v>
      </c>
    </row>
    <row r="180" spans="1:8" x14ac:dyDescent="0.35">
      <c r="A180" t="s">
        <v>264</v>
      </c>
      <c r="B180" t="s">
        <v>265</v>
      </c>
      <c r="C180">
        <v>4700</v>
      </c>
      <c r="D180">
        <v>0</v>
      </c>
      <c r="E180">
        <v>19</v>
      </c>
      <c r="F180" s="2">
        <v>90.44</v>
      </c>
      <c r="G180" s="2"/>
      <c r="H180" s="2"/>
    </row>
    <row r="181" spans="1:8" x14ac:dyDescent="0.35">
      <c r="B181" t="s">
        <v>266</v>
      </c>
      <c r="C181">
        <v>1650</v>
      </c>
      <c r="D181">
        <v>0</v>
      </c>
      <c r="E181">
        <v>24</v>
      </c>
      <c r="F181" s="2">
        <v>90.24</v>
      </c>
      <c r="G181" s="2"/>
      <c r="H181" s="2"/>
    </row>
    <row r="182" spans="1:8" x14ac:dyDescent="0.35">
      <c r="B182" t="s">
        <v>267</v>
      </c>
      <c r="C182">
        <v>639</v>
      </c>
      <c r="D182">
        <v>0</v>
      </c>
      <c r="E182">
        <v>20</v>
      </c>
      <c r="F182" s="2">
        <v>91.36</v>
      </c>
      <c r="G182" s="2"/>
      <c r="H182" s="2"/>
    </row>
    <row r="183" spans="1:8" x14ac:dyDescent="0.35">
      <c r="B183" t="s">
        <v>268</v>
      </c>
      <c r="C183">
        <v>328</v>
      </c>
      <c r="D183">
        <v>0</v>
      </c>
      <c r="E183">
        <v>23</v>
      </c>
      <c r="F183" s="2">
        <v>91.48</v>
      </c>
      <c r="G183" s="2"/>
      <c r="H183" s="2"/>
    </row>
    <row r="184" spans="1:8" x14ac:dyDescent="0.35">
      <c r="A184" s="3" t="s">
        <v>79</v>
      </c>
      <c r="B184" s="3"/>
      <c r="C184" s="3"/>
      <c r="D184" s="3">
        <v>0</v>
      </c>
      <c r="E184" s="3">
        <v>86</v>
      </c>
      <c r="F184" s="4">
        <v>91.48</v>
      </c>
      <c r="G184" s="4">
        <v>90.88000000000001</v>
      </c>
      <c r="H184" s="4">
        <v>0.63076672920079646</v>
      </c>
    </row>
    <row r="185" spans="1:8" x14ac:dyDescent="0.35">
      <c r="A185" t="s">
        <v>269</v>
      </c>
      <c r="B185" t="s">
        <v>67</v>
      </c>
      <c r="C185">
        <v>4406</v>
      </c>
      <c r="D185">
        <v>0</v>
      </c>
      <c r="E185">
        <v>20</v>
      </c>
      <c r="F185" s="2">
        <v>90.56</v>
      </c>
      <c r="G185" s="2"/>
      <c r="H185" s="2"/>
    </row>
    <row r="186" spans="1:8" x14ac:dyDescent="0.35">
      <c r="B186" t="s">
        <v>270</v>
      </c>
      <c r="C186">
        <v>2048</v>
      </c>
      <c r="D186">
        <v>0</v>
      </c>
      <c r="E186">
        <v>5</v>
      </c>
      <c r="F186" s="2">
        <v>88.04</v>
      </c>
      <c r="G186" s="2"/>
      <c r="H186" s="2"/>
    </row>
    <row r="187" spans="1:8" x14ac:dyDescent="0.35">
      <c r="B187" t="s">
        <v>271</v>
      </c>
      <c r="C187">
        <v>759</v>
      </c>
      <c r="D187">
        <v>0</v>
      </c>
      <c r="E187">
        <v>25</v>
      </c>
      <c r="F187" s="2">
        <v>92.64</v>
      </c>
      <c r="G187" s="2"/>
      <c r="H187" s="2"/>
    </row>
    <row r="188" spans="1:8" x14ac:dyDescent="0.35">
      <c r="B188" t="s">
        <v>272</v>
      </c>
      <c r="C188">
        <v>732</v>
      </c>
      <c r="D188">
        <v>0</v>
      </c>
      <c r="E188">
        <v>22</v>
      </c>
      <c r="F188" s="2">
        <v>90.24</v>
      </c>
      <c r="G188" s="2"/>
      <c r="H188" s="2"/>
    </row>
    <row r="189" spans="1:8" x14ac:dyDescent="0.35">
      <c r="B189" t="s">
        <v>273</v>
      </c>
      <c r="C189">
        <v>33.5</v>
      </c>
      <c r="D189">
        <v>0</v>
      </c>
      <c r="E189">
        <v>6</v>
      </c>
      <c r="F189" s="2">
        <v>88.904761904761898</v>
      </c>
      <c r="G189" s="2"/>
      <c r="H189" s="2"/>
    </row>
    <row r="190" spans="1:8" x14ac:dyDescent="0.35">
      <c r="B190" t="s">
        <v>274</v>
      </c>
      <c r="C190">
        <v>59</v>
      </c>
      <c r="D190">
        <v>0</v>
      </c>
      <c r="E190">
        <v>11</v>
      </c>
      <c r="F190" s="2">
        <v>89.9375</v>
      </c>
      <c r="G190" s="2"/>
      <c r="H190" s="2"/>
    </row>
    <row r="191" spans="1:8" x14ac:dyDescent="0.35">
      <c r="A191" s="3" t="s">
        <v>67</v>
      </c>
      <c r="B191" s="3"/>
      <c r="C191" s="3"/>
      <c r="D191" s="3">
        <v>0</v>
      </c>
      <c r="E191" s="3">
        <v>89</v>
      </c>
      <c r="F191" s="4">
        <v>92.64</v>
      </c>
      <c r="G191" s="4">
        <v>90.053710317460329</v>
      </c>
      <c r="H191" s="4">
        <v>1.5728028449904734</v>
      </c>
    </row>
    <row r="192" spans="1:8" x14ac:dyDescent="0.35">
      <c r="A192" t="s">
        <v>275</v>
      </c>
      <c r="B192" t="s">
        <v>276</v>
      </c>
      <c r="C192">
        <v>600</v>
      </c>
      <c r="D192">
        <v>0</v>
      </c>
      <c r="E192">
        <v>6</v>
      </c>
      <c r="F192" s="2">
        <v>88.857142857142861</v>
      </c>
      <c r="G192" s="2"/>
      <c r="H192" s="2"/>
    </row>
    <row r="193" spans="2:8" x14ac:dyDescent="0.35">
      <c r="B193" t="s">
        <v>278</v>
      </c>
      <c r="C193">
        <v>871</v>
      </c>
      <c r="D193">
        <v>0</v>
      </c>
      <c r="E193">
        <v>23</v>
      </c>
      <c r="F193" s="2">
        <v>90.52</v>
      </c>
      <c r="G193" s="2"/>
      <c r="H193" s="2"/>
    </row>
    <row r="194" spans="2:8" x14ac:dyDescent="0.35">
      <c r="B194" t="s">
        <v>279</v>
      </c>
      <c r="C194">
        <v>3116</v>
      </c>
      <c r="D194">
        <v>44</v>
      </c>
      <c r="E194">
        <v>25</v>
      </c>
      <c r="F194" s="2">
        <v>95.16</v>
      </c>
      <c r="G194" s="2"/>
      <c r="H194" s="2"/>
    </row>
    <row r="195" spans="2:8" x14ac:dyDescent="0.35">
      <c r="B195" t="s">
        <v>280</v>
      </c>
      <c r="C195">
        <v>4500</v>
      </c>
      <c r="D195">
        <v>0</v>
      </c>
      <c r="E195">
        <v>9</v>
      </c>
      <c r="F195" s="2">
        <v>89.12</v>
      </c>
      <c r="G195" s="2"/>
      <c r="H195" s="2"/>
    </row>
    <row r="196" spans="2:8" x14ac:dyDescent="0.35">
      <c r="B196" t="s">
        <v>282</v>
      </c>
      <c r="C196">
        <v>28400</v>
      </c>
      <c r="D196">
        <v>0</v>
      </c>
      <c r="E196">
        <v>24</v>
      </c>
      <c r="F196" s="2">
        <v>91.16</v>
      </c>
      <c r="G196" s="2"/>
      <c r="H196" s="2"/>
    </row>
    <row r="197" spans="2:8" x14ac:dyDescent="0.35">
      <c r="B197" t="s">
        <v>283</v>
      </c>
      <c r="C197">
        <v>25</v>
      </c>
      <c r="D197">
        <v>0</v>
      </c>
      <c r="E197">
        <v>11</v>
      </c>
      <c r="F197" s="2">
        <v>89.86666666666666</v>
      </c>
      <c r="G197" s="2"/>
      <c r="H197" s="2"/>
    </row>
    <row r="198" spans="2:8" x14ac:dyDescent="0.35">
      <c r="B198" t="s">
        <v>285</v>
      </c>
      <c r="C198">
        <v>8007</v>
      </c>
      <c r="D198">
        <v>0</v>
      </c>
      <c r="E198">
        <v>18</v>
      </c>
      <c r="F198" s="2">
        <v>90.32</v>
      </c>
      <c r="G198" s="2"/>
      <c r="H198" s="2"/>
    </row>
    <row r="199" spans="2:8" x14ac:dyDescent="0.35">
      <c r="B199" t="s">
        <v>286</v>
      </c>
      <c r="C199">
        <v>2290</v>
      </c>
      <c r="D199">
        <v>0</v>
      </c>
      <c r="E199">
        <v>2</v>
      </c>
      <c r="F199" s="2">
        <v>87.222222222222229</v>
      </c>
      <c r="G199" s="2"/>
      <c r="H199" s="2"/>
    </row>
    <row r="200" spans="2:8" x14ac:dyDescent="0.35">
      <c r="B200" t="s">
        <v>288</v>
      </c>
      <c r="C200">
        <v>185</v>
      </c>
      <c r="D200">
        <v>0</v>
      </c>
      <c r="E200">
        <v>2</v>
      </c>
      <c r="F200" s="2">
        <v>88.625</v>
      </c>
      <c r="G200" s="2"/>
      <c r="H200" s="2"/>
    </row>
    <row r="201" spans="2:8" x14ac:dyDescent="0.35">
      <c r="B201" t="s">
        <v>289</v>
      </c>
      <c r="C201">
        <v>1205</v>
      </c>
      <c r="D201">
        <v>2</v>
      </c>
      <c r="E201">
        <v>25</v>
      </c>
      <c r="F201" s="2">
        <v>93.08</v>
      </c>
      <c r="G201" s="2"/>
      <c r="H201" s="2"/>
    </row>
    <row r="202" spans="2:8" x14ac:dyDescent="0.35">
      <c r="B202" t="s">
        <v>290</v>
      </c>
      <c r="C202">
        <v>1800</v>
      </c>
      <c r="D202">
        <v>0</v>
      </c>
      <c r="E202">
        <v>0</v>
      </c>
      <c r="F202" s="2">
        <v>87.4</v>
      </c>
      <c r="G202" s="2"/>
      <c r="H202" s="2"/>
    </row>
    <row r="203" spans="2:8" x14ac:dyDescent="0.35">
      <c r="B203" t="s">
        <v>291</v>
      </c>
      <c r="C203">
        <v>590</v>
      </c>
      <c r="D203">
        <v>0</v>
      </c>
      <c r="E203">
        <v>0</v>
      </c>
      <c r="F203" s="2">
        <v>88.333333333333329</v>
      </c>
      <c r="G203" s="2"/>
      <c r="H203" s="2"/>
    </row>
    <row r="204" spans="2:8" x14ac:dyDescent="0.35">
      <c r="B204" t="s">
        <v>292</v>
      </c>
      <c r="C204">
        <v>12</v>
      </c>
      <c r="D204">
        <v>0</v>
      </c>
      <c r="E204">
        <v>14</v>
      </c>
      <c r="F204" s="2">
        <v>90.48</v>
      </c>
      <c r="G204" s="2"/>
      <c r="H204" s="2"/>
    </row>
    <row r="205" spans="2:8" x14ac:dyDescent="0.35">
      <c r="B205" t="s">
        <v>293</v>
      </c>
      <c r="C205">
        <v>3124</v>
      </c>
      <c r="D205">
        <v>0</v>
      </c>
      <c r="E205">
        <v>7</v>
      </c>
      <c r="F205" s="2">
        <v>85.46102217586396</v>
      </c>
      <c r="G205" s="2"/>
      <c r="H205" s="2"/>
    </row>
    <row r="206" spans="2:8" x14ac:dyDescent="0.35">
      <c r="B206" t="s">
        <v>294</v>
      </c>
      <c r="C206">
        <v>27</v>
      </c>
      <c r="D206">
        <v>0</v>
      </c>
      <c r="E206">
        <v>15</v>
      </c>
      <c r="F206" s="2">
        <v>86.152342398218963</v>
      </c>
      <c r="G206" s="2"/>
      <c r="H206" s="2"/>
    </row>
    <row r="207" spans="2:8" x14ac:dyDescent="0.35">
      <c r="B207" t="s">
        <v>295</v>
      </c>
      <c r="C207">
        <v>1400</v>
      </c>
      <c r="D207">
        <v>0</v>
      </c>
      <c r="E207">
        <v>18</v>
      </c>
      <c r="F207" s="2">
        <v>86.448685877378765</v>
      </c>
      <c r="G207" s="2"/>
      <c r="H207" s="2"/>
    </row>
    <row r="208" spans="2:8" x14ac:dyDescent="0.35">
      <c r="B208" t="s">
        <v>296</v>
      </c>
      <c r="C208">
        <v>3946</v>
      </c>
      <c r="D208">
        <v>0</v>
      </c>
      <c r="E208">
        <v>16</v>
      </c>
      <c r="F208" s="2">
        <v>86.976324511941783</v>
      </c>
      <c r="G208" s="2"/>
      <c r="H208" s="2"/>
    </row>
    <row r="209" spans="1:8" x14ac:dyDescent="0.35">
      <c r="A209" s="1"/>
      <c r="B209" s="1" t="s">
        <v>297</v>
      </c>
      <c r="C209" s="1">
        <v>935</v>
      </c>
      <c r="D209" s="1">
        <v>0</v>
      </c>
      <c r="E209" s="1">
        <v>15</v>
      </c>
      <c r="F209" s="10">
        <v>86.38297796568294</v>
      </c>
      <c r="G209" s="2"/>
      <c r="H209" s="2"/>
    </row>
    <row r="210" spans="1:8" x14ac:dyDescent="0.35">
      <c r="A210" s="8" t="s">
        <v>60</v>
      </c>
      <c r="B210" s="8"/>
      <c r="C210" s="8"/>
      <c r="D210" s="8">
        <v>46</v>
      </c>
      <c r="E210" s="8">
        <v>230</v>
      </c>
      <c r="F210" s="9">
        <v>95.16</v>
      </c>
      <c r="G210" s="4">
        <v>88.975873222691746</v>
      </c>
      <c r="H210" s="4">
        <v>2.5514539469641888</v>
      </c>
    </row>
    <row r="211" spans="1:8" x14ac:dyDescent="0.35">
      <c r="A211" t="s">
        <v>298</v>
      </c>
      <c r="B211" t="s">
        <v>299</v>
      </c>
      <c r="C211">
        <v>3</v>
      </c>
      <c r="D211">
        <v>0</v>
      </c>
      <c r="E211">
        <v>1</v>
      </c>
      <c r="F211" s="2">
        <v>95</v>
      </c>
      <c r="G211" s="2"/>
      <c r="H211" s="2"/>
    </row>
    <row r="212" spans="1:8" x14ac:dyDescent="0.35">
      <c r="B212" t="s">
        <v>300</v>
      </c>
      <c r="C212">
        <v>209</v>
      </c>
      <c r="D212">
        <v>1</v>
      </c>
      <c r="E212">
        <v>25</v>
      </c>
      <c r="F212" s="2">
        <v>92.8</v>
      </c>
      <c r="G212" s="2"/>
      <c r="H212" s="2"/>
    </row>
    <row r="213" spans="1:8" x14ac:dyDescent="0.35">
      <c r="B213" t="s">
        <v>301</v>
      </c>
      <c r="C213">
        <v>130</v>
      </c>
      <c r="D213">
        <v>1</v>
      </c>
      <c r="E213">
        <v>25</v>
      </c>
      <c r="F213" s="2">
        <v>93.44</v>
      </c>
      <c r="G213" s="2"/>
      <c r="H213" s="2"/>
    </row>
    <row r="214" spans="1:8" x14ac:dyDescent="0.35">
      <c r="B214" t="s">
        <v>302</v>
      </c>
      <c r="C214">
        <v>264</v>
      </c>
      <c r="D214">
        <v>36</v>
      </c>
      <c r="E214">
        <v>25</v>
      </c>
      <c r="F214" s="2">
        <v>94.72</v>
      </c>
      <c r="G214" s="2"/>
      <c r="H214" s="2"/>
    </row>
    <row r="215" spans="1:8" x14ac:dyDescent="0.35">
      <c r="B215" t="s">
        <v>303</v>
      </c>
      <c r="C215">
        <v>2008</v>
      </c>
      <c r="D215">
        <v>0</v>
      </c>
      <c r="E215">
        <v>24</v>
      </c>
      <c r="F215" s="2">
        <v>91.08</v>
      </c>
      <c r="G215" s="2"/>
      <c r="H215" s="2"/>
    </row>
    <row r="216" spans="1:8" x14ac:dyDescent="0.35">
      <c r="B216" t="s">
        <v>304</v>
      </c>
      <c r="C216">
        <v>135</v>
      </c>
      <c r="D216">
        <v>58</v>
      </c>
      <c r="E216">
        <v>25</v>
      </c>
      <c r="F216" s="2">
        <v>94.96</v>
      </c>
      <c r="G216" s="2"/>
      <c r="H216" s="2"/>
    </row>
    <row r="217" spans="1:8" x14ac:dyDescent="0.35">
      <c r="B217" t="s">
        <v>305</v>
      </c>
      <c r="C217">
        <v>1374</v>
      </c>
      <c r="D217">
        <v>0</v>
      </c>
      <c r="E217">
        <v>25</v>
      </c>
      <c r="F217" s="2">
        <v>88.805583197125017</v>
      </c>
      <c r="G217" s="2"/>
      <c r="H217" s="2"/>
    </row>
    <row r="218" spans="1:8" x14ac:dyDescent="0.35">
      <c r="B218" t="s">
        <v>306</v>
      </c>
      <c r="C218">
        <v>117</v>
      </c>
      <c r="D218">
        <v>0</v>
      </c>
      <c r="E218">
        <v>20</v>
      </c>
      <c r="F218" s="2">
        <v>87.315384615384602</v>
      </c>
      <c r="G218" s="2"/>
      <c r="H218" s="2"/>
    </row>
    <row r="219" spans="1:8" x14ac:dyDescent="0.35">
      <c r="A219" s="3" t="s">
        <v>71</v>
      </c>
      <c r="B219" s="3"/>
      <c r="C219" s="3"/>
      <c r="D219" s="3">
        <v>96</v>
      </c>
      <c r="E219" s="3">
        <v>170</v>
      </c>
      <c r="F219" s="3">
        <v>95</v>
      </c>
      <c r="G219" s="4">
        <v>92.265120976563693</v>
      </c>
      <c r="H219" s="4">
        <v>2.9351954657362995</v>
      </c>
    </row>
    <row r="220" spans="1:8" x14ac:dyDescent="0.35">
      <c r="A220" t="s">
        <v>47</v>
      </c>
      <c r="B220" t="s">
        <v>307</v>
      </c>
      <c r="C220">
        <v>380</v>
      </c>
      <c r="D220">
        <v>0</v>
      </c>
      <c r="E220">
        <v>4</v>
      </c>
      <c r="F220" s="2">
        <v>89.875</v>
      </c>
      <c r="G220" s="2"/>
      <c r="H220" s="2"/>
    </row>
    <row r="221" spans="1:8" x14ac:dyDescent="0.35">
      <c r="B221" t="s">
        <v>309</v>
      </c>
      <c r="C221">
        <v>1000</v>
      </c>
      <c r="D221">
        <v>1</v>
      </c>
      <c r="E221">
        <v>6</v>
      </c>
      <c r="F221" s="2">
        <v>88.52</v>
      </c>
      <c r="G221" s="2"/>
      <c r="H221" s="2"/>
    </row>
    <row r="222" spans="1:8" x14ac:dyDescent="0.35">
      <c r="B222" t="s">
        <v>310</v>
      </c>
      <c r="C222">
        <v>625</v>
      </c>
      <c r="D222">
        <v>0</v>
      </c>
      <c r="E222">
        <v>17</v>
      </c>
      <c r="F222" s="2">
        <v>90.2</v>
      </c>
      <c r="G222" s="2"/>
      <c r="H222" s="2"/>
    </row>
    <row r="223" spans="1:8" x14ac:dyDescent="0.35">
      <c r="B223" t="s">
        <v>312</v>
      </c>
      <c r="C223">
        <v>22</v>
      </c>
      <c r="D223">
        <v>0</v>
      </c>
      <c r="E223">
        <v>0</v>
      </c>
      <c r="F223" s="2">
        <v>87.75</v>
      </c>
      <c r="G223" s="2"/>
      <c r="H223" s="2"/>
    </row>
    <row r="224" spans="1:8" x14ac:dyDescent="0.35">
      <c r="B224" t="s">
        <v>313</v>
      </c>
      <c r="C224">
        <v>595</v>
      </c>
      <c r="D224">
        <v>0</v>
      </c>
      <c r="E224">
        <v>6</v>
      </c>
      <c r="F224" s="2">
        <v>89.333333333333329</v>
      </c>
      <c r="G224" s="2"/>
      <c r="H224" s="2"/>
    </row>
    <row r="225" spans="1:8" x14ac:dyDescent="0.35">
      <c r="B225" t="s">
        <v>314</v>
      </c>
      <c r="C225">
        <v>850</v>
      </c>
      <c r="D225">
        <v>0</v>
      </c>
      <c r="E225">
        <v>8</v>
      </c>
      <c r="F225" s="2">
        <v>90.15384615384616</v>
      </c>
      <c r="G225" s="2"/>
      <c r="H225" s="2"/>
    </row>
    <row r="226" spans="1:8" x14ac:dyDescent="0.35">
      <c r="B226" t="s">
        <v>315</v>
      </c>
      <c r="C226">
        <v>4530</v>
      </c>
      <c r="D226">
        <v>0</v>
      </c>
      <c r="E226">
        <v>19</v>
      </c>
      <c r="F226" s="2">
        <v>90.48</v>
      </c>
      <c r="G226" s="2"/>
      <c r="H226" s="2"/>
    </row>
    <row r="227" spans="1:8" x14ac:dyDescent="0.35">
      <c r="B227" t="s">
        <v>316</v>
      </c>
      <c r="C227">
        <v>1400</v>
      </c>
      <c r="D227">
        <v>0</v>
      </c>
      <c r="E227">
        <v>1</v>
      </c>
      <c r="F227" s="2">
        <v>88.16</v>
      </c>
      <c r="G227" s="2"/>
      <c r="H227" s="2"/>
    </row>
    <row r="228" spans="1:8" x14ac:dyDescent="0.35">
      <c r="B228" t="s">
        <v>317</v>
      </c>
      <c r="C228">
        <v>150</v>
      </c>
      <c r="D228">
        <v>0</v>
      </c>
      <c r="E228">
        <v>1</v>
      </c>
      <c r="F228" s="2">
        <v>88</v>
      </c>
      <c r="G228" s="2"/>
      <c r="H228" s="2"/>
    </row>
    <row r="229" spans="1:8" x14ac:dyDescent="0.35">
      <c r="B229" t="s">
        <v>318</v>
      </c>
      <c r="C229">
        <v>15</v>
      </c>
      <c r="D229">
        <v>0</v>
      </c>
      <c r="E229">
        <v>9</v>
      </c>
      <c r="F229" s="2">
        <v>91.272727272727266</v>
      </c>
      <c r="G229" s="2"/>
      <c r="H229" s="2"/>
    </row>
    <row r="230" spans="1:8" x14ac:dyDescent="0.35">
      <c r="B230" t="s">
        <v>319</v>
      </c>
      <c r="C230">
        <v>120</v>
      </c>
      <c r="D230">
        <v>0</v>
      </c>
      <c r="E230">
        <v>1</v>
      </c>
      <c r="F230" s="2">
        <v>87.75</v>
      </c>
      <c r="G230" s="2"/>
      <c r="H230" s="2"/>
    </row>
    <row r="231" spans="1:8" x14ac:dyDescent="0.35">
      <c r="B231" t="s">
        <v>320</v>
      </c>
      <c r="C231">
        <v>760</v>
      </c>
      <c r="D231">
        <v>0</v>
      </c>
      <c r="E231">
        <v>1</v>
      </c>
      <c r="F231" s="2">
        <v>87.6</v>
      </c>
      <c r="G231" s="2"/>
      <c r="H231" s="2"/>
    </row>
    <row r="232" spans="1:8" x14ac:dyDescent="0.35">
      <c r="B232" t="s">
        <v>321</v>
      </c>
      <c r="C232">
        <v>32</v>
      </c>
      <c r="D232">
        <v>0</v>
      </c>
      <c r="E232">
        <v>1</v>
      </c>
      <c r="F232" s="2">
        <v>88.5</v>
      </c>
      <c r="G232" s="2"/>
      <c r="H232" s="2"/>
    </row>
    <row r="233" spans="1:8" x14ac:dyDescent="0.35">
      <c r="B233" t="s">
        <v>322</v>
      </c>
      <c r="C233">
        <v>2000</v>
      </c>
      <c r="D233">
        <v>0</v>
      </c>
      <c r="E233">
        <v>24</v>
      </c>
      <c r="F233" s="11">
        <v>92.12</v>
      </c>
      <c r="G233" s="11"/>
      <c r="H233" s="11"/>
    </row>
    <row r="234" spans="1:8" x14ac:dyDescent="0.35">
      <c r="A234" s="3" t="s">
        <v>47</v>
      </c>
      <c r="B234" s="3"/>
      <c r="C234" s="3"/>
      <c r="D234" s="3">
        <v>1</v>
      </c>
      <c r="E234" s="3">
        <v>98</v>
      </c>
      <c r="F234" s="4">
        <v>92.12</v>
      </c>
      <c r="G234" s="4">
        <v>89.265350482850479</v>
      </c>
      <c r="H234" s="4">
        <v>1.4417786561042019</v>
      </c>
    </row>
    <row r="238" spans="1:8" x14ac:dyDescent="0.35">
      <c r="B238" t="s">
        <v>812</v>
      </c>
      <c r="C238" t="s">
        <v>813</v>
      </c>
    </row>
    <row r="239" spans="1:8" x14ac:dyDescent="0.35">
      <c r="A239" t="s">
        <v>70</v>
      </c>
      <c r="B239">
        <v>90.615999999999985</v>
      </c>
      <c r="C239">
        <v>1.11573792223403</v>
      </c>
    </row>
    <row r="240" spans="1:8" x14ac:dyDescent="0.35">
      <c r="A240" t="s">
        <v>78</v>
      </c>
      <c r="B240">
        <v>88.642856449106446</v>
      </c>
      <c r="C240">
        <v>1.0940428522509147</v>
      </c>
    </row>
    <row r="241" spans="1:3" x14ac:dyDescent="0.35">
      <c r="A241" t="s">
        <v>331</v>
      </c>
      <c r="B241">
        <v>90.472417453603512</v>
      </c>
      <c r="C241">
        <v>2.7735735584863375</v>
      </c>
    </row>
    <row r="242" spans="1:3" x14ac:dyDescent="0.35">
      <c r="A242" t="s">
        <v>75</v>
      </c>
      <c r="B242">
        <v>87.721111111111114</v>
      </c>
      <c r="C242">
        <v>1.8185946276597997</v>
      </c>
    </row>
    <row r="243" spans="1:3" x14ac:dyDescent="0.35">
      <c r="A243" t="s">
        <v>59</v>
      </c>
      <c r="B243">
        <v>90.035146103896111</v>
      </c>
      <c r="C243">
        <v>1.418823059726001</v>
      </c>
    </row>
    <row r="244" spans="1:3" x14ac:dyDescent="0.35">
      <c r="A244" t="s">
        <v>76</v>
      </c>
      <c r="B244">
        <v>91.226666666666674</v>
      </c>
      <c r="C244">
        <v>1.4098699703636932</v>
      </c>
    </row>
    <row r="245" spans="1:3" x14ac:dyDescent="0.35">
      <c r="A245" t="s">
        <v>80</v>
      </c>
      <c r="B245">
        <v>89.244444444444454</v>
      </c>
      <c r="C245">
        <v>2.8365341397427142</v>
      </c>
    </row>
    <row r="246" spans="1:3" x14ac:dyDescent="0.35">
      <c r="A246" t="s">
        <v>74</v>
      </c>
      <c r="B246">
        <v>91.984920634920627</v>
      </c>
      <c r="C246">
        <v>1.0351430572167302</v>
      </c>
    </row>
    <row r="247" spans="1:3" x14ac:dyDescent="0.35">
      <c r="A247" t="s">
        <v>172</v>
      </c>
      <c r="B247">
        <v>87.72</v>
      </c>
      <c r="C247">
        <v>0</v>
      </c>
    </row>
    <row r="248" spans="1:3" x14ac:dyDescent="0.35">
      <c r="A248" t="s">
        <v>330</v>
      </c>
      <c r="B248">
        <v>88.571764705882345</v>
      </c>
      <c r="C248">
        <v>1.0581645007873905</v>
      </c>
    </row>
    <row r="249" spans="1:3" x14ac:dyDescent="0.35">
      <c r="A249" t="s">
        <v>73</v>
      </c>
      <c r="B249">
        <v>91.872500000000002</v>
      </c>
      <c r="C249">
        <v>2.0033201607997366</v>
      </c>
    </row>
    <row r="250" spans="1:3" x14ac:dyDescent="0.35">
      <c r="A250" t="s">
        <v>54</v>
      </c>
      <c r="B250">
        <v>92.826666666666668</v>
      </c>
      <c r="C250">
        <v>2.9827057067926286</v>
      </c>
    </row>
    <row r="251" spans="1:3" x14ac:dyDescent="0.35">
      <c r="A251" t="s">
        <v>58</v>
      </c>
      <c r="B251">
        <v>90.794285714285706</v>
      </c>
      <c r="C251">
        <v>2.0407094938023995</v>
      </c>
    </row>
    <row r="252" spans="1:3" x14ac:dyDescent="0.35">
      <c r="A252" t="s">
        <v>65</v>
      </c>
      <c r="B252">
        <v>89.333044733044744</v>
      </c>
      <c r="C252">
        <v>1.2554235437523662</v>
      </c>
    </row>
    <row r="253" spans="1:3" x14ac:dyDescent="0.35">
      <c r="A253" t="s">
        <v>55</v>
      </c>
      <c r="B253">
        <v>95.12</v>
      </c>
      <c r="C253">
        <v>0</v>
      </c>
    </row>
    <row r="254" spans="1:3" x14ac:dyDescent="0.35">
      <c r="A254" t="s">
        <v>62</v>
      </c>
      <c r="B254">
        <v>95.68</v>
      </c>
      <c r="C254">
        <v>0</v>
      </c>
    </row>
    <row r="255" spans="1:3" x14ac:dyDescent="0.35">
      <c r="A255" t="s">
        <v>51</v>
      </c>
      <c r="B255">
        <v>91.16</v>
      </c>
      <c r="C255">
        <v>2.3174698847378039</v>
      </c>
    </row>
    <row r="256" spans="1:3" x14ac:dyDescent="0.35">
      <c r="A256" t="s">
        <v>205</v>
      </c>
      <c r="B256">
        <v>90.115111111111119</v>
      </c>
      <c r="C256">
        <v>1.2513404171152498</v>
      </c>
    </row>
    <row r="257" spans="1:3" x14ac:dyDescent="0.35">
      <c r="A257" t="s">
        <v>57</v>
      </c>
      <c r="B257">
        <v>90.922105263157903</v>
      </c>
      <c r="C257">
        <v>2.3923758041545438</v>
      </c>
    </row>
    <row r="258" spans="1:3" x14ac:dyDescent="0.35">
      <c r="A258" t="s">
        <v>69</v>
      </c>
      <c r="B258">
        <v>93.296000000000006</v>
      </c>
      <c r="C258">
        <v>2.2325431437911538</v>
      </c>
    </row>
    <row r="259" spans="1:3" x14ac:dyDescent="0.35">
      <c r="A259" t="s">
        <v>72</v>
      </c>
      <c r="B259">
        <v>89.340161030595823</v>
      </c>
      <c r="C259">
        <v>1.4712304197281412</v>
      </c>
    </row>
    <row r="260" spans="1:3" x14ac:dyDescent="0.35">
      <c r="A260" t="s">
        <v>254</v>
      </c>
      <c r="B260">
        <v>87.86666666666666</v>
      </c>
      <c r="C260">
        <v>0</v>
      </c>
    </row>
    <row r="261" spans="1:3" x14ac:dyDescent="0.35">
      <c r="A261" t="s">
        <v>81</v>
      </c>
      <c r="B261">
        <v>88.705120018058608</v>
      </c>
      <c r="C261">
        <v>1.1736806104474848</v>
      </c>
    </row>
    <row r="262" spans="1:3" x14ac:dyDescent="0.35">
      <c r="A262" t="s">
        <v>79</v>
      </c>
      <c r="B262">
        <v>90.88000000000001</v>
      </c>
      <c r="C262">
        <v>0.63076672920079646</v>
      </c>
    </row>
    <row r="263" spans="1:3" x14ac:dyDescent="0.35">
      <c r="A263" t="s">
        <v>67</v>
      </c>
      <c r="B263">
        <v>90.053710317460329</v>
      </c>
      <c r="C263">
        <v>1.5728028449904734</v>
      </c>
    </row>
    <row r="264" spans="1:3" x14ac:dyDescent="0.35">
      <c r="A264" t="s">
        <v>60</v>
      </c>
      <c r="B264">
        <v>88.975873222691746</v>
      </c>
      <c r="C264">
        <v>2.5514539469641888</v>
      </c>
    </row>
    <row r="265" spans="1:3" x14ac:dyDescent="0.35">
      <c r="A265" t="s">
        <v>71</v>
      </c>
      <c r="B265">
        <v>92.265120976563693</v>
      </c>
      <c r="C265">
        <v>2.9351954657362995</v>
      </c>
    </row>
    <row r="266" spans="1:3" x14ac:dyDescent="0.35">
      <c r="A266" t="s">
        <v>47</v>
      </c>
      <c r="B266">
        <v>89.265350482850479</v>
      </c>
      <c r="C266">
        <v>1.4417786561042019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19706-86DB-4E00-A8C0-214C47698E13}">
  <sheetPr codeName="Feuil3"/>
  <dimension ref="A3:R64"/>
  <sheetViews>
    <sheetView workbookViewId="0">
      <selection activeCell="G44" sqref="G44"/>
    </sheetView>
  </sheetViews>
  <sheetFormatPr baseColWidth="10" defaultRowHeight="14.5" x14ac:dyDescent="0.35"/>
  <cols>
    <col min="1" max="1" width="15.81640625" customWidth="1"/>
    <col min="2" max="2" width="14.1796875" customWidth="1"/>
    <col min="3" max="3" width="14.36328125" customWidth="1"/>
    <col min="4" max="4" width="18.26953125" customWidth="1"/>
    <col min="5" max="5" width="21.1796875" customWidth="1"/>
    <col min="7" max="7" width="19.7265625" customWidth="1"/>
    <col min="8" max="8" width="14.81640625" customWidth="1"/>
  </cols>
  <sheetData>
    <row r="3" spans="1:18" x14ac:dyDescent="0.35">
      <c r="A3" s="7" t="s">
        <v>499</v>
      </c>
    </row>
    <row r="4" spans="1:18" x14ac:dyDescent="0.35">
      <c r="A4" s="40"/>
      <c r="B4" s="1"/>
      <c r="C4" s="1" t="s">
        <v>425</v>
      </c>
      <c r="D4" s="40"/>
      <c r="E4" s="1"/>
      <c r="F4" s="1"/>
      <c r="G4" s="1"/>
      <c r="H4" s="1" t="s">
        <v>426</v>
      </c>
      <c r="I4" s="1"/>
      <c r="J4" s="40"/>
      <c r="K4" s="1"/>
      <c r="L4" s="1"/>
      <c r="M4" s="1"/>
      <c r="N4" s="1" t="s">
        <v>427</v>
      </c>
      <c r="O4" s="1"/>
      <c r="P4" s="1"/>
      <c r="Q4" s="1"/>
      <c r="R4" s="40"/>
    </row>
    <row r="5" spans="1:18" x14ac:dyDescent="0.35">
      <c r="A5" s="41"/>
      <c r="B5" s="42" t="s">
        <v>387</v>
      </c>
      <c r="C5" s="42" t="s">
        <v>393</v>
      </c>
      <c r="D5" s="43" t="s">
        <v>394</v>
      </c>
      <c r="E5" s="44" t="s">
        <v>424</v>
      </c>
      <c r="F5" s="44" t="s">
        <v>388</v>
      </c>
      <c r="G5" s="44" t="s">
        <v>389</v>
      </c>
      <c r="H5" s="44" t="s">
        <v>390</v>
      </c>
      <c r="I5" s="44" t="s">
        <v>391</v>
      </c>
      <c r="J5" s="45" t="s">
        <v>392</v>
      </c>
      <c r="K5" s="46" t="s">
        <v>395</v>
      </c>
      <c r="L5" s="46" t="s">
        <v>396</v>
      </c>
      <c r="M5" s="46" t="s">
        <v>397</v>
      </c>
      <c r="N5" s="46" t="s">
        <v>398</v>
      </c>
      <c r="O5" s="46" t="s">
        <v>399</v>
      </c>
      <c r="P5" s="46" t="s">
        <v>400</v>
      </c>
      <c r="Q5" s="46" t="s">
        <v>401</v>
      </c>
      <c r="R5" s="47" t="s">
        <v>402</v>
      </c>
    </row>
    <row r="6" spans="1:18" x14ac:dyDescent="0.35">
      <c r="A6" s="39" t="s">
        <v>70</v>
      </c>
      <c r="B6">
        <v>60</v>
      </c>
      <c r="C6">
        <v>41</v>
      </c>
      <c r="D6" s="39">
        <v>62</v>
      </c>
      <c r="E6">
        <v>0</v>
      </c>
      <c r="F6">
        <v>11</v>
      </c>
      <c r="G6">
        <v>12</v>
      </c>
      <c r="H6">
        <v>6</v>
      </c>
      <c r="I6">
        <v>23</v>
      </c>
      <c r="J6" s="39">
        <v>4</v>
      </c>
      <c r="K6">
        <v>14</v>
      </c>
      <c r="L6">
        <v>7</v>
      </c>
      <c r="M6">
        <v>9</v>
      </c>
      <c r="N6">
        <v>25</v>
      </c>
      <c r="O6">
        <v>17</v>
      </c>
      <c r="P6">
        <v>4</v>
      </c>
      <c r="Q6">
        <v>16</v>
      </c>
      <c r="R6" s="39">
        <v>7</v>
      </c>
    </row>
    <row r="7" spans="1:18" x14ac:dyDescent="0.35">
      <c r="A7" s="39" t="s">
        <v>78</v>
      </c>
      <c r="B7">
        <v>32</v>
      </c>
      <c r="C7">
        <v>29</v>
      </c>
      <c r="D7" s="39">
        <v>32</v>
      </c>
      <c r="E7">
        <v>0</v>
      </c>
      <c r="F7">
        <v>1</v>
      </c>
      <c r="G7">
        <v>6</v>
      </c>
      <c r="H7">
        <v>2</v>
      </c>
      <c r="I7">
        <v>9</v>
      </c>
      <c r="J7" s="39">
        <v>1</v>
      </c>
      <c r="K7">
        <v>2</v>
      </c>
      <c r="L7">
        <v>2</v>
      </c>
      <c r="M7">
        <v>2</v>
      </c>
      <c r="N7">
        <v>7</v>
      </c>
      <c r="O7">
        <v>4</v>
      </c>
      <c r="P7">
        <v>1</v>
      </c>
      <c r="Q7">
        <v>9</v>
      </c>
      <c r="R7" s="39">
        <v>4</v>
      </c>
    </row>
    <row r="8" spans="1:18" x14ac:dyDescent="0.35">
      <c r="A8" s="39" t="s">
        <v>77</v>
      </c>
      <c r="B8">
        <v>28</v>
      </c>
      <c r="C8">
        <v>23</v>
      </c>
      <c r="D8" s="39">
        <v>30</v>
      </c>
      <c r="E8">
        <v>0</v>
      </c>
      <c r="F8">
        <v>6</v>
      </c>
      <c r="G8">
        <v>15</v>
      </c>
      <c r="H8">
        <v>2</v>
      </c>
      <c r="I8">
        <v>13</v>
      </c>
      <c r="J8" s="39">
        <v>3</v>
      </c>
      <c r="K8">
        <v>7</v>
      </c>
      <c r="L8">
        <v>12</v>
      </c>
      <c r="M8">
        <v>7</v>
      </c>
      <c r="N8">
        <v>14</v>
      </c>
      <c r="O8">
        <v>1</v>
      </c>
      <c r="P8">
        <v>0</v>
      </c>
      <c r="Q8">
        <v>13</v>
      </c>
      <c r="R8" s="39">
        <v>2</v>
      </c>
    </row>
    <row r="9" spans="1:18" x14ac:dyDescent="0.35">
      <c r="A9" s="39" t="s">
        <v>75</v>
      </c>
      <c r="B9">
        <v>3</v>
      </c>
      <c r="C9">
        <v>3</v>
      </c>
      <c r="D9" s="39">
        <v>3</v>
      </c>
      <c r="E9">
        <v>0</v>
      </c>
      <c r="F9">
        <v>1</v>
      </c>
      <c r="G9">
        <v>2</v>
      </c>
      <c r="H9">
        <v>1</v>
      </c>
      <c r="I9">
        <v>2</v>
      </c>
      <c r="J9" s="39">
        <v>1</v>
      </c>
      <c r="K9">
        <v>2</v>
      </c>
      <c r="L9">
        <v>2</v>
      </c>
      <c r="M9">
        <v>2</v>
      </c>
      <c r="N9">
        <v>1</v>
      </c>
      <c r="O9">
        <v>1</v>
      </c>
      <c r="P9">
        <v>0</v>
      </c>
      <c r="Q9">
        <v>1</v>
      </c>
      <c r="R9" s="39">
        <v>0</v>
      </c>
    </row>
    <row r="10" spans="1:18" x14ac:dyDescent="0.35">
      <c r="A10" s="39" t="s">
        <v>59</v>
      </c>
      <c r="B10">
        <v>18</v>
      </c>
      <c r="C10">
        <v>14</v>
      </c>
      <c r="D10" s="39">
        <v>18</v>
      </c>
      <c r="E10">
        <v>0</v>
      </c>
      <c r="F10">
        <v>4</v>
      </c>
      <c r="G10">
        <v>4</v>
      </c>
      <c r="H10">
        <v>2</v>
      </c>
      <c r="I10">
        <v>7</v>
      </c>
      <c r="J10" s="39">
        <v>1</v>
      </c>
      <c r="K10">
        <v>8</v>
      </c>
      <c r="L10">
        <v>6</v>
      </c>
      <c r="M10">
        <v>6</v>
      </c>
      <c r="N10">
        <v>11</v>
      </c>
      <c r="O10">
        <v>2</v>
      </c>
      <c r="P10">
        <v>0</v>
      </c>
      <c r="Q10">
        <v>10</v>
      </c>
      <c r="R10" s="39">
        <v>1</v>
      </c>
    </row>
    <row r="11" spans="1:18" x14ac:dyDescent="0.35">
      <c r="A11" s="39" t="s">
        <v>76</v>
      </c>
      <c r="B11">
        <v>22</v>
      </c>
      <c r="C11">
        <v>17</v>
      </c>
      <c r="D11" s="39">
        <v>22</v>
      </c>
      <c r="E11">
        <v>0</v>
      </c>
      <c r="F11">
        <v>3</v>
      </c>
      <c r="G11">
        <v>6</v>
      </c>
      <c r="H11">
        <v>3</v>
      </c>
      <c r="I11">
        <v>4</v>
      </c>
      <c r="J11" s="39">
        <v>0</v>
      </c>
      <c r="K11">
        <v>11</v>
      </c>
      <c r="L11">
        <v>5</v>
      </c>
      <c r="M11">
        <v>1</v>
      </c>
      <c r="N11">
        <v>14</v>
      </c>
      <c r="O11">
        <v>0</v>
      </c>
      <c r="P11">
        <v>0</v>
      </c>
      <c r="Q11">
        <v>14</v>
      </c>
      <c r="R11" s="39">
        <v>0</v>
      </c>
    </row>
    <row r="12" spans="1:18" x14ac:dyDescent="0.35">
      <c r="A12" s="39" t="s">
        <v>80</v>
      </c>
      <c r="B12">
        <v>7</v>
      </c>
      <c r="C12">
        <v>5</v>
      </c>
      <c r="D12" s="39">
        <v>5</v>
      </c>
      <c r="E12">
        <v>0</v>
      </c>
      <c r="F12">
        <v>1</v>
      </c>
      <c r="G12">
        <v>4</v>
      </c>
      <c r="H12">
        <v>3</v>
      </c>
      <c r="I12">
        <v>4</v>
      </c>
      <c r="J12" s="39">
        <v>0</v>
      </c>
      <c r="K12">
        <v>2</v>
      </c>
      <c r="L12">
        <v>2</v>
      </c>
      <c r="M12">
        <v>0</v>
      </c>
      <c r="N12">
        <v>1</v>
      </c>
      <c r="O12">
        <v>1</v>
      </c>
      <c r="P12">
        <v>0</v>
      </c>
      <c r="Q12">
        <v>2</v>
      </c>
      <c r="R12" s="39">
        <v>1</v>
      </c>
    </row>
    <row r="13" spans="1:18" x14ac:dyDescent="0.35">
      <c r="A13" s="39" t="s">
        <v>74</v>
      </c>
      <c r="B13">
        <v>19</v>
      </c>
      <c r="C13">
        <v>17</v>
      </c>
      <c r="D13" s="39">
        <v>19</v>
      </c>
      <c r="E13">
        <v>0</v>
      </c>
      <c r="F13">
        <v>4</v>
      </c>
      <c r="G13">
        <v>3</v>
      </c>
      <c r="H13">
        <v>0</v>
      </c>
      <c r="I13">
        <v>2</v>
      </c>
      <c r="J13" s="39">
        <v>2</v>
      </c>
      <c r="K13">
        <v>1</v>
      </c>
      <c r="L13">
        <v>0</v>
      </c>
      <c r="M13">
        <v>0</v>
      </c>
      <c r="N13">
        <v>0</v>
      </c>
      <c r="O13">
        <v>2</v>
      </c>
      <c r="P13">
        <v>0</v>
      </c>
      <c r="Q13">
        <v>1</v>
      </c>
      <c r="R13" s="39">
        <v>0</v>
      </c>
    </row>
    <row r="14" spans="1:18" x14ac:dyDescent="0.35">
      <c r="A14" s="39" t="s">
        <v>415</v>
      </c>
      <c r="B14">
        <v>5</v>
      </c>
      <c r="C14">
        <v>3</v>
      </c>
      <c r="D14" s="39">
        <v>8</v>
      </c>
      <c r="E14">
        <v>0</v>
      </c>
      <c r="F14">
        <v>0</v>
      </c>
      <c r="G14">
        <v>2</v>
      </c>
      <c r="H14">
        <v>1</v>
      </c>
      <c r="I14">
        <v>2</v>
      </c>
      <c r="J14" s="39">
        <v>0</v>
      </c>
      <c r="K14">
        <v>2</v>
      </c>
      <c r="L14">
        <v>3</v>
      </c>
      <c r="M14">
        <v>2</v>
      </c>
      <c r="N14">
        <v>2</v>
      </c>
      <c r="O14">
        <v>0</v>
      </c>
      <c r="P14">
        <v>0</v>
      </c>
      <c r="Q14">
        <v>2</v>
      </c>
      <c r="R14" s="39">
        <v>0</v>
      </c>
    </row>
    <row r="15" spans="1:18" x14ac:dyDescent="0.35">
      <c r="A15" s="39" t="s">
        <v>416</v>
      </c>
      <c r="B15">
        <v>7</v>
      </c>
      <c r="C15">
        <v>7</v>
      </c>
      <c r="D15" s="39">
        <v>7</v>
      </c>
      <c r="E15">
        <v>0</v>
      </c>
      <c r="F15">
        <v>0</v>
      </c>
      <c r="G15">
        <v>3</v>
      </c>
      <c r="H15">
        <v>1</v>
      </c>
      <c r="I15">
        <v>1</v>
      </c>
      <c r="J15" s="39">
        <v>0</v>
      </c>
      <c r="K15">
        <v>3</v>
      </c>
      <c r="L15">
        <v>1</v>
      </c>
      <c r="M15">
        <v>4</v>
      </c>
      <c r="N15">
        <v>4</v>
      </c>
      <c r="O15">
        <v>2</v>
      </c>
      <c r="P15">
        <v>0</v>
      </c>
      <c r="Q15">
        <v>2</v>
      </c>
      <c r="R15" s="39">
        <v>0</v>
      </c>
    </row>
    <row r="16" spans="1:18" x14ac:dyDescent="0.35">
      <c r="A16" s="39" t="s">
        <v>417</v>
      </c>
      <c r="B16">
        <v>32</v>
      </c>
      <c r="C16">
        <v>27</v>
      </c>
      <c r="D16" s="39">
        <v>43</v>
      </c>
      <c r="E16">
        <v>2</v>
      </c>
      <c r="F16">
        <v>3</v>
      </c>
      <c r="G16">
        <v>17</v>
      </c>
      <c r="H16">
        <v>9</v>
      </c>
      <c r="I16">
        <v>4</v>
      </c>
      <c r="J16" s="39">
        <v>2</v>
      </c>
      <c r="K16">
        <v>4</v>
      </c>
      <c r="L16">
        <v>13</v>
      </c>
      <c r="M16">
        <v>3</v>
      </c>
      <c r="N16">
        <v>12</v>
      </c>
      <c r="O16">
        <v>8</v>
      </c>
      <c r="P16">
        <v>3</v>
      </c>
      <c r="Q16">
        <v>16</v>
      </c>
      <c r="R16" s="39">
        <v>9</v>
      </c>
    </row>
    <row r="17" spans="1:18" x14ac:dyDescent="0.35">
      <c r="A17" s="39" t="s">
        <v>54</v>
      </c>
      <c r="B17">
        <v>25</v>
      </c>
      <c r="C17">
        <v>21</v>
      </c>
      <c r="D17" s="39">
        <v>36</v>
      </c>
      <c r="E17">
        <v>0</v>
      </c>
      <c r="F17">
        <v>3</v>
      </c>
      <c r="G17">
        <v>14</v>
      </c>
      <c r="H17">
        <v>5</v>
      </c>
      <c r="I17">
        <v>3</v>
      </c>
      <c r="J17" s="39">
        <v>3</v>
      </c>
      <c r="K17">
        <v>5</v>
      </c>
      <c r="L17">
        <v>4</v>
      </c>
      <c r="M17">
        <v>7</v>
      </c>
      <c r="N17">
        <v>10</v>
      </c>
      <c r="O17">
        <v>5</v>
      </c>
      <c r="P17">
        <v>1</v>
      </c>
      <c r="Q17">
        <v>12</v>
      </c>
      <c r="R17" s="39">
        <v>6</v>
      </c>
    </row>
    <row r="18" spans="1:18" x14ac:dyDescent="0.35">
      <c r="A18" s="39" t="s">
        <v>418</v>
      </c>
      <c r="B18">
        <v>43</v>
      </c>
      <c r="C18">
        <v>35</v>
      </c>
      <c r="D18" s="39">
        <v>77</v>
      </c>
      <c r="E18">
        <v>1</v>
      </c>
      <c r="F18">
        <v>6</v>
      </c>
      <c r="G18">
        <v>29</v>
      </c>
      <c r="H18">
        <v>16</v>
      </c>
      <c r="I18">
        <v>5</v>
      </c>
      <c r="J18" s="39">
        <v>2</v>
      </c>
      <c r="K18">
        <v>12</v>
      </c>
      <c r="L18">
        <v>18</v>
      </c>
      <c r="M18">
        <v>12</v>
      </c>
      <c r="N18">
        <v>12</v>
      </c>
      <c r="O18">
        <v>6</v>
      </c>
      <c r="P18">
        <v>3</v>
      </c>
      <c r="Q18">
        <v>27</v>
      </c>
      <c r="R18" s="39">
        <v>7</v>
      </c>
    </row>
    <row r="19" spans="1:18" x14ac:dyDescent="0.35">
      <c r="A19" s="39" t="s">
        <v>65</v>
      </c>
      <c r="B19">
        <v>81</v>
      </c>
      <c r="C19">
        <v>65</v>
      </c>
      <c r="D19" s="39">
        <v>86</v>
      </c>
      <c r="E19">
        <v>6</v>
      </c>
      <c r="F19">
        <v>14</v>
      </c>
      <c r="G19">
        <v>25</v>
      </c>
      <c r="H19">
        <v>17</v>
      </c>
      <c r="I19">
        <v>35</v>
      </c>
      <c r="J19" s="39">
        <v>10</v>
      </c>
      <c r="K19">
        <v>6</v>
      </c>
      <c r="L19">
        <v>15</v>
      </c>
      <c r="M19">
        <v>15</v>
      </c>
      <c r="N19">
        <v>36</v>
      </c>
      <c r="O19">
        <v>22</v>
      </c>
      <c r="P19">
        <v>7</v>
      </c>
      <c r="Q19">
        <v>45</v>
      </c>
      <c r="R19" s="39">
        <v>21</v>
      </c>
    </row>
    <row r="20" spans="1:18" x14ac:dyDescent="0.35">
      <c r="A20" s="39" t="s">
        <v>55</v>
      </c>
      <c r="B20">
        <v>84</v>
      </c>
      <c r="C20">
        <v>56</v>
      </c>
      <c r="D20" s="39">
        <v>125</v>
      </c>
      <c r="E20">
        <v>0</v>
      </c>
      <c r="F20">
        <v>8</v>
      </c>
      <c r="G20">
        <v>25</v>
      </c>
      <c r="H20">
        <v>1</v>
      </c>
      <c r="I20">
        <v>23</v>
      </c>
      <c r="J20" s="39">
        <v>6</v>
      </c>
      <c r="K20">
        <v>12</v>
      </c>
      <c r="L20">
        <v>24</v>
      </c>
      <c r="M20">
        <v>8</v>
      </c>
      <c r="N20">
        <v>33</v>
      </c>
      <c r="O20">
        <v>23</v>
      </c>
      <c r="P20">
        <v>5</v>
      </c>
      <c r="Q20">
        <v>26</v>
      </c>
      <c r="R20" s="39">
        <v>8</v>
      </c>
    </row>
    <row r="21" spans="1:18" x14ac:dyDescent="0.35">
      <c r="A21" s="39" t="s">
        <v>62</v>
      </c>
      <c r="B21">
        <v>82</v>
      </c>
      <c r="C21">
        <v>67</v>
      </c>
      <c r="D21" s="39">
        <v>101</v>
      </c>
      <c r="E21">
        <v>1</v>
      </c>
      <c r="F21">
        <v>12</v>
      </c>
      <c r="G21">
        <v>25</v>
      </c>
      <c r="H21">
        <v>5</v>
      </c>
      <c r="I21">
        <v>31</v>
      </c>
      <c r="J21" s="39">
        <v>4</v>
      </c>
      <c r="K21">
        <v>21</v>
      </c>
      <c r="L21">
        <v>14</v>
      </c>
      <c r="M21">
        <v>11</v>
      </c>
      <c r="N21">
        <v>36</v>
      </c>
      <c r="O21">
        <v>11</v>
      </c>
      <c r="P21">
        <v>3</v>
      </c>
      <c r="Q21">
        <v>30</v>
      </c>
      <c r="R21" s="39">
        <v>7</v>
      </c>
    </row>
    <row r="22" spans="1:18" x14ac:dyDescent="0.35">
      <c r="A22" s="39" t="s">
        <v>51</v>
      </c>
      <c r="B22">
        <v>16</v>
      </c>
      <c r="C22">
        <v>11</v>
      </c>
      <c r="D22" s="39">
        <v>19</v>
      </c>
      <c r="E22">
        <v>1</v>
      </c>
      <c r="F22">
        <v>2</v>
      </c>
      <c r="G22">
        <v>5</v>
      </c>
      <c r="H22">
        <v>1</v>
      </c>
      <c r="I22">
        <v>4</v>
      </c>
      <c r="J22" s="39">
        <v>0</v>
      </c>
      <c r="K22">
        <v>7</v>
      </c>
      <c r="L22">
        <v>2</v>
      </c>
      <c r="M22">
        <v>3</v>
      </c>
      <c r="N22">
        <v>8</v>
      </c>
      <c r="O22">
        <v>4</v>
      </c>
      <c r="P22">
        <v>1</v>
      </c>
      <c r="Q22">
        <v>7</v>
      </c>
      <c r="R22" s="39">
        <v>1</v>
      </c>
    </row>
    <row r="23" spans="1:18" x14ac:dyDescent="0.35">
      <c r="A23" s="39" t="s">
        <v>419</v>
      </c>
      <c r="B23">
        <v>18</v>
      </c>
      <c r="C23">
        <v>15</v>
      </c>
      <c r="D23" s="39">
        <v>23</v>
      </c>
      <c r="E23">
        <v>0</v>
      </c>
      <c r="F23">
        <v>1</v>
      </c>
      <c r="G23">
        <v>7</v>
      </c>
      <c r="H23">
        <v>1</v>
      </c>
      <c r="I23">
        <v>6</v>
      </c>
      <c r="J23" s="39">
        <v>1</v>
      </c>
      <c r="K23">
        <v>2</v>
      </c>
      <c r="L23">
        <v>1</v>
      </c>
      <c r="M23">
        <v>2</v>
      </c>
      <c r="N23">
        <v>8</v>
      </c>
      <c r="O23">
        <v>1</v>
      </c>
      <c r="P23">
        <v>5</v>
      </c>
      <c r="Q23">
        <v>5</v>
      </c>
      <c r="R23" s="39">
        <v>6</v>
      </c>
    </row>
    <row r="24" spans="1:18" x14ac:dyDescent="0.35">
      <c r="A24" s="39" t="s">
        <v>211</v>
      </c>
      <c r="B24">
        <v>23</v>
      </c>
      <c r="C24">
        <v>14</v>
      </c>
      <c r="D24" s="39">
        <v>25</v>
      </c>
      <c r="E24">
        <v>0</v>
      </c>
      <c r="F24">
        <v>0</v>
      </c>
      <c r="G24">
        <v>9</v>
      </c>
      <c r="H24">
        <v>1</v>
      </c>
      <c r="I24">
        <v>5</v>
      </c>
      <c r="J24" s="39">
        <v>1</v>
      </c>
      <c r="K24">
        <v>3</v>
      </c>
      <c r="L24">
        <v>3</v>
      </c>
      <c r="M24">
        <v>0</v>
      </c>
      <c r="N24">
        <v>9</v>
      </c>
      <c r="O24">
        <v>2</v>
      </c>
      <c r="P24">
        <v>4</v>
      </c>
      <c r="Q24">
        <v>11</v>
      </c>
      <c r="R24" s="39">
        <v>6</v>
      </c>
    </row>
    <row r="25" spans="1:18" x14ac:dyDescent="0.35">
      <c r="A25" s="39" t="s">
        <v>420</v>
      </c>
      <c r="B25">
        <v>20</v>
      </c>
      <c r="C25">
        <v>12</v>
      </c>
      <c r="D25" s="39">
        <v>27</v>
      </c>
      <c r="E25">
        <v>0</v>
      </c>
      <c r="F25">
        <v>0</v>
      </c>
      <c r="G25">
        <v>5</v>
      </c>
      <c r="H25">
        <v>1</v>
      </c>
      <c r="I25">
        <v>2</v>
      </c>
      <c r="J25" s="39">
        <v>0</v>
      </c>
      <c r="K25">
        <v>5</v>
      </c>
      <c r="L25">
        <v>4</v>
      </c>
      <c r="M25">
        <v>1</v>
      </c>
      <c r="N25">
        <v>10</v>
      </c>
      <c r="O25">
        <v>0</v>
      </c>
      <c r="P25">
        <v>2</v>
      </c>
      <c r="Q25">
        <v>11</v>
      </c>
      <c r="R25" s="39">
        <v>2</v>
      </c>
    </row>
    <row r="26" spans="1:18" x14ac:dyDescent="0.35">
      <c r="A26" s="39" t="s">
        <v>72</v>
      </c>
      <c r="B26">
        <v>50</v>
      </c>
      <c r="C26">
        <v>35</v>
      </c>
      <c r="D26" s="39">
        <v>63</v>
      </c>
      <c r="E26">
        <v>0</v>
      </c>
      <c r="F26">
        <v>10</v>
      </c>
      <c r="G26">
        <v>18</v>
      </c>
      <c r="H26">
        <v>10</v>
      </c>
      <c r="I26">
        <v>19</v>
      </c>
      <c r="J26" s="39">
        <v>8</v>
      </c>
      <c r="K26">
        <v>24</v>
      </c>
      <c r="L26">
        <v>16</v>
      </c>
      <c r="M26">
        <v>19</v>
      </c>
      <c r="N26">
        <v>31</v>
      </c>
      <c r="O26">
        <v>12</v>
      </c>
      <c r="P26">
        <v>4</v>
      </c>
      <c r="Q26">
        <v>30</v>
      </c>
      <c r="R26" s="39">
        <v>6</v>
      </c>
    </row>
    <row r="27" spans="1:18" x14ac:dyDescent="0.35">
      <c r="A27" s="39" t="s">
        <v>84</v>
      </c>
      <c r="B27">
        <v>2</v>
      </c>
      <c r="C27">
        <v>0</v>
      </c>
      <c r="D27" s="39">
        <v>1</v>
      </c>
      <c r="E27">
        <v>0</v>
      </c>
      <c r="F27">
        <v>0</v>
      </c>
      <c r="G27">
        <v>0</v>
      </c>
      <c r="H27">
        <v>0</v>
      </c>
      <c r="I27">
        <v>0</v>
      </c>
      <c r="J27" s="39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1</v>
      </c>
      <c r="R27" s="39">
        <v>0</v>
      </c>
    </row>
    <row r="28" spans="1:18" x14ac:dyDescent="0.35">
      <c r="A28" s="39" t="s">
        <v>81</v>
      </c>
      <c r="B28">
        <v>17</v>
      </c>
      <c r="C28">
        <v>16</v>
      </c>
      <c r="D28" s="39">
        <v>21</v>
      </c>
      <c r="E28">
        <v>0</v>
      </c>
      <c r="F28">
        <v>0</v>
      </c>
      <c r="G28">
        <v>0</v>
      </c>
      <c r="H28">
        <v>0</v>
      </c>
      <c r="I28">
        <v>0</v>
      </c>
      <c r="J28" s="39">
        <v>1</v>
      </c>
      <c r="K28">
        <v>3</v>
      </c>
      <c r="L28">
        <v>0</v>
      </c>
      <c r="M28">
        <v>1</v>
      </c>
      <c r="N28">
        <v>5</v>
      </c>
      <c r="O28">
        <v>2</v>
      </c>
      <c r="P28">
        <v>0</v>
      </c>
      <c r="Q28">
        <v>2</v>
      </c>
      <c r="R28" s="39">
        <v>2</v>
      </c>
    </row>
    <row r="29" spans="1:18" x14ac:dyDescent="0.35">
      <c r="A29" s="39" t="s">
        <v>264</v>
      </c>
      <c r="B29">
        <v>11</v>
      </c>
      <c r="C29">
        <v>12</v>
      </c>
      <c r="D29" s="39">
        <v>15</v>
      </c>
      <c r="E29">
        <v>1</v>
      </c>
      <c r="F29">
        <v>3</v>
      </c>
      <c r="G29">
        <v>6</v>
      </c>
      <c r="H29">
        <v>3</v>
      </c>
      <c r="I29">
        <v>9</v>
      </c>
      <c r="J29" s="39">
        <v>4</v>
      </c>
      <c r="K29">
        <v>7</v>
      </c>
      <c r="L29">
        <v>4</v>
      </c>
      <c r="M29">
        <v>2</v>
      </c>
      <c r="N29">
        <v>8</v>
      </c>
      <c r="O29">
        <v>7</v>
      </c>
      <c r="P29">
        <v>2</v>
      </c>
      <c r="Q29">
        <v>9</v>
      </c>
      <c r="R29" s="39">
        <v>7</v>
      </c>
    </row>
    <row r="30" spans="1:18" x14ac:dyDescent="0.35">
      <c r="A30" s="39" t="s">
        <v>67</v>
      </c>
      <c r="B30">
        <v>16</v>
      </c>
      <c r="C30">
        <v>12</v>
      </c>
      <c r="D30" s="39">
        <v>18</v>
      </c>
      <c r="E30">
        <v>1</v>
      </c>
      <c r="F30">
        <v>3</v>
      </c>
      <c r="G30">
        <v>5</v>
      </c>
      <c r="H30">
        <v>4</v>
      </c>
      <c r="I30">
        <v>6</v>
      </c>
      <c r="J30" s="39">
        <v>1</v>
      </c>
      <c r="K30">
        <v>3</v>
      </c>
      <c r="L30">
        <v>2</v>
      </c>
      <c r="M30">
        <v>5</v>
      </c>
      <c r="N30">
        <v>9</v>
      </c>
      <c r="O30">
        <v>2</v>
      </c>
      <c r="P30">
        <v>1</v>
      </c>
      <c r="Q30">
        <v>6</v>
      </c>
      <c r="R30" s="39">
        <v>1</v>
      </c>
    </row>
    <row r="31" spans="1:18" x14ac:dyDescent="0.35">
      <c r="A31" s="39" t="s">
        <v>60</v>
      </c>
      <c r="B31">
        <v>114</v>
      </c>
      <c r="C31">
        <v>86</v>
      </c>
      <c r="D31" s="39">
        <v>148</v>
      </c>
      <c r="E31">
        <v>4</v>
      </c>
      <c r="F31">
        <v>20</v>
      </c>
      <c r="G31">
        <v>39</v>
      </c>
      <c r="H31">
        <v>21</v>
      </c>
      <c r="I31">
        <v>58</v>
      </c>
      <c r="J31" s="39">
        <v>13</v>
      </c>
      <c r="K31">
        <v>20</v>
      </c>
      <c r="L31">
        <v>38</v>
      </c>
      <c r="M31">
        <v>35</v>
      </c>
      <c r="N31">
        <v>71</v>
      </c>
      <c r="O31">
        <v>41</v>
      </c>
      <c r="P31">
        <v>7</v>
      </c>
      <c r="Q31">
        <v>79</v>
      </c>
      <c r="R31" s="39">
        <v>19</v>
      </c>
    </row>
    <row r="32" spans="1:18" x14ac:dyDescent="0.35">
      <c r="A32" s="39" t="s">
        <v>71</v>
      </c>
      <c r="B32">
        <v>27</v>
      </c>
      <c r="C32">
        <v>23</v>
      </c>
      <c r="D32" s="39">
        <v>39</v>
      </c>
      <c r="E32">
        <v>1</v>
      </c>
      <c r="F32">
        <v>7</v>
      </c>
      <c r="G32">
        <v>2</v>
      </c>
      <c r="H32">
        <v>0</v>
      </c>
      <c r="I32">
        <v>8</v>
      </c>
      <c r="J32" s="39">
        <v>5</v>
      </c>
      <c r="K32">
        <v>4</v>
      </c>
      <c r="L32">
        <v>3</v>
      </c>
      <c r="M32">
        <v>0</v>
      </c>
      <c r="N32">
        <v>14</v>
      </c>
      <c r="O32">
        <v>6</v>
      </c>
      <c r="P32">
        <v>6</v>
      </c>
      <c r="Q32">
        <v>10</v>
      </c>
      <c r="R32" s="39">
        <v>6</v>
      </c>
    </row>
    <row r="33" spans="1:18" x14ac:dyDescent="0.35">
      <c r="A33" s="40" t="s">
        <v>47</v>
      </c>
      <c r="B33" s="1">
        <v>25</v>
      </c>
      <c r="C33" s="1">
        <v>21</v>
      </c>
      <c r="D33" s="40">
        <v>29</v>
      </c>
      <c r="E33" s="1">
        <v>4</v>
      </c>
      <c r="F33" s="1">
        <v>2</v>
      </c>
      <c r="G33" s="1">
        <v>9</v>
      </c>
      <c r="H33" s="1">
        <v>6</v>
      </c>
      <c r="I33" s="1">
        <v>11</v>
      </c>
      <c r="J33" s="40">
        <v>3</v>
      </c>
      <c r="K33" s="1">
        <v>5</v>
      </c>
      <c r="L33" s="1">
        <v>6</v>
      </c>
      <c r="M33" s="1">
        <v>5</v>
      </c>
      <c r="N33" s="1">
        <v>14</v>
      </c>
      <c r="O33" s="1">
        <v>9</v>
      </c>
      <c r="P33" s="1">
        <v>2</v>
      </c>
      <c r="Q33" s="1">
        <v>11</v>
      </c>
      <c r="R33" s="40">
        <v>2</v>
      </c>
    </row>
    <row r="36" spans="1:18" x14ac:dyDescent="0.35">
      <c r="A36" s="7" t="s">
        <v>479</v>
      </c>
    </row>
    <row r="37" spans="1:18" ht="15" thickBot="1" x14ac:dyDescent="0.4"/>
    <row r="38" spans="1:18" ht="15" thickBot="1" x14ac:dyDescent="0.4">
      <c r="A38" s="51"/>
      <c r="B38" s="51" t="s">
        <v>428</v>
      </c>
      <c r="C38" s="58"/>
      <c r="D38" s="51"/>
      <c r="E38" s="51" t="s">
        <v>428</v>
      </c>
      <c r="F38" s="51"/>
      <c r="G38" s="51"/>
      <c r="H38" s="51" t="s">
        <v>428</v>
      </c>
      <c r="I38" s="51"/>
    </row>
    <row r="39" spans="1:18" x14ac:dyDescent="0.35">
      <c r="A39" s="52" t="s">
        <v>32</v>
      </c>
      <c r="B39" s="55" t="s">
        <v>497</v>
      </c>
      <c r="C39" s="55" t="s">
        <v>429</v>
      </c>
      <c r="D39" s="52" t="s">
        <v>33</v>
      </c>
      <c r="E39" s="55" t="s">
        <v>496</v>
      </c>
      <c r="F39" s="55" t="s">
        <v>429</v>
      </c>
      <c r="G39" s="52" t="s">
        <v>34</v>
      </c>
      <c r="H39" s="55" t="s">
        <v>495</v>
      </c>
      <c r="I39" s="55" t="s">
        <v>429</v>
      </c>
    </row>
    <row r="40" spans="1:18" x14ac:dyDescent="0.35">
      <c r="A40" s="52" t="s">
        <v>445</v>
      </c>
      <c r="B40" s="55">
        <v>0.997</v>
      </c>
      <c r="C40" s="55">
        <v>5.7099999999999998E-3</v>
      </c>
      <c r="D40" s="52" t="s">
        <v>482</v>
      </c>
      <c r="E40" s="55">
        <v>0.93799999999999994</v>
      </c>
      <c r="F40" s="55">
        <v>0.12</v>
      </c>
      <c r="G40" s="52" t="s">
        <v>488</v>
      </c>
      <c r="H40" s="55">
        <v>0.76500000000000001</v>
      </c>
      <c r="I40" s="55">
        <v>0.41449999999999998</v>
      </c>
    </row>
    <row r="41" spans="1:18" x14ac:dyDescent="0.35">
      <c r="A41" s="52" t="s">
        <v>480</v>
      </c>
      <c r="B41" s="55">
        <v>0.99199999999999999</v>
      </c>
      <c r="C41" s="55">
        <v>1.5440000000000001E-2</v>
      </c>
      <c r="D41" s="52" t="s">
        <v>483</v>
      </c>
      <c r="E41" s="55">
        <v>0.93600000000000005</v>
      </c>
      <c r="F41" s="55">
        <v>0.125</v>
      </c>
      <c r="G41" s="52" t="s">
        <v>489</v>
      </c>
      <c r="H41" s="55">
        <v>0.93100000000000005</v>
      </c>
      <c r="I41" s="55">
        <v>0.13370000000000001</v>
      </c>
    </row>
    <row r="42" spans="1:18" x14ac:dyDescent="0.35">
      <c r="A42" s="52" t="s">
        <v>481</v>
      </c>
      <c r="B42" s="55">
        <v>0.98799999999999999</v>
      </c>
      <c r="C42" s="55">
        <v>2.3740000000000001E-2</v>
      </c>
      <c r="D42" s="52" t="s">
        <v>484</v>
      </c>
      <c r="E42" s="55">
        <v>0.93200000000000005</v>
      </c>
      <c r="F42" s="55">
        <v>0.13200000000000001</v>
      </c>
      <c r="G42" s="52" t="s">
        <v>490</v>
      </c>
      <c r="H42" s="55">
        <v>0.92700000000000005</v>
      </c>
      <c r="I42" s="55">
        <v>0.1399</v>
      </c>
    </row>
    <row r="43" spans="1:18" x14ac:dyDescent="0.35">
      <c r="A43" s="53"/>
      <c r="B43" s="57"/>
      <c r="C43" s="57"/>
      <c r="D43" s="52" t="s">
        <v>485</v>
      </c>
      <c r="E43" s="55">
        <v>0.89600000000000002</v>
      </c>
      <c r="F43" s="55">
        <v>0.19800000000000001</v>
      </c>
      <c r="G43" s="52" t="s">
        <v>491</v>
      </c>
      <c r="H43" s="55">
        <v>0.97599999999999998</v>
      </c>
      <c r="I43" s="55">
        <v>4.6600000000000003E-2</v>
      </c>
    </row>
    <row r="44" spans="1:18" x14ac:dyDescent="0.35">
      <c r="A44" s="53"/>
      <c r="B44" s="57"/>
      <c r="C44" s="57"/>
      <c r="D44" s="52" t="s">
        <v>486</v>
      </c>
      <c r="E44" s="55">
        <v>0.88500000000000001</v>
      </c>
      <c r="F44" s="55">
        <v>0.216</v>
      </c>
      <c r="G44" s="52" t="s">
        <v>492</v>
      </c>
      <c r="H44" s="55">
        <v>0.94399999999999995</v>
      </c>
      <c r="I44" s="55">
        <v>0.1084</v>
      </c>
    </row>
    <row r="45" spans="1:18" x14ac:dyDescent="0.35">
      <c r="A45" s="53"/>
      <c r="B45" s="57"/>
      <c r="C45" s="57"/>
      <c r="D45" s="52" t="s">
        <v>487</v>
      </c>
      <c r="E45" s="55">
        <v>0.746</v>
      </c>
      <c r="F45" s="55">
        <v>0.44400000000000001</v>
      </c>
      <c r="G45" s="52" t="s">
        <v>472</v>
      </c>
      <c r="H45" s="55">
        <v>0.79</v>
      </c>
      <c r="I45" s="55">
        <v>0.37590000000000001</v>
      </c>
    </row>
    <row r="46" spans="1:18" x14ac:dyDescent="0.35">
      <c r="A46" s="53"/>
      <c r="B46" s="57"/>
      <c r="C46" s="57"/>
      <c r="D46" s="53"/>
      <c r="E46" s="53"/>
      <c r="F46" s="53"/>
      <c r="G46" s="52" t="s">
        <v>493</v>
      </c>
      <c r="H46" s="55">
        <v>0.97799999999999998</v>
      </c>
      <c r="I46" s="55">
        <v>4.3099999999999999E-2</v>
      </c>
    </row>
    <row r="47" spans="1:18" ht="15" thickBot="1" x14ac:dyDescent="0.4">
      <c r="A47" s="54"/>
      <c r="B47" s="56"/>
      <c r="C47" s="56"/>
      <c r="D47" s="54"/>
      <c r="E47" s="54"/>
      <c r="F47" s="54"/>
      <c r="G47" s="54" t="s">
        <v>494</v>
      </c>
      <c r="H47" s="56">
        <v>0.86799999999999999</v>
      </c>
      <c r="I47" s="56">
        <v>0.24590000000000001</v>
      </c>
    </row>
    <row r="48" spans="1:18" x14ac:dyDescent="0.35">
      <c r="A48" s="52" t="s">
        <v>473</v>
      </c>
      <c r="B48" s="55">
        <v>0.70499999999999996</v>
      </c>
      <c r="C48" s="57"/>
      <c r="D48" s="53"/>
      <c r="E48" s="55">
        <v>0.79900000000000004</v>
      </c>
      <c r="F48" s="57"/>
      <c r="G48" s="57"/>
      <c r="H48" s="55">
        <v>0.80700000000000005</v>
      </c>
      <c r="I48" s="53"/>
    </row>
    <row r="49" spans="1:9" x14ac:dyDescent="0.35">
      <c r="A49" s="52" t="s">
        <v>474</v>
      </c>
      <c r="B49" s="55" t="s">
        <v>475</v>
      </c>
      <c r="C49" s="57"/>
      <c r="D49" s="53"/>
      <c r="E49" s="55" t="s">
        <v>475</v>
      </c>
      <c r="F49" s="57"/>
      <c r="G49" s="57"/>
      <c r="H49" s="55" t="s">
        <v>476</v>
      </c>
      <c r="I49" s="53"/>
    </row>
    <row r="50" spans="1:9" x14ac:dyDescent="0.35">
      <c r="A50" s="52" t="s">
        <v>477</v>
      </c>
      <c r="B50" s="55">
        <v>0.96</v>
      </c>
      <c r="C50" s="57"/>
      <c r="D50" s="53"/>
      <c r="E50" s="55">
        <v>0.871</v>
      </c>
      <c r="F50" s="57"/>
      <c r="G50" s="57"/>
      <c r="H50" s="55">
        <v>0.93500000000000005</v>
      </c>
      <c r="I50" s="53"/>
    </row>
    <row r="51" spans="1:9" x14ac:dyDescent="0.35">
      <c r="A51" s="52" t="s">
        <v>437</v>
      </c>
      <c r="B51" s="55">
        <v>2.95</v>
      </c>
      <c r="C51" s="57"/>
      <c r="D51" s="53"/>
      <c r="E51" s="55">
        <v>4.76</v>
      </c>
      <c r="F51" s="57"/>
      <c r="G51" s="57"/>
      <c r="H51" s="55">
        <v>6.49</v>
      </c>
      <c r="I51" s="53"/>
    </row>
    <row r="52" spans="1:9" ht="15" thickBot="1" x14ac:dyDescent="0.4">
      <c r="A52" s="54" t="s">
        <v>478</v>
      </c>
      <c r="B52" s="56">
        <v>98.5</v>
      </c>
      <c r="C52" s="56"/>
      <c r="D52" s="54"/>
      <c r="E52" s="56">
        <v>79.430000000000007</v>
      </c>
      <c r="F52" s="56"/>
      <c r="G52" s="56"/>
      <c r="H52" s="56">
        <v>81.150000000000006</v>
      </c>
      <c r="I52" s="54"/>
    </row>
    <row r="55" spans="1:9" x14ac:dyDescent="0.35">
      <c r="A55" s="60" t="s">
        <v>498</v>
      </c>
    </row>
    <row r="57" spans="1:9" x14ac:dyDescent="0.35">
      <c r="A57" s="37" t="s">
        <v>453</v>
      </c>
      <c r="B57" s="37" t="s">
        <v>497</v>
      </c>
      <c r="C57" s="37" t="s">
        <v>496</v>
      </c>
      <c r="D57" s="37" t="s">
        <v>495</v>
      </c>
    </row>
    <row r="58" spans="1:9" x14ac:dyDescent="0.35">
      <c r="A58" t="s">
        <v>454</v>
      </c>
      <c r="B58">
        <v>-1.0880000000000001</v>
      </c>
      <c r="C58">
        <v>-0.92600000000000005</v>
      </c>
      <c r="D58">
        <v>-0.93799999999999994</v>
      </c>
    </row>
    <row r="59" spans="1:9" x14ac:dyDescent="0.35">
      <c r="A59" t="s">
        <v>455</v>
      </c>
      <c r="B59">
        <v>2.9340000000000002</v>
      </c>
      <c r="C59">
        <v>3.3730000000000002</v>
      </c>
      <c r="D59">
        <v>3.6070000000000002</v>
      </c>
    </row>
    <row r="60" spans="1:9" x14ac:dyDescent="0.35">
      <c r="A60" t="s">
        <v>456</v>
      </c>
      <c r="B60">
        <v>-8.4000000000000005E-2</v>
      </c>
      <c r="C60">
        <v>0.28699999999999998</v>
      </c>
      <c r="D60">
        <v>-6.2E-2</v>
      </c>
    </row>
    <row r="61" spans="1:9" x14ac:dyDescent="0.35">
      <c r="A61" t="s">
        <v>323</v>
      </c>
      <c r="B61">
        <v>0.48599999999999999</v>
      </c>
      <c r="C61">
        <v>0.42799999999999999</v>
      </c>
      <c r="D61">
        <v>0.45600000000000002</v>
      </c>
    </row>
    <row r="62" spans="1:9" x14ac:dyDescent="0.35">
      <c r="A62" t="s">
        <v>324</v>
      </c>
      <c r="B62">
        <v>1.1259999999999999</v>
      </c>
      <c r="C62">
        <v>1.115</v>
      </c>
      <c r="D62">
        <v>1.1200000000000001</v>
      </c>
    </row>
    <row r="63" spans="1:9" x14ac:dyDescent="0.35">
      <c r="A63" t="s">
        <v>458</v>
      </c>
      <c r="B63">
        <v>0.73699999999999999</v>
      </c>
      <c r="C63">
        <v>1.3</v>
      </c>
      <c r="D63">
        <v>1.3240000000000001</v>
      </c>
    </row>
    <row r="64" spans="1:9" x14ac:dyDescent="0.35">
      <c r="A64" s="1" t="s">
        <v>459</v>
      </c>
      <c r="B64" s="1">
        <v>-0.77700000000000002</v>
      </c>
      <c r="C64" s="1">
        <v>1.081</v>
      </c>
      <c r="D64" s="1">
        <v>1.4690000000000001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73E3B-C4AB-4F11-AC70-2C96248E5CE4}">
  <sheetPr codeName="Feuil7"/>
  <dimension ref="A1:I44"/>
  <sheetViews>
    <sheetView workbookViewId="0">
      <selection activeCell="G51" sqref="G51"/>
    </sheetView>
  </sheetViews>
  <sheetFormatPr baseColWidth="10" defaultRowHeight="14.5" x14ac:dyDescent="0.35"/>
  <cols>
    <col min="2" max="2" width="21.36328125" bestFit="1" customWidth="1"/>
    <col min="3" max="3" width="12.90625" bestFit="1" customWidth="1"/>
    <col min="4" max="4" width="24.36328125" bestFit="1" customWidth="1"/>
    <col min="5" max="5" width="16.1796875" bestFit="1" customWidth="1"/>
    <col min="6" max="6" width="13.26953125" customWidth="1"/>
    <col min="7" max="7" width="15" customWidth="1"/>
    <col min="8" max="8" width="16.81640625" customWidth="1"/>
    <col min="9" max="9" width="17.36328125" customWidth="1"/>
  </cols>
  <sheetData>
    <row r="1" spans="1:9" x14ac:dyDescent="0.35">
      <c r="A1" s="7" t="s">
        <v>521</v>
      </c>
    </row>
    <row r="3" spans="1:9" x14ac:dyDescent="0.35">
      <c r="A3" s="37" t="s">
        <v>453</v>
      </c>
      <c r="B3" s="37" t="s">
        <v>517</v>
      </c>
      <c r="C3" s="37" t="s">
        <v>519</v>
      </c>
      <c r="D3" s="37" t="s">
        <v>518</v>
      </c>
      <c r="E3" s="37" t="s">
        <v>520</v>
      </c>
    </row>
    <row r="4" spans="1:9" x14ac:dyDescent="0.35">
      <c r="A4" t="s">
        <v>454</v>
      </c>
      <c r="B4">
        <v>3.0739999999999998</v>
      </c>
      <c r="C4">
        <v>0</v>
      </c>
      <c r="D4">
        <v>0</v>
      </c>
      <c r="E4">
        <v>0</v>
      </c>
    </row>
    <row r="5" spans="1:9" x14ac:dyDescent="0.35">
      <c r="A5" t="s">
        <v>455</v>
      </c>
      <c r="B5">
        <v>1048.3679999999999</v>
      </c>
      <c r="C5">
        <v>1420</v>
      </c>
      <c r="D5">
        <v>1070</v>
      </c>
      <c r="E5">
        <v>1860</v>
      </c>
    </row>
    <row r="6" spans="1:9" x14ac:dyDescent="0.35">
      <c r="A6" t="s">
        <v>456</v>
      </c>
      <c r="B6">
        <v>316.87299999999999</v>
      </c>
      <c r="C6">
        <v>396</v>
      </c>
      <c r="D6">
        <v>231</v>
      </c>
      <c r="E6">
        <v>219</v>
      </c>
    </row>
    <row r="7" spans="1:9" x14ac:dyDescent="0.35">
      <c r="A7" t="s">
        <v>323</v>
      </c>
      <c r="B7">
        <v>336.35500000000002</v>
      </c>
      <c r="C7">
        <v>423.40199999999999</v>
      </c>
      <c r="D7">
        <v>269.86500000000001</v>
      </c>
      <c r="E7">
        <v>254.32499999999999</v>
      </c>
    </row>
    <row r="8" spans="1:9" x14ac:dyDescent="0.35">
      <c r="A8" t="s">
        <v>324</v>
      </c>
      <c r="B8">
        <v>212.28200000000001</v>
      </c>
      <c r="C8">
        <v>267.38099999999997</v>
      </c>
      <c r="D8">
        <v>162.98500000000001</v>
      </c>
      <c r="E8">
        <v>204.37899999999999</v>
      </c>
    </row>
    <row r="9" spans="1:9" x14ac:dyDescent="0.35">
      <c r="A9" t="s">
        <v>458</v>
      </c>
      <c r="B9">
        <v>0.41</v>
      </c>
      <c r="C9">
        <v>0.52200000000000002</v>
      </c>
      <c r="D9">
        <v>0.85299999999999998</v>
      </c>
      <c r="E9">
        <v>3.931</v>
      </c>
    </row>
    <row r="10" spans="1:9" x14ac:dyDescent="0.35">
      <c r="A10" s="1" t="s">
        <v>459</v>
      </c>
      <c r="B10" s="1">
        <v>-0.68600000000000005</v>
      </c>
      <c r="C10" s="1">
        <v>-0.41099999999999998</v>
      </c>
      <c r="D10" s="1">
        <v>1.3380000000000001</v>
      </c>
      <c r="E10" s="1">
        <v>23.707999999999998</v>
      </c>
    </row>
    <row r="13" spans="1:9" x14ac:dyDescent="0.35">
      <c r="A13" s="7" t="s">
        <v>695</v>
      </c>
    </row>
    <row r="15" spans="1:9" x14ac:dyDescent="0.35">
      <c r="A15" s="37"/>
      <c r="B15" s="80"/>
      <c r="C15" s="80" t="s">
        <v>323</v>
      </c>
      <c r="D15" s="80"/>
      <c r="E15" s="80"/>
      <c r="F15" s="81"/>
      <c r="G15" s="81" t="s">
        <v>692</v>
      </c>
      <c r="H15" s="81"/>
      <c r="I15" s="81"/>
    </row>
    <row r="16" spans="1:9" x14ac:dyDescent="0.35">
      <c r="A16" s="37"/>
      <c r="B16" s="37" t="s">
        <v>693</v>
      </c>
      <c r="C16" s="37" t="s">
        <v>519</v>
      </c>
      <c r="D16" s="37" t="s">
        <v>518</v>
      </c>
      <c r="E16" s="37" t="s">
        <v>694</v>
      </c>
      <c r="F16" s="79" t="s">
        <v>693</v>
      </c>
      <c r="G16" s="79" t="s">
        <v>519</v>
      </c>
      <c r="H16" s="79" t="s">
        <v>518</v>
      </c>
      <c r="I16" s="79" t="s">
        <v>694</v>
      </c>
    </row>
    <row r="17" spans="1:9" x14ac:dyDescent="0.35">
      <c r="A17" t="s">
        <v>55</v>
      </c>
      <c r="B17" s="77">
        <v>312.39253163862992</v>
      </c>
      <c r="C17" s="77">
        <v>420.33913043478259</v>
      </c>
      <c r="D17" s="77">
        <v>283.59130434782611</v>
      </c>
      <c r="E17" s="77">
        <v>200.82608695652175</v>
      </c>
      <c r="F17" s="77">
        <v>170.15298210875144</v>
      </c>
      <c r="G17" s="77">
        <v>233.84838719182926</v>
      </c>
      <c r="H17" s="77">
        <v>144.19491533314508</v>
      </c>
      <c r="I17" s="77">
        <v>114.06786690768601</v>
      </c>
    </row>
    <row r="18" spans="1:9" x14ac:dyDescent="0.35">
      <c r="A18" t="s">
        <v>77</v>
      </c>
      <c r="B18" s="77">
        <v>248.76784302800098</v>
      </c>
      <c r="C18" s="77">
        <v>341.84905660377359</v>
      </c>
      <c r="D18" s="77">
        <v>216.22641509433961</v>
      </c>
      <c r="E18" s="77">
        <v>201</v>
      </c>
      <c r="F18" s="77">
        <v>85.476722980803913</v>
      </c>
      <c r="G18" s="77">
        <v>140.16986895390329</v>
      </c>
      <c r="H18" s="77">
        <v>82.836410033788411</v>
      </c>
      <c r="I18" s="77">
        <v>81.663003580851438</v>
      </c>
    </row>
    <row r="19" spans="1:9" x14ac:dyDescent="0.35">
      <c r="A19" t="s">
        <v>80</v>
      </c>
      <c r="B19" s="77">
        <v>117.40847488983469</v>
      </c>
      <c r="C19" s="77">
        <v>192.75</v>
      </c>
      <c r="D19" s="77">
        <v>144.25</v>
      </c>
      <c r="E19" s="77">
        <v>134.5</v>
      </c>
      <c r="F19" s="77">
        <v>139.11520758132716</v>
      </c>
      <c r="G19" s="77">
        <v>159.38919871392375</v>
      </c>
      <c r="H19" s="77">
        <v>99.597105044942623</v>
      </c>
      <c r="I19" s="77">
        <v>123.73762564394066</v>
      </c>
    </row>
    <row r="20" spans="1:9" x14ac:dyDescent="0.35">
      <c r="A20" t="s">
        <v>70</v>
      </c>
      <c r="B20" s="77">
        <v>337.84642607603166</v>
      </c>
      <c r="C20" s="77">
        <v>374.33333333333331</v>
      </c>
      <c r="D20" s="77">
        <v>220.36363636363637</v>
      </c>
      <c r="E20" s="77">
        <v>235.87878787878788</v>
      </c>
      <c r="F20" s="77">
        <v>152.27520775831249</v>
      </c>
      <c r="G20" s="77">
        <v>215.96175394422656</v>
      </c>
      <c r="H20" s="77">
        <v>123.11651447455634</v>
      </c>
      <c r="I20" s="77">
        <v>115.83548613652403</v>
      </c>
    </row>
    <row r="21" spans="1:9" x14ac:dyDescent="0.35">
      <c r="A21" t="s">
        <v>57</v>
      </c>
      <c r="B21" s="77">
        <v>275.03142337254144</v>
      </c>
      <c r="C21" s="77">
        <v>373.98275862068965</v>
      </c>
      <c r="D21" s="77">
        <v>255.98275862068965</v>
      </c>
      <c r="E21" s="77">
        <v>240.67241379310346</v>
      </c>
      <c r="F21" s="77">
        <v>112.49010710321838</v>
      </c>
      <c r="G21" s="77">
        <v>213.6848385446086</v>
      </c>
      <c r="H21" s="77">
        <v>150.74976260541786</v>
      </c>
      <c r="I21" s="77">
        <v>276.44296946386828</v>
      </c>
    </row>
    <row r="22" spans="1:9" x14ac:dyDescent="0.35">
      <c r="A22" t="s">
        <v>63</v>
      </c>
      <c r="B22" s="77">
        <v>446.43202340793147</v>
      </c>
      <c r="C22" s="77">
        <v>543</v>
      </c>
      <c r="D22" s="77">
        <v>314.30769230769232</v>
      </c>
      <c r="E22" s="77">
        <v>214.84615384615384</v>
      </c>
      <c r="F22" s="77">
        <v>265.60772060199071</v>
      </c>
      <c r="G22" s="77">
        <v>290.66504204438945</v>
      </c>
      <c r="H22" s="77">
        <v>163.11058856666574</v>
      </c>
      <c r="I22" s="77">
        <v>110.84662538379034</v>
      </c>
    </row>
    <row r="23" spans="1:9" x14ac:dyDescent="0.35">
      <c r="A23" t="s">
        <v>84</v>
      </c>
      <c r="B23" s="77">
        <v>300.51405525268484</v>
      </c>
      <c r="C23" s="77">
        <v>555</v>
      </c>
      <c r="D23" s="77">
        <v>359.33333333333331</v>
      </c>
      <c r="E23" s="77">
        <v>286.66666666666669</v>
      </c>
      <c r="F23" s="77">
        <v>252.82708849770907</v>
      </c>
      <c r="G23" s="77">
        <v>181.13254815189896</v>
      </c>
      <c r="H23" s="77">
        <v>101.00660044439346</v>
      </c>
      <c r="I23" s="77">
        <v>144.29252694901885</v>
      </c>
    </row>
    <row r="24" spans="1:9" x14ac:dyDescent="0.35">
      <c r="A24" t="s">
        <v>76</v>
      </c>
      <c r="B24" s="77">
        <v>210.86258494778733</v>
      </c>
      <c r="C24" s="77">
        <v>307.33928571428572</v>
      </c>
      <c r="D24" s="77">
        <v>207.82142857142858</v>
      </c>
      <c r="E24" s="77">
        <v>210.60714285714286</v>
      </c>
      <c r="F24" s="77">
        <v>92.623721695003695</v>
      </c>
      <c r="G24" s="77">
        <v>173.30008411955302</v>
      </c>
      <c r="H24" s="77">
        <v>111.33962900518837</v>
      </c>
      <c r="I24" s="77">
        <v>122.5375161211572</v>
      </c>
    </row>
    <row r="25" spans="1:9" x14ac:dyDescent="0.35">
      <c r="A25" t="s">
        <v>51</v>
      </c>
      <c r="B25" s="77">
        <v>172.90122999617884</v>
      </c>
      <c r="C25" s="77">
        <v>248.88636363636363</v>
      </c>
      <c r="D25" s="77">
        <v>175.75</v>
      </c>
      <c r="E25" s="77">
        <v>245.27272727272728</v>
      </c>
      <c r="F25" s="77">
        <v>100.98271790989784</v>
      </c>
      <c r="G25" s="77">
        <v>158.0649286533552</v>
      </c>
      <c r="H25" s="77">
        <v>89.499155511151628</v>
      </c>
      <c r="I25" s="77">
        <v>138.74610635833463</v>
      </c>
    </row>
    <row r="26" spans="1:9" x14ac:dyDescent="0.35">
      <c r="A26" t="s">
        <v>62</v>
      </c>
      <c r="B26" s="77">
        <v>162.77628934378237</v>
      </c>
      <c r="C26" s="77">
        <v>277.26881720430106</v>
      </c>
      <c r="D26" s="77">
        <v>186.73118279569891</v>
      </c>
      <c r="E26" s="77">
        <v>189.94623655913978</v>
      </c>
      <c r="F26" s="77">
        <v>113.01836944756293</v>
      </c>
      <c r="G26" s="77">
        <v>224.34286355956931</v>
      </c>
      <c r="H26" s="77">
        <v>144.52915606149045</v>
      </c>
      <c r="I26" s="77">
        <v>199.54695239093141</v>
      </c>
    </row>
    <row r="27" spans="1:9" x14ac:dyDescent="0.35">
      <c r="A27" t="s">
        <v>78</v>
      </c>
      <c r="B27" s="77">
        <v>738.46359765697969</v>
      </c>
      <c r="C27" s="77">
        <v>897.6</v>
      </c>
      <c r="D27" s="77">
        <v>723.73333333333335</v>
      </c>
      <c r="E27" s="77">
        <v>1266.7333333333333</v>
      </c>
      <c r="F27" s="77">
        <v>265.53439098050347</v>
      </c>
      <c r="G27" s="77">
        <v>392.56115083239848</v>
      </c>
      <c r="H27" s="77">
        <v>301.6387306191362</v>
      </c>
      <c r="I27" s="77">
        <v>616.84664297731331</v>
      </c>
    </row>
    <row r="28" spans="1:9" x14ac:dyDescent="0.35">
      <c r="A28" t="s">
        <v>83</v>
      </c>
      <c r="B28" s="77">
        <v>317.21734629013667</v>
      </c>
      <c r="C28" s="77">
        <v>388.95</v>
      </c>
      <c r="D28" s="77">
        <v>243</v>
      </c>
      <c r="E28" s="77">
        <v>234.55</v>
      </c>
      <c r="F28" s="77">
        <v>75.242369392837446</v>
      </c>
      <c r="G28" s="77">
        <v>181.68291493408887</v>
      </c>
      <c r="H28" s="77">
        <v>90.795316364249814</v>
      </c>
      <c r="I28" s="77">
        <v>88.464964816587127</v>
      </c>
    </row>
    <row r="29" spans="1:9" x14ac:dyDescent="0.35">
      <c r="A29" t="s">
        <v>69</v>
      </c>
      <c r="B29" s="77">
        <v>284.61422510182967</v>
      </c>
      <c r="C29" s="77">
        <v>398.65</v>
      </c>
      <c r="D29" s="77">
        <v>234.7</v>
      </c>
      <c r="E29" s="77">
        <v>201.625</v>
      </c>
      <c r="F29" s="77">
        <v>119.13977742931765</v>
      </c>
      <c r="G29" s="77">
        <v>249.38051966772301</v>
      </c>
      <c r="H29" s="77">
        <v>150.86251169822617</v>
      </c>
      <c r="I29" s="77">
        <v>99.796122297617487</v>
      </c>
    </row>
    <row r="30" spans="1:9" x14ac:dyDescent="0.35">
      <c r="A30" t="s">
        <v>64</v>
      </c>
      <c r="B30" s="77">
        <v>192.12604029677149</v>
      </c>
      <c r="C30" s="77">
        <v>271.33333333333331</v>
      </c>
      <c r="D30" s="77">
        <v>151.66666666666666</v>
      </c>
      <c r="E30" s="77">
        <v>160.16666666666666</v>
      </c>
      <c r="F30" s="77">
        <v>214.18174876660657</v>
      </c>
      <c r="G30" s="77">
        <v>238.5285447628159</v>
      </c>
      <c r="H30" s="77">
        <v>112.98967504452196</v>
      </c>
      <c r="I30" s="77">
        <v>106.85956516225708</v>
      </c>
    </row>
    <row r="31" spans="1:9" x14ac:dyDescent="0.35">
      <c r="A31" t="s">
        <v>73</v>
      </c>
      <c r="B31" s="77">
        <v>345.88092429801924</v>
      </c>
      <c r="C31" s="77">
        <v>433.8</v>
      </c>
      <c r="D31" s="77">
        <v>271.43333333333334</v>
      </c>
      <c r="E31" s="77">
        <v>269.60000000000002</v>
      </c>
      <c r="F31" s="77">
        <v>216.08465096183451</v>
      </c>
      <c r="G31" s="77">
        <v>260.88105362009526</v>
      </c>
      <c r="H31" s="77">
        <v>148.45100976029289</v>
      </c>
      <c r="I31" s="77">
        <v>200.0087239476629</v>
      </c>
    </row>
    <row r="32" spans="1:9" x14ac:dyDescent="0.35">
      <c r="A32" t="s">
        <v>74</v>
      </c>
      <c r="B32" s="77">
        <v>325.05918102625407</v>
      </c>
      <c r="C32" s="77">
        <v>391.73333333333335</v>
      </c>
      <c r="D32" s="77">
        <v>253.63333333333333</v>
      </c>
      <c r="E32" s="77">
        <v>227.23333333333332</v>
      </c>
      <c r="F32" s="77">
        <v>152.39114769558503</v>
      </c>
      <c r="G32" s="77">
        <v>212.47651932476634</v>
      </c>
      <c r="H32" s="77">
        <v>122.674923197894</v>
      </c>
      <c r="I32" s="77">
        <v>107.81519416090676</v>
      </c>
    </row>
    <row r="33" spans="1:9" x14ac:dyDescent="0.35">
      <c r="A33" t="s">
        <v>47</v>
      </c>
      <c r="B33" s="77">
        <v>493.40938934736607</v>
      </c>
      <c r="C33" s="77">
        <v>546.58064516129036</v>
      </c>
      <c r="D33" s="77">
        <v>345.03225806451616</v>
      </c>
      <c r="E33" s="77">
        <v>318.3763440860215</v>
      </c>
      <c r="F33" s="77">
        <v>221.08612203705971</v>
      </c>
      <c r="G33" s="77">
        <v>298.10704681447703</v>
      </c>
      <c r="H33" s="77">
        <v>177.06535587871053</v>
      </c>
      <c r="I33" s="77">
        <v>187.90515148886746</v>
      </c>
    </row>
    <row r="34" spans="1:9" x14ac:dyDescent="0.35">
      <c r="A34" t="s">
        <v>54</v>
      </c>
      <c r="B34" s="77">
        <v>341.110270260601</v>
      </c>
      <c r="C34" s="77">
        <v>411.79166666666669</v>
      </c>
      <c r="D34" s="77">
        <v>263.33333333333331</v>
      </c>
      <c r="E34" s="77">
        <v>202.04166666666666</v>
      </c>
      <c r="F34" s="77">
        <v>199.51683917258396</v>
      </c>
      <c r="G34" s="77">
        <v>244.77193984652712</v>
      </c>
      <c r="H34" s="77">
        <v>143.68736190429027</v>
      </c>
      <c r="I34" s="77">
        <v>153.899029340292</v>
      </c>
    </row>
    <row r="35" spans="1:9" x14ac:dyDescent="0.35">
      <c r="A35" t="s">
        <v>67</v>
      </c>
      <c r="B35" s="77">
        <v>315.25588890466162</v>
      </c>
      <c r="C35" s="77">
        <v>410.26086956521738</v>
      </c>
      <c r="D35" s="77">
        <v>230.2608695652174</v>
      </c>
      <c r="E35" s="77">
        <v>199.30434782608697</v>
      </c>
      <c r="F35" s="77">
        <v>110.76173948592472</v>
      </c>
      <c r="G35" s="77">
        <v>187.91420126103597</v>
      </c>
      <c r="H35" s="77">
        <v>106.67973198968632</v>
      </c>
      <c r="I35" s="77">
        <v>134.47758677145245</v>
      </c>
    </row>
    <row r="36" spans="1:9" x14ac:dyDescent="0.35">
      <c r="A36" t="s">
        <v>58</v>
      </c>
      <c r="B36" s="77">
        <v>409.75833106795267</v>
      </c>
      <c r="C36" s="77">
        <v>471.36111111111109</v>
      </c>
      <c r="D36" s="77">
        <v>326.75</v>
      </c>
      <c r="E36" s="77">
        <v>273.33333333333331</v>
      </c>
      <c r="F36" s="77">
        <v>149.98477906113294</v>
      </c>
      <c r="G36" s="77">
        <v>217.36593934492495</v>
      </c>
      <c r="H36" s="77">
        <v>139.02217192129567</v>
      </c>
      <c r="I36" s="77">
        <v>154.7264867897081</v>
      </c>
    </row>
    <row r="37" spans="1:9" x14ac:dyDescent="0.35">
      <c r="A37" t="s">
        <v>75</v>
      </c>
      <c r="B37" s="77">
        <v>273.37995199110344</v>
      </c>
      <c r="C37" s="77">
        <v>383.38888888888891</v>
      </c>
      <c r="D37" s="77">
        <v>246.72222222222223</v>
      </c>
      <c r="E37" s="77">
        <v>198.05555555555554</v>
      </c>
      <c r="F37" s="77">
        <v>130.65129343923257</v>
      </c>
      <c r="G37" s="77">
        <v>282.95336113070545</v>
      </c>
      <c r="H37" s="77">
        <v>162.03006458699372</v>
      </c>
      <c r="I37" s="77">
        <v>100.31859379715164</v>
      </c>
    </row>
    <row r="38" spans="1:9" x14ac:dyDescent="0.35">
      <c r="A38" t="s">
        <v>65</v>
      </c>
      <c r="B38" s="77">
        <v>442.52750623920872</v>
      </c>
      <c r="C38" s="77">
        <v>524.69333333333338</v>
      </c>
      <c r="D38" s="77">
        <v>284.93333333333334</v>
      </c>
      <c r="E38" s="77">
        <v>274.98666666666668</v>
      </c>
      <c r="F38" s="77">
        <v>287.78083029260597</v>
      </c>
      <c r="G38" s="77">
        <v>354.81830041065564</v>
      </c>
      <c r="H38" s="77">
        <v>175.59869276535321</v>
      </c>
      <c r="I38" s="77">
        <v>152.86166625092443</v>
      </c>
    </row>
    <row r="39" spans="1:9" x14ac:dyDescent="0.35">
      <c r="A39" t="s">
        <v>60</v>
      </c>
      <c r="B39" s="77">
        <v>477.61952692881965</v>
      </c>
      <c r="C39" s="77">
        <v>527.37179487179492</v>
      </c>
      <c r="D39" s="77">
        <v>337.16666666666669</v>
      </c>
      <c r="E39" s="77">
        <v>309.57692307692309</v>
      </c>
      <c r="F39" s="77">
        <v>230.83564293697791</v>
      </c>
      <c r="G39" s="77">
        <v>308.15087841747885</v>
      </c>
      <c r="H39" s="77">
        <v>187.96776572694841</v>
      </c>
      <c r="I39" s="77">
        <v>171.76187981226613</v>
      </c>
    </row>
    <row r="40" spans="1:9" x14ac:dyDescent="0.35">
      <c r="A40" t="s">
        <v>71</v>
      </c>
      <c r="B40" s="77">
        <v>349.82873100099732</v>
      </c>
      <c r="C40" s="77">
        <v>382.14035087719299</v>
      </c>
      <c r="D40" s="77">
        <v>213.47368421052633</v>
      </c>
      <c r="E40" s="77">
        <v>213.96491228070175</v>
      </c>
      <c r="F40" s="77">
        <v>208.35613759743197</v>
      </c>
      <c r="G40" s="77">
        <v>229.69338557835337</v>
      </c>
      <c r="H40" s="77">
        <v>120.8496860423781</v>
      </c>
      <c r="I40" s="77">
        <v>97.332083411138811</v>
      </c>
    </row>
    <row r="41" spans="1:9" x14ac:dyDescent="0.35">
      <c r="A41" t="s">
        <v>79</v>
      </c>
      <c r="B41" s="77">
        <v>597.44902729276976</v>
      </c>
      <c r="C41" s="77">
        <v>648.30769230769226</v>
      </c>
      <c r="D41" s="77">
        <v>388.92307692307691</v>
      </c>
      <c r="E41" s="77">
        <v>289.69230769230768</v>
      </c>
      <c r="F41" s="77">
        <v>231.44437258197181</v>
      </c>
      <c r="G41" s="77">
        <v>320.54388395110817</v>
      </c>
      <c r="H41" s="77">
        <v>181.7972327791428</v>
      </c>
      <c r="I41" s="77">
        <v>114.48904549546013</v>
      </c>
    </row>
    <row r="42" spans="1:9" x14ac:dyDescent="0.35">
      <c r="A42" t="s">
        <v>81</v>
      </c>
      <c r="B42" s="77">
        <v>138.48246401237134</v>
      </c>
      <c r="C42" s="77">
        <v>542.5</v>
      </c>
      <c r="D42" s="77">
        <v>332</v>
      </c>
      <c r="E42" s="77">
        <v>273.10000000000002</v>
      </c>
      <c r="F42" s="77">
        <v>146.2487529158268</v>
      </c>
      <c r="G42" s="77">
        <v>159.53003896863228</v>
      </c>
      <c r="H42" s="77">
        <v>100.44899203078147</v>
      </c>
      <c r="I42" s="77">
        <v>74.050208192369965</v>
      </c>
    </row>
    <row r="43" spans="1:9" x14ac:dyDescent="0.35">
      <c r="A43" t="s">
        <v>72</v>
      </c>
      <c r="B43" s="77">
        <v>407.1732312183097</v>
      </c>
      <c r="C43" s="77">
        <v>494.35714285714283</v>
      </c>
      <c r="D43" s="77">
        <v>311.5595238095238</v>
      </c>
      <c r="E43" s="77">
        <v>319.78571428571428</v>
      </c>
      <c r="F43" s="77">
        <v>188.66891297301146</v>
      </c>
      <c r="G43" s="77">
        <v>232.45217893264322</v>
      </c>
      <c r="H43" s="77">
        <v>130.98435031974688</v>
      </c>
      <c r="I43" s="77">
        <v>130.27728273136955</v>
      </c>
    </row>
    <row r="44" spans="1:9" x14ac:dyDescent="0.35">
      <c r="A44" s="1" t="s">
        <v>59</v>
      </c>
      <c r="B44" s="78">
        <v>202.85011257216695</v>
      </c>
      <c r="C44" s="78">
        <v>319.8</v>
      </c>
      <c r="D44" s="78">
        <v>220.75</v>
      </c>
      <c r="E44" s="78">
        <v>172.2</v>
      </c>
      <c r="F44" s="78">
        <v>106.72789038864873</v>
      </c>
      <c r="G44" s="78">
        <v>192.7170403133014</v>
      </c>
      <c r="H44" s="78">
        <v>115.25941632182361</v>
      </c>
      <c r="I44" s="78">
        <v>87.334696155321765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2AD9-E227-4F08-8140-ECE3DB0AF55B}">
  <sheetPr codeName="Feuil4"/>
  <dimension ref="A2:AC157"/>
  <sheetViews>
    <sheetView workbookViewId="0">
      <selection activeCell="E2" sqref="E2"/>
    </sheetView>
  </sheetViews>
  <sheetFormatPr baseColWidth="10" defaultRowHeight="14.5" x14ac:dyDescent="0.35"/>
  <cols>
    <col min="1" max="1" width="18.453125" customWidth="1"/>
    <col min="2" max="2" width="16" style="18" customWidth="1"/>
    <col min="3" max="6" width="10.90625" style="18"/>
    <col min="7" max="7" width="21" style="18" customWidth="1"/>
    <col min="8" max="10" width="10.90625" style="18"/>
    <col min="11" max="11" width="17.90625" style="18" customWidth="1"/>
    <col min="12" max="15" width="10.90625" style="18"/>
    <col min="16" max="16" width="14.453125" style="18" customWidth="1"/>
    <col min="17" max="28" width="10.90625" style="18"/>
    <col min="29" max="30" width="13.08984375" customWidth="1"/>
  </cols>
  <sheetData>
    <row r="2" spans="1:29" x14ac:dyDescent="0.35">
      <c r="A2" s="7" t="s">
        <v>810</v>
      </c>
      <c r="B2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</row>
    <row r="3" spans="1:29" ht="15" thickBot="1" x14ac:dyDescent="0.4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36"/>
    </row>
    <row r="4" spans="1:29" s="19" customFormat="1" ht="15" thickBot="1" x14ac:dyDescent="0.4">
      <c r="A4" s="25"/>
      <c r="B4" s="25" t="s">
        <v>332</v>
      </c>
      <c r="C4" s="25" t="s">
        <v>333</v>
      </c>
      <c r="D4" s="25" t="s">
        <v>334</v>
      </c>
      <c r="E4" s="25" t="s">
        <v>335</v>
      </c>
      <c r="F4" s="25" t="s">
        <v>336</v>
      </c>
      <c r="G4" s="25" t="s">
        <v>337</v>
      </c>
      <c r="H4" s="25" t="s">
        <v>338</v>
      </c>
      <c r="I4" s="25" t="s">
        <v>502</v>
      </c>
      <c r="J4" s="25" t="s">
        <v>339</v>
      </c>
      <c r="K4" s="25" t="s">
        <v>340</v>
      </c>
      <c r="L4" s="25" t="s">
        <v>341</v>
      </c>
      <c r="M4" s="25" t="s">
        <v>342</v>
      </c>
      <c r="N4" s="25" t="s">
        <v>343</v>
      </c>
      <c r="O4" s="25" t="s">
        <v>344</v>
      </c>
      <c r="P4" s="25" t="s">
        <v>345</v>
      </c>
      <c r="Q4" s="25" t="s">
        <v>346</v>
      </c>
      <c r="R4" s="25" t="s">
        <v>347</v>
      </c>
      <c r="S4" s="25" t="s">
        <v>348</v>
      </c>
      <c r="T4" s="25" t="s">
        <v>349</v>
      </c>
      <c r="U4" s="25" t="s">
        <v>350</v>
      </c>
      <c r="V4" s="25" t="s">
        <v>351</v>
      </c>
      <c r="W4" s="25" t="s">
        <v>26</v>
      </c>
      <c r="X4" s="25" t="s">
        <v>352</v>
      </c>
      <c r="Y4" s="25" t="s">
        <v>353</v>
      </c>
      <c r="Z4" s="25" t="s">
        <v>354</v>
      </c>
      <c r="AA4" s="25" t="s">
        <v>355</v>
      </c>
      <c r="AB4" s="25" t="s">
        <v>356</v>
      </c>
    </row>
    <row r="5" spans="1:29" x14ac:dyDescent="0.35">
      <c r="A5" s="20" t="s">
        <v>357</v>
      </c>
      <c r="B5" s="21">
        <v>13</v>
      </c>
      <c r="C5" s="21">
        <v>1420</v>
      </c>
      <c r="D5" s="21">
        <v>40</v>
      </c>
      <c r="E5" s="21">
        <v>33</v>
      </c>
      <c r="F5" s="21">
        <v>63</v>
      </c>
      <c r="G5" s="21">
        <v>54</v>
      </c>
      <c r="H5" s="16">
        <v>27</v>
      </c>
      <c r="I5" s="21">
        <v>51</v>
      </c>
      <c r="J5" s="21">
        <v>2662</v>
      </c>
      <c r="K5" s="21">
        <v>469</v>
      </c>
      <c r="L5" s="21">
        <v>9386</v>
      </c>
      <c r="M5" s="22">
        <v>2217</v>
      </c>
      <c r="N5" s="21">
        <v>8</v>
      </c>
      <c r="O5" s="21">
        <v>185</v>
      </c>
      <c r="P5" s="21">
        <v>17</v>
      </c>
      <c r="Q5" s="23">
        <v>6987</v>
      </c>
      <c r="R5" s="21">
        <v>991</v>
      </c>
      <c r="S5" s="21">
        <v>726</v>
      </c>
      <c r="T5" s="21">
        <v>12</v>
      </c>
      <c r="U5" s="21">
        <v>4</v>
      </c>
      <c r="V5" s="21">
        <v>0</v>
      </c>
    </row>
    <row r="6" spans="1:29" x14ac:dyDescent="0.35">
      <c r="A6" s="24" t="s">
        <v>311</v>
      </c>
      <c r="B6" s="16">
        <v>3</v>
      </c>
      <c r="C6" s="16">
        <v>496</v>
      </c>
      <c r="D6" s="16">
        <v>9</v>
      </c>
      <c r="E6" s="16">
        <v>12</v>
      </c>
      <c r="F6" s="16">
        <v>23</v>
      </c>
      <c r="G6" s="16">
        <v>14</v>
      </c>
      <c r="H6" s="16">
        <v>5</v>
      </c>
      <c r="I6" s="16">
        <v>11</v>
      </c>
      <c r="J6" s="16">
        <v>514</v>
      </c>
      <c r="K6" s="16">
        <v>76</v>
      </c>
      <c r="L6" s="16">
        <v>1647</v>
      </c>
      <c r="M6" s="16">
        <v>329</v>
      </c>
      <c r="N6" s="16">
        <v>1</v>
      </c>
      <c r="O6" s="16">
        <v>26</v>
      </c>
      <c r="P6" s="16">
        <v>3</v>
      </c>
      <c r="Q6" s="17">
        <v>1623</v>
      </c>
      <c r="R6" s="16">
        <v>413</v>
      </c>
      <c r="S6" s="18">
        <v>726</v>
      </c>
      <c r="T6" s="16">
        <v>2</v>
      </c>
      <c r="U6" s="16">
        <v>2</v>
      </c>
      <c r="V6" s="16">
        <v>0</v>
      </c>
      <c r="W6" s="16">
        <v>2</v>
      </c>
      <c r="X6" s="16">
        <v>34</v>
      </c>
      <c r="Y6" s="16">
        <v>127</v>
      </c>
      <c r="Z6" s="16">
        <v>81</v>
      </c>
      <c r="AA6" s="16">
        <v>67</v>
      </c>
      <c r="AB6" s="16">
        <v>37</v>
      </c>
    </row>
    <row r="7" spans="1:29" x14ac:dyDescent="0.35">
      <c r="A7" s="24" t="s">
        <v>308</v>
      </c>
      <c r="B7" s="16">
        <v>9</v>
      </c>
      <c r="C7" s="16">
        <v>606</v>
      </c>
      <c r="D7" s="16">
        <v>21</v>
      </c>
      <c r="E7" s="16">
        <v>16</v>
      </c>
      <c r="F7" s="16">
        <v>26</v>
      </c>
      <c r="G7" s="16">
        <v>28</v>
      </c>
      <c r="H7" s="16">
        <v>20</v>
      </c>
      <c r="I7" s="16">
        <v>25</v>
      </c>
      <c r="J7" s="16">
        <v>1600</v>
      </c>
      <c r="K7" s="16">
        <v>278</v>
      </c>
      <c r="L7" s="16">
        <v>5532</v>
      </c>
      <c r="M7" s="16">
        <v>1406</v>
      </c>
      <c r="N7" s="16">
        <v>3</v>
      </c>
      <c r="O7" s="16">
        <v>79</v>
      </c>
      <c r="P7" s="16">
        <v>8</v>
      </c>
      <c r="Q7" s="17">
        <v>3454</v>
      </c>
      <c r="R7" s="16">
        <v>291</v>
      </c>
      <c r="S7" s="18">
        <v>1113</v>
      </c>
      <c r="T7" s="16">
        <v>6</v>
      </c>
      <c r="U7" s="16">
        <v>1</v>
      </c>
      <c r="V7" s="16">
        <v>0</v>
      </c>
      <c r="W7" s="16">
        <v>3</v>
      </c>
      <c r="X7" s="16">
        <v>153</v>
      </c>
      <c r="Y7" s="16">
        <v>294</v>
      </c>
      <c r="Z7" s="16">
        <v>226</v>
      </c>
      <c r="AA7" s="16">
        <v>138</v>
      </c>
      <c r="AB7" s="16">
        <v>106</v>
      </c>
    </row>
    <row r="8" spans="1:29" x14ac:dyDescent="0.35">
      <c r="A8" s="28" t="s">
        <v>358</v>
      </c>
      <c r="B8" s="29">
        <v>1</v>
      </c>
      <c r="C8" s="29">
        <v>318</v>
      </c>
      <c r="D8" s="29">
        <v>10</v>
      </c>
      <c r="E8" s="29">
        <v>5</v>
      </c>
      <c r="F8" s="29">
        <v>14</v>
      </c>
      <c r="G8" s="29">
        <v>12</v>
      </c>
      <c r="H8" s="29">
        <v>2</v>
      </c>
      <c r="I8" s="29">
        <v>15</v>
      </c>
      <c r="J8" s="29">
        <v>548</v>
      </c>
      <c r="K8" s="29">
        <v>115</v>
      </c>
      <c r="L8" s="29">
        <v>2207</v>
      </c>
      <c r="M8" s="29">
        <v>482</v>
      </c>
      <c r="N8" s="29">
        <v>4</v>
      </c>
      <c r="O8" s="29">
        <v>80</v>
      </c>
      <c r="P8" s="29">
        <v>6</v>
      </c>
      <c r="Q8" s="30">
        <v>1910</v>
      </c>
      <c r="R8" s="29">
        <v>287</v>
      </c>
      <c r="S8" s="29">
        <v>454</v>
      </c>
      <c r="T8" s="29">
        <v>4</v>
      </c>
      <c r="U8" s="29">
        <v>2</v>
      </c>
      <c r="V8" s="29">
        <v>0</v>
      </c>
      <c r="W8" s="29">
        <v>0</v>
      </c>
      <c r="X8" s="29">
        <v>47</v>
      </c>
      <c r="Y8" s="29">
        <v>192</v>
      </c>
      <c r="Z8" s="29">
        <v>181</v>
      </c>
      <c r="AA8" s="29">
        <v>59</v>
      </c>
      <c r="AB8" s="29">
        <v>91</v>
      </c>
    </row>
    <row r="9" spans="1:29" x14ac:dyDescent="0.35">
      <c r="A9" s="20" t="s">
        <v>65</v>
      </c>
      <c r="B9" s="21">
        <v>46</v>
      </c>
      <c r="C9" s="21">
        <v>1452</v>
      </c>
      <c r="D9" s="21">
        <v>92</v>
      </c>
      <c r="E9" s="21">
        <v>91</v>
      </c>
      <c r="F9" s="21">
        <v>118</v>
      </c>
      <c r="G9" s="21">
        <v>86</v>
      </c>
      <c r="H9" s="21">
        <v>54</v>
      </c>
      <c r="I9" s="21">
        <v>112</v>
      </c>
      <c r="J9" s="21">
        <v>5732</v>
      </c>
      <c r="K9" s="21">
        <v>509</v>
      </c>
      <c r="L9" s="21">
        <v>21684</v>
      </c>
      <c r="M9" s="21">
        <v>6163</v>
      </c>
      <c r="N9" s="21">
        <v>2</v>
      </c>
      <c r="O9" s="21">
        <v>338</v>
      </c>
      <c r="P9" s="21">
        <v>61</v>
      </c>
      <c r="Q9" s="23">
        <v>9601</v>
      </c>
      <c r="R9" s="21">
        <v>96</v>
      </c>
      <c r="S9" s="21">
        <v>1726</v>
      </c>
      <c r="T9" s="21">
        <v>35</v>
      </c>
      <c r="U9" s="21">
        <v>5</v>
      </c>
      <c r="V9" s="21">
        <v>0</v>
      </c>
    </row>
    <row r="10" spans="1:29" x14ac:dyDescent="0.35">
      <c r="A10" t="s">
        <v>195</v>
      </c>
      <c r="B10" s="18">
        <v>4</v>
      </c>
      <c r="C10" s="18">
        <v>213</v>
      </c>
      <c r="D10" s="18">
        <v>8</v>
      </c>
      <c r="E10" s="18">
        <v>3</v>
      </c>
      <c r="F10" s="18">
        <v>7</v>
      </c>
      <c r="G10" s="18">
        <v>4</v>
      </c>
      <c r="H10" s="18">
        <v>2</v>
      </c>
      <c r="I10" s="18">
        <v>12</v>
      </c>
      <c r="J10" s="18">
        <v>904</v>
      </c>
      <c r="K10" s="18">
        <v>80</v>
      </c>
      <c r="L10" s="18">
        <v>951</v>
      </c>
      <c r="M10" s="18">
        <v>248</v>
      </c>
      <c r="N10" s="18">
        <v>1</v>
      </c>
      <c r="O10" s="18">
        <v>43</v>
      </c>
      <c r="P10" s="18">
        <v>3</v>
      </c>
      <c r="Q10" s="18">
        <v>1056</v>
      </c>
      <c r="R10" s="18">
        <v>41</v>
      </c>
      <c r="S10" s="18">
        <v>209</v>
      </c>
      <c r="T10" s="18">
        <v>1</v>
      </c>
      <c r="U10" s="18">
        <v>2</v>
      </c>
      <c r="V10" s="18">
        <v>8</v>
      </c>
      <c r="W10" s="18">
        <v>0</v>
      </c>
      <c r="X10" s="18">
        <v>18</v>
      </c>
      <c r="Y10" s="18">
        <v>144</v>
      </c>
      <c r="Z10" s="18">
        <v>123</v>
      </c>
      <c r="AA10" s="18">
        <v>47</v>
      </c>
      <c r="AB10" s="18">
        <v>45</v>
      </c>
    </row>
    <row r="11" spans="1:29" x14ac:dyDescent="0.35">
      <c r="A11" s="24" t="s">
        <v>359</v>
      </c>
      <c r="B11" s="16">
        <v>17</v>
      </c>
      <c r="C11" s="16">
        <v>414</v>
      </c>
      <c r="D11" s="16">
        <v>33</v>
      </c>
      <c r="E11" s="16">
        <v>27</v>
      </c>
      <c r="F11" s="16">
        <v>24</v>
      </c>
      <c r="G11" s="16">
        <v>20</v>
      </c>
      <c r="H11" s="16">
        <v>6</v>
      </c>
      <c r="I11" s="16">
        <v>40</v>
      </c>
      <c r="J11" s="16">
        <v>2140</v>
      </c>
      <c r="K11" s="16">
        <v>97</v>
      </c>
      <c r="L11" s="16">
        <v>6403</v>
      </c>
      <c r="M11" s="16">
        <v>1895</v>
      </c>
      <c r="N11" s="16">
        <v>1</v>
      </c>
      <c r="O11" s="16">
        <v>64</v>
      </c>
      <c r="P11" s="16">
        <v>18</v>
      </c>
      <c r="Q11" s="17">
        <v>2430</v>
      </c>
      <c r="R11" s="16">
        <v>8</v>
      </c>
      <c r="S11" s="18">
        <v>936</v>
      </c>
      <c r="T11" s="16">
        <v>14</v>
      </c>
      <c r="U11" s="16">
        <v>1</v>
      </c>
      <c r="V11" s="16">
        <v>37</v>
      </c>
      <c r="W11" s="16">
        <v>1</v>
      </c>
      <c r="X11" s="16">
        <v>279</v>
      </c>
      <c r="Y11" s="16">
        <v>591</v>
      </c>
      <c r="Z11" s="16">
        <v>59</v>
      </c>
      <c r="AA11" s="16">
        <v>316</v>
      </c>
      <c r="AB11" s="16">
        <v>94</v>
      </c>
    </row>
    <row r="12" spans="1:29" x14ac:dyDescent="0.35">
      <c r="A12" s="24" t="s">
        <v>360</v>
      </c>
      <c r="B12" s="16">
        <v>11</v>
      </c>
      <c r="C12" s="16">
        <v>695</v>
      </c>
      <c r="D12" s="16">
        <v>41</v>
      </c>
      <c r="E12" s="16">
        <v>44</v>
      </c>
      <c r="F12" s="16">
        <v>39</v>
      </c>
      <c r="G12" s="16">
        <v>42</v>
      </c>
      <c r="H12" s="16">
        <v>38</v>
      </c>
      <c r="I12" s="16">
        <v>49</v>
      </c>
      <c r="J12" s="16">
        <v>2110</v>
      </c>
      <c r="K12" s="16">
        <v>213</v>
      </c>
      <c r="L12" s="16">
        <v>9561</v>
      </c>
      <c r="M12" s="16">
        <v>2508</v>
      </c>
      <c r="N12" s="16">
        <v>1</v>
      </c>
      <c r="O12" s="16">
        <v>171</v>
      </c>
      <c r="P12" s="16">
        <v>21</v>
      </c>
      <c r="Q12" s="17">
        <v>4455</v>
      </c>
      <c r="R12" s="16">
        <v>12</v>
      </c>
      <c r="S12" s="18">
        <v>1683</v>
      </c>
      <c r="T12" s="16">
        <v>13</v>
      </c>
      <c r="U12" s="16">
        <v>3</v>
      </c>
      <c r="V12" s="16">
        <v>2</v>
      </c>
      <c r="W12" s="16">
        <v>2</v>
      </c>
      <c r="X12" s="16">
        <v>338</v>
      </c>
      <c r="Y12" s="16">
        <v>476</v>
      </c>
      <c r="Z12" s="16">
        <v>64</v>
      </c>
      <c r="AA12" s="16">
        <v>346</v>
      </c>
      <c r="AB12" s="16">
        <v>89</v>
      </c>
    </row>
    <row r="13" spans="1:29" x14ac:dyDescent="0.35">
      <c r="A13" s="28" t="s">
        <v>190</v>
      </c>
      <c r="B13" s="29">
        <v>18</v>
      </c>
      <c r="C13" s="29">
        <v>343</v>
      </c>
      <c r="D13" s="29">
        <v>18</v>
      </c>
      <c r="E13" s="29">
        <v>20</v>
      </c>
      <c r="F13" s="29">
        <v>55</v>
      </c>
      <c r="G13" s="29">
        <v>24</v>
      </c>
      <c r="H13" s="29">
        <v>10</v>
      </c>
      <c r="I13" s="29">
        <v>23</v>
      </c>
      <c r="J13" s="29">
        <v>1482</v>
      </c>
      <c r="K13" s="29">
        <v>199</v>
      </c>
      <c r="L13" s="29">
        <v>5720</v>
      </c>
      <c r="M13" s="29">
        <v>1760</v>
      </c>
      <c r="N13" s="29">
        <v>0</v>
      </c>
      <c r="O13" s="29">
        <v>103</v>
      </c>
      <c r="P13" s="29">
        <v>22</v>
      </c>
      <c r="Q13" s="30">
        <v>2716</v>
      </c>
      <c r="R13" s="29">
        <v>76</v>
      </c>
      <c r="S13" s="29">
        <v>1041</v>
      </c>
      <c r="T13" s="29">
        <v>8</v>
      </c>
      <c r="U13" s="29">
        <v>2</v>
      </c>
      <c r="V13" s="29">
        <v>4</v>
      </c>
      <c r="W13" s="29">
        <v>0</v>
      </c>
      <c r="X13" s="29">
        <v>131</v>
      </c>
      <c r="Y13" s="29">
        <v>436</v>
      </c>
      <c r="Z13" s="29">
        <v>229</v>
      </c>
      <c r="AA13" s="29">
        <v>158</v>
      </c>
      <c r="AB13" s="29">
        <v>145</v>
      </c>
    </row>
    <row r="14" spans="1:29" x14ac:dyDescent="0.35">
      <c r="A14" s="20" t="s">
        <v>81</v>
      </c>
      <c r="B14" s="21">
        <v>3</v>
      </c>
      <c r="C14" s="21">
        <v>423</v>
      </c>
      <c r="D14" s="21">
        <v>16</v>
      </c>
      <c r="E14" s="21">
        <v>26</v>
      </c>
      <c r="F14" s="21">
        <v>29</v>
      </c>
      <c r="G14" s="21">
        <v>23</v>
      </c>
      <c r="H14" s="21">
        <v>16</v>
      </c>
      <c r="I14" s="21">
        <v>20</v>
      </c>
      <c r="J14" s="21">
        <v>1474</v>
      </c>
      <c r="K14" s="21">
        <v>193</v>
      </c>
      <c r="L14" s="21">
        <v>6345</v>
      </c>
      <c r="M14" s="21">
        <v>1281</v>
      </c>
      <c r="N14" s="21">
        <v>8</v>
      </c>
      <c r="O14" s="21">
        <v>126</v>
      </c>
      <c r="P14" s="21">
        <v>29</v>
      </c>
      <c r="Q14" s="23">
        <v>4074</v>
      </c>
      <c r="R14" s="21">
        <v>443</v>
      </c>
      <c r="S14" s="21">
        <v>482</v>
      </c>
      <c r="T14" s="21">
        <v>1</v>
      </c>
      <c r="U14" s="21">
        <v>4</v>
      </c>
      <c r="V14" s="21">
        <v>0</v>
      </c>
    </row>
    <row r="15" spans="1:29" x14ac:dyDescent="0.35">
      <c r="A15" s="24" t="s">
        <v>361</v>
      </c>
      <c r="B15" s="21">
        <v>5</v>
      </c>
      <c r="C15" s="21">
        <v>335</v>
      </c>
      <c r="D15" s="21">
        <v>22</v>
      </c>
      <c r="E15" s="21">
        <v>50</v>
      </c>
      <c r="F15" s="21">
        <v>39</v>
      </c>
      <c r="G15" s="21">
        <v>33</v>
      </c>
      <c r="H15" s="21">
        <v>21</v>
      </c>
      <c r="I15" s="21">
        <v>30</v>
      </c>
      <c r="J15" s="21">
        <v>4322</v>
      </c>
      <c r="K15" s="21">
        <v>193</v>
      </c>
      <c r="L15" s="21">
        <v>5065</v>
      </c>
      <c r="M15" s="21">
        <v>1624</v>
      </c>
      <c r="N15" s="21">
        <v>2</v>
      </c>
      <c r="O15" s="21">
        <v>75</v>
      </c>
      <c r="P15" s="21">
        <v>11</v>
      </c>
      <c r="Q15" s="23">
        <v>3845</v>
      </c>
      <c r="R15" s="21">
        <v>146</v>
      </c>
      <c r="S15" s="21">
        <v>833</v>
      </c>
      <c r="T15" s="21">
        <v>4</v>
      </c>
      <c r="U15" s="21">
        <v>2</v>
      </c>
      <c r="V15" s="21">
        <v>11</v>
      </c>
      <c r="W15" s="18">
        <v>0</v>
      </c>
      <c r="X15" s="18">
        <v>142</v>
      </c>
      <c r="Y15" s="18">
        <v>284</v>
      </c>
      <c r="Z15" s="18">
        <v>111</v>
      </c>
      <c r="AA15" s="18">
        <v>118</v>
      </c>
      <c r="AB15" s="18">
        <v>82</v>
      </c>
    </row>
    <row r="16" spans="1:29" x14ac:dyDescent="0.35">
      <c r="A16" s="24" t="s">
        <v>362</v>
      </c>
      <c r="B16" s="16">
        <v>3</v>
      </c>
      <c r="C16" s="16">
        <v>201</v>
      </c>
      <c r="D16" s="16">
        <v>6</v>
      </c>
      <c r="E16" s="16">
        <v>16</v>
      </c>
      <c r="F16" s="16">
        <v>18</v>
      </c>
      <c r="G16" s="16">
        <v>12</v>
      </c>
      <c r="H16" s="16">
        <v>13</v>
      </c>
      <c r="I16" s="16">
        <v>8</v>
      </c>
      <c r="J16" s="16">
        <v>919</v>
      </c>
      <c r="K16" s="16">
        <v>113</v>
      </c>
      <c r="L16" s="16">
        <v>2519</v>
      </c>
      <c r="M16" s="16">
        <v>821</v>
      </c>
      <c r="N16" s="16">
        <v>3</v>
      </c>
      <c r="O16" s="16">
        <v>69</v>
      </c>
      <c r="P16" s="16">
        <v>19</v>
      </c>
      <c r="Q16" s="17">
        <v>1771</v>
      </c>
      <c r="R16" s="16">
        <v>406</v>
      </c>
      <c r="S16" s="18">
        <v>695</v>
      </c>
      <c r="T16" s="16">
        <v>0</v>
      </c>
      <c r="U16" s="16">
        <v>1</v>
      </c>
      <c r="V16" s="16">
        <v>0</v>
      </c>
      <c r="W16" s="16">
        <v>1</v>
      </c>
      <c r="X16" s="16">
        <v>144</v>
      </c>
      <c r="Y16" s="16">
        <v>500</v>
      </c>
      <c r="Z16" s="16">
        <v>115</v>
      </c>
      <c r="AA16" s="16">
        <v>211</v>
      </c>
      <c r="AB16" s="16">
        <v>166</v>
      </c>
    </row>
    <row r="17" spans="1:28" x14ac:dyDescent="0.35">
      <c r="A17" s="28" t="s">
        <v>81</v>
      </c>
      <c r="B17" s="29">
        <v>0</v>
      </c>
      <c r="C17" s="29">
        <v>222</v>
      </c>
      <c r="D17" s="29">
        <v>10</v>
      </c>
      <c r="E17" s="29">
        <v>10</v>
      </c>
      <c r="F17" s="29">
        <v>11</v>
      </c>
      <c r="G17" s="29">
        <v>11</v>
      </c>
      <c r="H17" s="29">
        <v>3</v>
      </c>
      <c r="I17" s="29">
        <v>12</v>
      </c>
      <c r="J17" s="29">
        <v>555</v>
      </c>
      <c r="K17" s="29">
        <v>80</v>
      </c>
      <c r="L17" s="29">
        <v>3826</v>
      </c>
      <c r="M17" s="29">
        <v>460</v>
      </c>
      <c r="N17" s="29">
        <v>5</v>
      </c>
      <c r="O17" s="29">
        <v>57</v>
      </c>
      <c r="P17" s="29">
        <v>10</v>
      </c>
      <c r="Q17" s="30">
        <v>2303</v>
      </c>
      <c r="R17" s="29">
        <v>37</v>
      </c>
      <c r="S17" s="29">
        <v>395</v>
      </c>
      <c r="T17" s="29">
        <v>1</v>
      </c>
      <c r="U17" s="29">
        <v>4</v>
      </c>
      <c r="V17" s="29">
        <v>31</v>
      </c>
      <c r="W17" s="29">
        <v>1</v>
      </c>
      <c r="X17" s="29">
        <v>116</v>
      </c>
      <c r="Y17" s="29">
        <v>431</v>
      </c>
      <c r="Z17" s="29">
        <v>95</v>
      </c>
      <c r="AA17" s="29">
        <v>154</v>
      </c>
      <c r="AB17" s="29">
        <v>357</v>
      </c>
    </row>
    <row r="18" spans="1:28" x14ac:dyDescent="0.35">
      <c r="A18" s="20" t="s">
        <v>363</v>
      </c>
      <c r="B18" s="21">
        <v>23</v>
      </c>
      <c r="C18" s="21">
        <v>1685</v>
      </c>
      <c r="D18" s="21">
        <v>48</v>
      </c>
      <c r="E18" s="21">
        <v>61</v>
      </c>
      <c r="F18" s="21">
        <v>69</v>
      </c>
      <c r="G18" s="21">
        <v>43</v>
      </c>
      <c r="H18" s="21">
        <v>38</v>
      </c>
      <c r="I18" s="21">
        <v>63</v>
      </c>
      <c r="J18" s="21">
        <v>2037</v>
      </c>
      <c r="K18" s="21">
        <v>625</v>
      </c>
      <c r="L18" s="21">
        <v>9633</v>
      </c>
      <c r="M18" s="21">
        <v>2281</v>
      </c>
      <c r="N18" s="21">
        <v>5</v>
      </c>
      <c r="O18" s="21">
        <v>238</v>
      </c>
      <c r="P18" s="21">
        <v>22</v>
      </c>
      <c r="Q18" s="23">
        <v>7202</v>
      </c>
      <c r="R18" s="21">
        <v>1433</v>
      </c>
      <c r="S18" s="21">
        <v>845</v>
      </c>
      <c r="T18" s="21">
        <v>9</v>
      </c>
      <c r="U18" s="21">
        <v>5</v>
      </c>
      <c r="V18" s="21">
        <v>0</v>
      </c>
    </row>
    <row r="19" spans="1:28" x14ac:dyDescent="0.35">
      <c r="A19" s="24" t="s">
        <v>287</v>
      </c>
      <c r="B19" s="16">
        <v>3</v>
      </c>
      <c r="C19" s="16">
        <v>311</v>
      </c>
      <c r="D19" s="16">
        <v>7</v>
      </c>
      <c r="E19" s="16">
        <v>11</v>
      </c>
      <c r="F19" s="16">
        <v>8</v>
      </c>
      <c r="G19" s="16">
        <v>4</v>
      </c>
      <c r="H19" s="16">
        <v>3</v>
      </c>
      <c r="I19" s="16">
        <v>10</v>
      </c>
      <c r="J19" s="16">
        <v>387</v>
      </c>
      <c r="K19" s="16">
        <v>118</v>
      </c>
      <c r="L19" s="16">
        <v>1355</v>
      </c>
      <c r="M19" s="16">
        <v>271</v>
      </c>
      <c r="N19" s="16">
        <v>3</v>
      </c>
      <c r="O19" s="16">
        <v>38</v>
      </c>
      <c r="P19" s="16">
        <v>1</v>
      </c>
      <c r="Q19" s="17">
        <v>1292</v>
      </c>
      <c r="R19" s="16">
        <v>277</v>
      </c>
      <c r="S19" s="18">
        <v>218</v>
      </c>
      <c r="T19" s="16">
        <v>1</v>
      </c>
      <c r="U19" s="16">
        <v>1</v>
      </c>
      <c r="V19" s="16">
        <v>4</v>
      </c>
      <c r="W19" s="16">
        <v>1</v>
      </c>
      <c r="X19" s="16">
        <v>27</v>
      </c>
      <c r="Y19" s="16">
        <v>143</v>
      </c>
      <c r="Z19" s="16">
        <v>275</v>
      </c>
      <c r="AA19" s="16">
        <v>65</v>
      </c>
      <c r="AB19" s="16">
        <v>24</v>
      </c>
    </row>
    <row r="20" spans="1:28" x14ac:dyDescent="0.35">
      <c r="A20" s="24" t="s">
        <v>284</v>
      </c>
      <c r="B20" s="16">
        <v>3</v>
      </c>
      <c r="C20" s="16">
        <v>280</v>
      </c>
      <c r="D20" s="16">
        <v>8</v>
      </c>
      <c r="E20" s="16">
        <v>14</v>
      </c>
      <c r="F20" s="16">
        <v>9</v>
      </c>
      <c r="G20" s="16">
        <v>10</v>
      </c>
      <c r="H20" s="16">
        <v>7</v>
      </c>
      <c r="I20" s="16">
        <v>9</v>
      </c>
      <c r="J20" s="16">
        <v>480</v>
      </c>
      <c r="K20" s="16">
        <v>129</v>
      </c>
      <c r="L20" s="16">
        <v>2198</v>
      </c>
      <c r="M20" s="16">
        <v>517</v>
      </c>
      <c r="N20" s="16">
        <v>1</v>
      </c>
      <c r="O20" s="16">
        <v>47</v>
      </c>
      <c r="P20" s="16">
        <v>9</v>
      </c>
      <c r="Q20" s="17">
        <v>1738</v>
      </c>
      <c r="R20" s="16">
        <v>690</v>
      </c>
      <c r="S20" s="18">
        <v>387</v>
      </c>
      <c r="T20" s="16">
        <v>0</v>
      </c>
      <c r="U20" s="16">
        <v>2</v>
      </c>
      <c r="V20" s="16">
        <v>0</v>
      </c>
      <c r="W20" s="16">
        <v>0</v>
      </c>
      <c r="X20" s="16">
        <v>56</v>
      </c>
      <c r="Y20" s="16">
        <v>157</v>
      </c>
      <c r="Z20" s="16">
        <v>148</v>
      </c>
      <c r="AA20" s="16">
        <v>64</v>
      </c>
      <c r="AB20" s="16">
        <v>21</v>
      </c>
    </row>
    <row r="21" spans="1:28" x14ac:dyDescent="0.35">
      <c r="A21" s="24" t="s">
        <v>281</v>
      </c>
      <c r="B21" s="16">
        <v>10</v>
      </c>
      <c r="C21" s="16">
        <v>561</v>
      </c>
      <c r="D21" s="16">
        <v>16</v>
      </c>
      <c r="E21" s="16">
        <v>13</v>
      </c>
      <c r="F21" s="16">
        <v>22</v>
      </c>
      <c r="G21" s="16">
        <v>11</v>
      </c>
      <c r="H21" s="16">
        <v>7</v>
      </c>
      <c r="I21" s="16">
        <v>22</v>
      </c>
      <c r="J21" s="16">
        <v>734</v>
      </c>
      <c r="K21" s="16">
        <v>208</v>
      </c>
      <c r="L21" s="16">
        <v>3215</v>
      </c>
      <c r="M21" s="16">
        <v>835</v>
      </c>
      <c r="N21" s="16">
        <v>1</v>
      </c>
      <c r="O21" s="16">
        <v>83</v>
      </c>
      <c r="P21" s="16">
        <v>6</v>
      </c>
      <c r="Q21" s="17">
        <v>2458</v>
      </c>
      <c r="R21" s="16">
        <v>311</v>
      </c>
      <c r="S21" s="18">
        <v>598</v>
      </c>
      <c r="T21" s="16">
        <v>4</v>
      </c>
      <c r="U21" s="16">
        <v>0</v>
      </c>
      <c r="V21" s="16">
        <v>23</v>
      </c>
      <c r="W21" s="16">
        <v>4</v>
      </c>
      <c r="X21" s="16">
        <v>76</v>
      </c>
      <c r="Y21" s="16">
        <v>176</v>
      </c>
      <c r="Z21" s="16">
        <v>144</v>
      </c>
      <c r="AA21" s="16">
        <v>84</v>
      </c>
      <c r="AB21" s="16">
        <v>43</v>
      </c>
    </row>
    <row r="22" spans="1:28" x14ac:dyDescent="0.35">
      <c r="A22" s="28" t="s">
        <v>277</v>
      </c>
      <c r="B22" s="29">
        <v>7</v>
      </c>
      <c r="C22" s="29">
        <v>533</v>
      </c>
      <c r="D22" s="29">
        <v>17</v>
      </c>
      <c r="E22" s="29">
        <v>23</v>
      </c>
      <c r="F22" s="29">
        <v>30</v>
      </c>
      <c r="G22" s="29">
        <v>18</v>
      </c>
      <c r="H22" s="29">
        <v>21</v>
      </c>
      <c r="I22" s="29">
        <v>22</v>
      </c>
      <c r="J22" s="29">
        <v>436</v>
      </c>
      <c r="K22" s="29">
        <v>170</v>
      </c>
      <c r="L22" s="29">
        <v>2865</v>
      </c>
      <c r="M22" s="29">
        <v>658</v>
      </c>
      <c r="N22" s="29">
        <v>0</v>
      </c>
      <c r="O22" s="29">
        <v>70</v>
      </c>
      <c r="P22" s="29">
        <v>6</v>
      </c>
      <c r="Q22" s="30">
        <v>1714</v>
      </c>
      <c r="R22" s="29">
        <v>155</v>
      </c>
      <c r="S22" s="29">
        <v>446</v>
      </c>
      <c r="T22" s="29">
        <v>4</v>
      </c>
      <c r="U22" s="29">
        <v>2</v>
      </c>
      <c r="V22" s="29">
        <v>0</v>
      </c>
      <c r="W22" s="29">
        <v>2</v>
      </c>
      <c r="X22" s="29">
        <v>65</v>
      </c>
      <c r="Y22" s="29">
        <v>226</v>
      </c>
      <c r="Z22" s="29">
        <v>77</v>
      </c>
      <c r="AA22" s="29">
        <v>99</v>
      </c>
      <c r="AB22" s="29">
        <v>35</v>
      </c>
    </row>
    <row r="23" spans="1:28" x14ac:dyDescent="0.35">
      <c r="A23" s="20" t="s">
        <v>70</v>
      </c>
      <c r="B23" s="21">
        <v>8</v>
      </c>
      <c r="C23" s="21">
        <v>900</v>
      </c>
      <c r="D23" s="21">
        <v>34</v>
      </c>
      <c r="E23" s="21">
        <v>20</v>
      </c>
      <c r="F23" s="21">
        <v>17</v>
      </c>
      <c r="G23" s="21">
        <v>20</v>
      </c>
      <c r="H23" s="21">
        <v>52</v>
      </c>
      <c r="I23" s="21">
        <v>45</v>
      </c>
      <c r="J23" s="21">
        <v>2212</v>
      </c>
      <c r="K23" s="21">
        <v>413</v>
      </c>
      <c r="L23" s="21">
        <v>10274</v>
      </c>
      <c r="M23" s="21">
        <v>2333</v>
      </c>
      <c r="N23" s="21">
        <v>3</v>
      </c>
      <c r="O23" s="21">
        <v>144</v>
      </c>
      <c r="P23" s="21">
        <v>12</v>
      </c>
      <c r="Q23" s="23">
        <v>7746</v>
      </c>
      <c r="R23" s="21">
        <v>498</v>
      </c>
      <c r="S23" s="21">
        <v>837</v>
      </c>
      <c r="T23" s="21">
        <v>4</v>
      </c>
      <c r="U23" s="21">
        <v>2</v>
      </c>
      <c r="V23" s="21">
        <v>0</v>
      </c>
    </row>
    <row r="24" spans="1:28" x14ac:dyDescent="0.35">
      <c r="A24" s="24" t="s">
        <v>156</v>
      </c>
      <c r="B24" s="16">
        <v>3</v>
      </c>
      <c r="C24" s="16">
        <v>352</v>
      </c>
      <c r="D24" s="16">
        <v>17</v>
      </c>
      <c r="E24" s="16">
        <v>11</v>
      </c>
      <c r="F24" s="16">
        <v>5</v>
      </c>
      <c r="G24" s="16">
        <v>13</v>
      </c>
      <c r="H24" s="16">
        <v>7</v>
      </c>
      <c r="I24" s="16">
        <v>20</v>
      </c>
      <c r="J24" s="16">
        <v>614</v>
      </c>
      <c r="K24" s="16">
        <v>103</v>
      </c>
      <c r="L24" s="16">
        <v>2977</v>
      </c>
      <c r="M24" s="16">
        <v>588</v>
      </c>
      <c r="N24" s="16">
        <v>3</v>
      </c>
      <c r="O24" s="16">
        <v>61</v>
      </c>
      <c r="P24" s="16">
        <v>5</v>
      </c>
      <c r="Q24" s="17">
        <v>2533</v>
      </c>
      <c r="R24" s="16">
        <v>260</v>
      </c>
      <c r="S24" s="18">
        <v>683</v>
      </c>
      <c r="T24" s="16">
        <v>1</v>
      </c>
      <c r="U24" s="16">
        <v>2</v>
      </c>
      <c r="V24" s="16">
        <v>0</v>
      </c>
      <c r="W24" s="16">
        <v>0</v>
      </c>
      <c r="X24" s="16">
        <v>82</v>
      </c>
      <c r="Y24" s="16">
        <v>86</v>
      </c>
      <c r="Z24" s="16">
        <v>38</v>
      </c>
      <c r="AA24" s="16">
        <v>34</v>
      </c>
      <c r="AB24" s="16">
        <v>8</v>
      </c>
    </row>
    <row r="25" spans="1:28" x14ac:dyDescent="0.35">
      <c r="A25" s="28" t="s">
        <v>87</v>
      </c>
      <c r="B25" s="29">
        <v>5</v>
      </c>
      <c r="C25" s="29">
        <v>548</v>
      </c>
      <c r="D25" s="29">
        <v>17</v>
      </c>
      <c r="E25" s="29">
        <v>9</v>
      </c>
      <c r="F25" s="29">
        <v>12</v>
      </c>
      <c r="G25" s="29">
        <v>7</v>
      </c>
      <c r="H25" s="29">
        <v>45</v>
      </c>
      <c r="I25" s="29">
        <v>25</v>
      </c>
      <c r="J25" s="29">
        <v>1598</v>
      </c>
      <c r="K25" s="29">
        <v>261</v>
      </c>
      <c r="L25" s="29">
        <v>7297</v>
      </c>
      <c r="M25" s="29">
        <v>1586</v>
      </c>
      <c r="N25" s="29">
        <v>0</v>
      </c>
      <c r="O25" s="29">
        <v>83</v>
      </c>
      <c r="P25" s="29">
        <v>7</v>
      </c>
      <c r="Q25" s="30">
        <v>3943</v>
      </c>
      <c r="R25" s="29">
        <v>238</v>
      </c>
      <c r="S25" s="29">
        <v>1229</v>
      </c>
      <c r="T25" s="29">
        <v>1</v>
      </c>
      <c r="U25" s="29">
        <v>1</v>
      </c>
      <c r="V25" s="29">
        <v>0</v>
      </c>
      <c r="W25" s="29">
        <v>1</v>
      </c>
      <c r="X25" s="29">
        <v>289</v>
      </c>
      <c r="Y25" s="29">
        <v>300</v>
      </c>
      <c r="Z25" s="29">
        <v>26</v>
      </c>
      <c r="AA25" s="29">
        <v>235</v>
      </c>
      <c r="AB25" s="29">
        <v>46</v>
      </c>
    </row>
    <row r="26" spans="1:28" x14ac:dyDescent="0.35">
      <c r="A26" s="31" t="s">
        <v>74</v>
      </c>
      <c r="B26" s="32">
        <v>4</v>
      </c>
      <c r="C26" s="32">
        <v>472</v>
      </c>
      <c r="D26" s="32">
        <v>12</v>
      </c>
      <c r="E26" s="32">
        <v>7</v>
      </c>
      <c r="F26" s="32">
        <v>11</v>
      </c>
      <c r="G26" s="32">
        <v>7</v>
      </c>
      <c r="H26" s="32">
        <v>3</v>
      </c>
      <c r="I26" s="32">
        <v>16</v>
      </c>
      <c r="J26" s="32">
        <v>222</v>
      </c>
      <c r="K26" s="32">
        <v>49</v>
      </c>
      <c r="L26" s="32">
        <v>1048</v>
      </c>
      <c r="M26" s="32">
        <v>159</v>
      </c>
      <c r="N26" s="32">
        <v>3</v>
      </c>
      <c r="O26" s="32">
        <v>47</v>
      </c>
      <c r="P26" s="32">
        <v>6</v>
      </c>
      <c r="Q26" s="33">
        <v>1270</v>
      </c>
      <c r="R26" s="32">
        <v>149</v>
      </c>
      <c r="S26" s="34">
        <v>169</v>
      </c>
      <c r="T26" s="32">
        <v>2</v>
      </c>
      <c r="U26" s="34">
        <v>1</v>
      </c>
      <c r="V26" s="34">
        <v>0</v>
      </c>
      <c r="W26" s="34">
        <v>1</v>
      </c>
      <c r="X26" s="34">
        <v>23</v>
      </c>
      <c r="Y26" s="34">
        <v>92</v>
      </c>
      <c r="Z26" s="34">
        <v>57</v>
      </c>
      <c r="AA26" s="34">
        <v>24</v>
      </c>
      <c r="AB26" s="34">
        <v>20</v>
      </c>
    </row>
    <row r="27" spans="1:28" x14ac:dyDescent="0.35">
      <c r="A27" s="20" t="s">
        <v>364</v>
      </c>
      <c r="B27" s="16">
        <v>14</v>
      </c>
      <c r="C27" s="16">
        <v>1485</v>
      </c>
      <c r="D27" s="16">
        <v>46</v>
      </c>
      <c r="E27" s="16">
        <v>28</v>
      </c>
      <c r="F27" s="16">
        <v>33</v>
      </c>
      <c r="G27" s="16">
        <v>24</v>
      </c>
      <c r="H27" s="16">
        <v>19</v>
      </c>
      <c r="I27" s="16">
        <v>56</v>
      </c>
      <c r="J27" s="16">
        <v>761</v>
      </c>
      <c r="K27" s="16">
        <v>515</v>
      </c>
      <c r="L27" s="16">
        <v>3967</v>
      </c>
      <c r="M27" s="16">
        <v>3022</v>
      </c>
      <c r="N27" s="16">
        <v>2</v>
      </c>
      <c r="O27" s="16">
        <v>130</v>
      </c>
      <c r="P27" s="16">
        <v>18</v>
      </c>
      <c r="Q27" s="17">
        <v>4615</v>
      </c>
      <c r="R27" s="16">
        <v>43</v>
      </c>
      <c r="S27" s="16"/>
      <c r="T27" s="16">
        <v>1</v>
      </c>
      <c r="U27" s="16">
        <v>1</v>
      </c>
      <c r="V27" s="16">
        <v>0</v>
      </c>
    </row>
    <row r="28" spans="1:28" x14ac:dyDescent="0.35">
      <c r="A28" s="24" t="s">
        <v>365</v>
      </c>
      <c r="B28" s="16">
        <v>9</v>
      </c>
      <c r="C28" s="16">
        <v>859</v>
      </c>
      <c r="D28" s="16">
        <v>21</v>
      </c>
      <c r="E28" s="16">
        <v>10</v>
      </c>
      <c r="F28" s="16">
        <v>10</v>
      </c>
      <c r="G28" s="16">
        <v>6</v>
      </c>
      <c r="H28" s="16">
        <v>4</v>
      </c>
      <c r="I28" s="16">
        <v>27</v>
      </c>
      <c r="J28" s="16">
        <v>351</v>
      </c>
      <c r="K28" s="16">
        <v>91</v>
      </c>
      <c r="L28" s="16">
        <v>1873</v>
      </c>
      <c r="M28" s="16">
        <v>399</v>
      </c>
      <c r="N28" s="16">
        <v>1</v>
      </c>
      <c r="O28" s="16">
        <v>55</v>
      </c>
      <c r="P28" s="16">
        <v>10</v>
      </c>
      <c r="Q28" s="17">
        <v>2050</v>
      </c>
      <c r="R28" s="16">
        <v>25</v>
      </c>
      <c r="S28" s="18">
        <v>302</v>
      </c>
      <c r="T28" s="16">
        <v>1</v>
      </c>
      <c r="U28" s="16">
        <v>1</v>
      </c>
      <c r="V28" s="16">
        <v>0</v>
      </c>
      <c r="W28" s="16">
        <v>2</v>
      </c>
      <c r="X28" s="16">
        <v>58</v>
      </c>
      <c r="Y28" s="16">
        <v>213</v>
      </c>
      <c r="Z28" s="16">
        <v>46</v>
      </c>
      <c r="AA28" s="16">
        <v>103</v>
      </c>
      <c r="AB28" s="16">
        <v>12</v>
      </c>
    </row>
    <row r="29" spans="1:28" x14ac:dyDescent="0.35">
      <c r="A29" s="28" t="s">
        <v>366</v>
      </c>
      <c r="B29" s="29">
        <v>5</v>
      </c>
      <c r="C29" s="29">
        <v>626</v>
      </c>
      <c r="D29" s="29">
        <v>25</v>
      </c>
      <c r="E29" s="29">
        <v>18</v>
      </c>
      <c r="F29" s="29">
        <v>23</v>
      </c>
      <c r="G29" s="29">
        <v>18</v>
      </c>
      <c r="H29" s="29">
        <v>15</v>
      </c>
      <c r="I29" s="29">
        <v>29</v>
      </c>
      <c r="J29" s="29">
        <v>410</v>
      </c>
      <c r="K29" s="29">
        <v>129</v>
      </c>
      <c r="L29" s="29">
        <v>2094</v>
      </c>
      <c r="M29" s="29">
        <v>387</v>
      </c>
      <c r="N29" s="29">
        <v>1</v>
      </c>
      <c r="O29" s="29">
        <v>75</v>
      </c>
      <c r="P29" s="29">
        <v>8</v>
      </c>
      <c r="Q29" s="30">
        <v>2565</v>
      </c>
      <c r="R29" s="29">
        <v>18</v>
      </c>
      <c r="S29" s="29">
        <v>309</v>
      </c>
      <c r="T29" s="29">
        <v>0</v>
      </c>
      <c r="U29" s="29">
        <v>1</v>
      </c>
      <c r="V29" s="29">
        <v>0</v>
      </c>
      <c r="W29" s="29">
        <v>0</v>
      </c>
      <c r="X29" s="29">
        <v>52</v>
      </c>
      <c r="Y29" s="29">
        <v>183</v>
      </c>
      <c r="Z29" s="29">
        <v>64</v>
      </c>
      <c r="AA29" s="29">
        <v>62</v>
      </c>
      <c r="AB29" s="29">
        <v>5</v>
      </c>
    </row>
    <row r="30" spans="1:28" x14ac:dyDescent="0.35">
      <c r="A30" s="31" t="s">
        <v>384</v>
      </c>
      <c r="B30" s="32">
        <v>9</v>
      </c>
      <c r="C30" s="32">
        <v>405</v>
      </c>
      <c r="D30" s="32">
        <v>10</v>
      </c>
      <c r="E30" s="32">
        <v>19</v>
      </c>
      <c r="F30" s="32">
        <v>3</v>
      </c>
      <c r="G30" s="32">
        <v>8</v>
      </c>
      <c r="H30" s="32">
        <v>7</v>
      </c>
      <c r="I30" s="32">
        <v>13</v>
      </c>
      <c r="J30" s="32">
        <v>324</v>
      </c>
      <c r="K30" s="32">
        <v>41</v>
      </c>
      <c r="L30" s="32">
        <v>2005</v>
      </c>
      <c r="M30" s="32">
        <v>420</v>
      </c>
      <c r="N30" s="32">
        <v>0</v>
      </c>
      <c r="O30" s="32">
        <v>43</v>
      </c>
      <c r="P30" s="32">
        <v>6</v>
      </c>
      <c r="Q30" s="33">
        <v>2498</v>
      </c>
      <c r="R30" s="32">
        <v>62</v>
      </c>
      <c r="S30" s="34">
        <v>328</v>
      </c>
      <c r="T30" s="32">
        <v>1</v>
      </c>
      <c r="U30" s="34">
        <v>1</v>
      </c>
      <c r="V30" s="34">
        <v>0</v>
      </c>
      <c r="W30" s="34">
        <v>3</v>
      </c>
      <c r="X30" s="34">
        <v>50</v>
      </c>
      <c r="Y30" s="34">
        <v>130</v>
      </c>
      <c r="Z30" s="34">
        <v>21</v>
      </c>
      <c r="AA30" s="34">
        <v>71</v>
      </c>
      <c r="AB30" s="34">
        <v>13</v>
      </c>
    </row>
    <row r="31" spans="1:28" x14ac:dyDescent="0.35">
      <c r="A31" s="31" t="s">
        <v>385</v>
      </c>
      <c r="B31" s="32">
        <v>10</v>
      </c>
      <c r="C31" s="32">
        <v>1088</v>
      </c>
      <c r="D31" s="32">
        <v>16</v>
      </c>
      <c r="E31" s="32">
        <v>37</v>
      </c>
      <c r="F31" s="32">
        <v>34</v>
      </c>
      <c r="G31" s="32">
        <v>20</v>
      </c>
      <c r="H31" s="32">
        <v>26</v>
      </c>
      <c r="I31" s="32">
        <v>21</v>
      </c>
      <c r="J31" s="32">
        <v>1308</v>
      </c>
      <c r="K31" s="32">
        <v>254</v>
      </c>
      <c r="L31" s="32">
        <v>6345</v>
      </c>
      <c r="M31" s="32">
        <v>1816</v>
      </c>
      <c r="N31" s="32">
        <v>0</v>
      </c>
      <c r="O31" s="32">
        <v>122</v>
      </c>
      <c r="P31" s="32">
        <v>16</v>
      </c>
      <c r="Q31" s="33">
        <v>4236</v>
      </c>
      <c r="R31" s="32">
        <v>275</v>
      </c>
      <c r="S31" s="34">
        <v>910</v>
      </c>
      <c r="T31" s="32">
        <v>5</v>
      </c>
      <c r="U31" s="34">
        <v>2</v>
      </c>
      <c r="V31" s="34">
        <v>0</v>
      </c>
      <c r="W31" s="34">
        <v>4</v>
      </c>
      <c r="X31" s="34">
        <v>194</v>
      </c>
      <c r="Y31" s="34">
        <v>335</v>
      </c>
      <c r="Z31" s="34">
        <v>155</v>
      </c>
      <c r="AA31" s="34">
        <v>298</v>
      </c>
      <c r="AB31" s="34">
        <v>97</v>
      </c>
    </row>
    <row r="32" spans="1:28" x14ac:dyDescent="0.35">
      <c r="A32" s="20" t="s">
        <v>367</v>
      </c>
      <c r="B32" s="21">
        <v>17</v>
      </c>
      <c r="C32" s="21">
        <v>1805</v>
      </c>
      <c r="D32" s="21">
        <v>42</v>
      </c>
      <c r="E32" s="21">
        <v>29</v>
      </c>
      <c r="F32" s="21">
        <v>47</v>
      </c>
      <c r="G32" s="21">
        <v>30</v>
      </c>
      <c r="H32" s="21">
        <v>27</v>
      </c>
      <c r="I32" s="21">
        <v>58</v>
      </c>
      <c r="J32" s="21">
        <v>1607</v>
      </c>
      <c r="K32" s="21">
        <v>427</v>
      </c>
      <c r="L32" s="21">
        <v>7216</v>
      </c>
      <c r="M32" s="21">
        <v>1385</v>
      </c>
      <c r="N32" s="21">
        <v>16</v>
      </c>
      <c r="O32" s="21">
        <v>225</v>
      </c>
      <c r="P32" s="21">
        <v>39</v>
      </c>
      <c r="Q32" s="23">
        <v>7224</v>
      </c>
      <c r="R32" s="21">
        <v>1413</v>
      </c>
      <c r="S32" s="21">
        <v>639</v>
      </c>
      <c r="T32" s="21">
        <v>12</v>
      </c>
      <c r="U32" s="21">
        <v>1</v>
      </c>
      <c r="V32" s="21">
        <v>0</v>
      </c>
    </row>
    <row r="33" spans="1:28" x14ac:dyDescent="0.35">
      <c r="A33" t="s">
        <v>243</v>
      </c>
      <c r="B33" s="18">
        <v>1</v>
      </c>
      <c r="C33" s="18">
        <v>904</v>
      </c>
      <c r="D33" s="18">
        <v>10</v>
      </c>
      <c r="E33" s="18">
        <v>2</v>
      </c>
      <c r="F33" s="18">
        <v>15</v>
      </c>
      <c r="G33" s="18">
        <v>4</v>
      </c>
      <c r="H33" s="18">
        <v>9</v>
      </c>
      <c r="I33" s="18">
        <v>24</v>
      </c>
      <c r="J33" s="18">
        <v>1601</v>
      </c>
      <c r="K33" s="18">
        <v>147</v>
      </c>
      <c r="L33" s="18">
        <v>1879</v>
      </c>
      <c r="M33" s="18">
        <v>455</v>
      </c>
      <c r="N33" s="18">
        <v>0</v>
      </c>
      <c r="O33" s="26">
        <v>75</v>
      </c>
      <c r="P33" s="26">
        <v>17</v>
      </c>
      <c r="Q33" s="18">
        <v>1966</v>
      </c>
      <c r="R33" s="26">
        <v>88</v>
      </c>
      <c r="S33" s="18">
        <v>321</v>
      </c>
      <c r="T33" s="26">
        <v>0</v>
      </c>
      <c r="U33" s="18">
        <v>1</v>
      </c>
      <c r="V33" s="26">
        <v>0</v>
      </c>
      <c r="W33" s="18">
        <v>2</v>
      </c>
      <c r="X33" s="26">
        <v>28</v>
      </c>
      <c r="Y33" s="18">
        <v>180</v>
      </c>
      <c r="Z33" s="26">
        <v>225</v>
      </c>
      <c r="AA33" s="18">
        <v>69</v>
      </c>
      <c r="AB33" s="26">
        <v>38</v>
      </c>
    </row>
    <row r="34" spans="1:28" x14ac:dyDescent="0.35">
      <c r="A34" s="24" t="s">
        <v>368</v>
      </c>
      <c r="B34" s="16">
        <v>2</v>
      </c>
      <c r="C34" s="16">
        <v>330</v>
      </c>
      <c r="D34" s="16">
        <v>7</v>
      </c>
      <c r="E34" s="16">
        <v>4</v>
      </c>
      <c r="F34" s="16">
        <v>16</v>
      </c>
      <c r="G34" s="16">
        <v>5</v>
      </c>
      <c r="H34" s="16">
        <v>1</v>
      </c>
      <c r="I34" s="16">
        <v>9</v>
      </c>
      <c r="J34" s="16">
        <v>171</v>
      </c>
      <c r="K34" s="16">
        <v>57</v>
      </c>
      <c r="L34" s="16">
        <v>750</v>
      </c>
      <c r="M34" s="16">
        <v>154</v>
      </c>
      <c r="N34" s="16">
        <v>3</v>
      </c>
      <c r="O34" s="16">
        <v>45</v>
      </c>
      <c r="P34" s="16">
        <v>7</v>
      </c>
      <c r="Q34" s="17">
        <v>1038</v>
      </c>
      <c r="R34" s="16">
        <v>207</v>
      </c>
      <c r="S34" s="18">
        <v>135</v>
      </c>
      <c r="T34" s="16">
        <v>3</v>
      </c>
      <c r="U34" s="16">
        <v>0</v>
      </c>
      <c r="V34" s="27">
        <v>0</v>
      </c>
      <c r="W34" s="16">
        <v>1</v>
      </c>
      <c r="X34" s="16">
        <v>6</v>
      </c>
      <c r="Y34" s="16">
        <v>45</v>
      </c>
      <c r="Z34" s="16">
        <v>48</v>
      </c>
      <c r="AA34" s="16">
        <v>31</v>
      </c>
      <c r="AB34" s="16">
        <v>15</v>
      </c>
    </row>
    <row r="35" spans="1:28" x14ac:dyDescent="0.35">
      <c r="A35" s="24" t="s">
        <v>246</v>
      </c>
      <c r="B35" s="16">
        <v>5</v>
      </c>
      <c r="C35" s="16">
        <v>463</v>
      </c>
      <c r="D35" s="16">
        <v>11</v>
      </c>
      <c r="E35" s="16">
        <v>5</v>
      </c>
      <c r="F35" s="16">
        <v>9</v>
      </c>
      <c r="G35" s="16">
        <v>3</v>
      </c>
      <c r="H35" s="16">
        <v>6</v>
      </c>
      <c r="I35" s="16">
        <v>16</v>
      </c>
      <c r="J35" s="16">
        <v>218</v>
      </c>
      <c r="K35" s="16">
        <v>119</v>
      </c>
      <c r="L35" s="16">
        <v>783</v>
      </c>
      <c r="M35" s="16">
        <v>117</v>
      </c>
      <c r="N35" s="16">
        <v>0</v>
      </c>
      <c r="O35" s="16">
        <v>30</v>
      </c>
      <c r="P35" s="16">
        <v>5</v>
      </c>
      <c r="Q35" s="17">
        <v>910</v>
      </c>
      <c r="R35" s="16">
        <v>109</v>
      </c>
      <c r="S35" s="18">
        <v>113</v>
      </c>
      <c r="T35" s="16">
        <v>1</v>
      </c>
      <c r="U35" s="16">
        <v>1</v>
      </c>
      <c r="V35" s="16">
        <v>0</v>
      </c>
      <c r="W35" s="16">
        <v>2</v>
      </c>
      <c r="X35" s="16">
        <v>20</v>
      </c>
      <c r="Y35" s="16">
        <v>111</v>
      </c>
      <c r="Z35" s="16">
        <v>110</v>
      </c>
      <c r="AA35" s="16">
        <v>30</v>
      </c>
      <c r="AB35" s="16">
        <v>31</v>
      </c>
    </row>
    <row r="36" spans="1:28" x14ac:dyDescent="0.35">
      <c r="A36" s="24" t="s">
        <v>369</v>
      </c>
      <c r="B36" s="16">
        <v>4</v>
      </c>
      <c r="C36" s="16">
        <v>402</v>
      </c>
      <c r="D36" s="16">
        <v>6</v>
      </c>
      <c r="E36" s="16">
        <v>8</v>
      </c>
      <c r="F36" s="16">
        <v>4</v>
      </c>
      <c r="G36" s="16">
        <v>2</v>
      </c>
      <c r="H36" s="16">
        <v>3</v>
      </c>
      <c r="I36" s="16">
        <v>8</v>
      </c>
      <c r="J36" s="16">
        <v>242</v>
      </c>
      <c r="K36" s="16">
        <v>101</v>
      </c>
      <c r="L36" s="16">
        <v>1351</v>
      </c>
      <c r="M36" s="16">
        <v>291</v>
      </c>
      <c r="N36" s="16">
        <v>0</v>
      </c>
      <c r="O36" s="16">
        <v>51</v>
      </c>
      <c r="P36" s="16">
        <v>7</v>
      </c>
      <c r="Q36" s="17">
        <v>1556</v>
      </c>
      <c r="R36" s="16">
        <v>292</v>
      </c>
      <c r="S36" s="16">
        <v>208</v>
      </c>
      <c r="T36" s="16">
        <v>4</v>
      </c>
      <c r="U36" s="16">
        <v>0</v>
      </c>
      <c r="V36" s="27">
        <v>0</v>
      </c>
      <c r="W36" s="16">
        <v>1</v>
      </c>
      <c r="X36" s="16">
        <v>30</v>
      </c>
      <c r="Y36" s="16">
        <v>60</v>
      </c>
      <c r="Z36" s="16">
        <v>41</v>
      </c>
      <c r="AA36" s="16">
        <v>27</v>
      </c>
      <c r="AB36" s="16">
        <v>24</v>
      </c>
    </row>
    <row r="37" spans="1:28" x14ac:dyDescent="0.35">
      <c r="A37" t="s">
        <v>370</v>
      </c>
      <c r="B37" s="18">
        <v>5</v>
      </c>
      <c r="C37" s="18">
        <v>607</v>
      </c>
      <c r="D37" s="18">
        <v>9</v>
      </c>
      <c r="E37" s="18">
        <v>21</v>
      </c>
      <c r="F37" s="18">
        <v>12</v>
      </c>
      <c r="G37" s="18">
        <v>28</v>
      </c>
      <c r="H37" s="18">
        <v>33</v>
      </c>
      <c r="I37" s="18">
        <v>16</v>
      </c>
      <c r="J37" s="18">
        <v>5191</v>
      </c>
      <c r="K37" s="18">
        <v>208</v>
      </c>
      <c r="L37" s="18">
        <v>5374</v>
      </c>
      <c r="M37" s="18">
        <v>1804</v>
      </c>
      <c r="N37" s="18">
        <v>2</v>
      </c>
      <c r="O37" s="18">
        <v>116</v>
      </c>
      <c r="P37" s="18">
        <v>19</v>
      </c>
      <c r="Q37" s="18">
        <v>3710</v>
      </c>
      <c r="R37" s="18">
        <v>135</v>
      </c>
      <c r="S37" s="18">
        <v>635</v>
      </c>
      <c r="T37" s="18">
        <v>3</v>
      </c>
      <c r="U37" s="18">
        <v>0</v>
      </c>
      <c r="V37" s="18">
        <v>0</v>
      </c>
      <c r="W37" s="18">
        <v>1</v>
      </c>
      <c r="X37" s="18">
        <v>157</v>
      </c>
      <c r="Y37" s="18">
        <v>216</v>
      </c>
      <c r="Z37" s="18">
        <v>44</v>
      </c>
      <c r="AA37" s="18">
        <v>129</v>
      </c>
      <c r="AB37" s="18">
        <v>73</v>
      </c>
    </row>
    <row r="38" spans="1:28" x14ac:dyDescent="0.35">
      <c r="A38" s="24" t="s">
        <v>371</v>
      </c>
      <c r="B38" s="16">
        <v>3</v>
      </c>
      <c r="C38" s="16">
        <v>187</v>
      </c>
      <c r="D38" s="16">
        <v>7</v>
      </c>
      <c r="E38" s="16">
        <v>3</v>
      </c>
      <c r="F38" s="16">
        <v>5</v>
      </c>
      <c r="G38" s="16">
        <v>7</v>
      </c>
      <c r="H38" s="16">
        <v>6</v>
      </c>
      <c r="I38" s="16">
        <v>9</v>
      </c>
      <c r="J38" s="16">
        <v>287</v>
      </c>
      <c r="K38" s="16">
        <v>59</v>
      </c>
      <c r="L38" s="16">
        <v>1079</v>
      </c>
      <c r="M38" s="16">
        <v>169</v>
      </c>
      <c r="N38" s="16">
        <v>8</v>
      </c>
      <c r="O38" s="16">
        <v>21</v>
      </c>
      <c r="P38" s="16">
        <v>5</v>
      </c>
      <c r="Q38" s="17">
        <v>978</v>
      </c>
      <c r="R38" s="16">
        <v>134</v>
      </c>
      <c r="S38" s="18">
        <v>177</v>
      </c>
      <c r="T38" s="16">
        <v>1</v>
      </c>
      <c r="U38" s="16">
        <v>0</v>
      </c>
      <c r="V38" s="16">
        <v>32</v>
      </c>
      <c r="W38" s="16">
        <v>2</v>
      </c>
      <c r="X38" s="16">
        <v>30</v>
      </c>
      <c r="Y38" s="16">
        <v>246</v>
      </c>
      <c r="Z38" s="16">
        <v>114</v>
      </c>
      <c r="AA38" s="16">
        <v>41</v>
      </c>
      <c r="AB38" s="16">
        <v>74</v>
      </c>
    </row>
    <row r="39" spans="1:28" x14ac:dyDescent="0.35">
      <c r="A39" t="s">
        <v>252</v>
      </c>
      <c r="B39" s="18">
        <v>5</v>
      </c>
      <c r="C39" s="18">
        <v>307</v>
      </c>
      <c r="D39" s="18">
        <v>14</v>
      </c>
      <c r="E39" s="18">
        <v>6</v>
      </c>
      <c r="F39" s="18">
        <v>4</v>
      </c>
      <c r="G39" s="18">
        <v>8</v>
      </c>
      <c r="H39" s="18">
        <v>9</v>
      </c>
      <c r="I39" s="18">
        <v>18</v>
      </c>
      <c r="J39" s="26">
        <v>1053</v>
      </c>
      <c r="K39" s="26">
        <v>77</v>
      </c>
      <c r="L39" s="18">
        <v>1686</v>
      </c>
      <c r="M39" s="18">
        <v>456</v>
      </c>
      <c r="N39" s="18">
        <v>0</v>
      </c>
      <c r="O39" s="26">
        <v>43</v>
      </c>
      <c r="P39" s="18">
        <v>5</v>
      </c>
      <c r="Q39" s="18">
        <v>1309</v>
      </c>
      <c r="R39" s="26">
        <v>272</v>
      </c>
      <c r="S39" s="18">
        <v>196</v>
      </c>
      <c r="T39" s="26">
        <v>1</v>
      </c>
      <c r="U39" s="18">
        <v>1</v>
      </c>
      <c r="V39" s="26">
        <v>0</v>
      </c>
      <c r="W39" s="18">
        <v>3</v>
      </c>
      <c r="X39" s="26">
        <v>29</v>
      </c>
      <c r="Y39" s="18">
        <v>74</v>
      </c>
      <c r="Z39" s="26">
        <v>59</v>
      </c>
      <c r="AA39" s="18">
        <v>20</v>
      </c>
      <c r="AB39" s="26">
        <v>10</v>
      </c>
    </row>
    <row r="40" spans="1:28" x14ac:dyDescent="0.35">
      <c r="A40" t="s">
        <v>372</v>
      </c>
      <c r="B40" s="18">
        <v>4</v>
      </c>
      <c r="C40" s="18">
        <v>297</v>
      </c>
      <c r="D40" s="18">
        <v>5</v>
      </c>
      <c r="E40" s="18">
        <v>5</v>
      </c>
      <c r="F40" s="18">
        <v>4</v>
      </c>
      <c r="G40" s="18">
        <v>7</v>
      </c>
      <c r="H40" s="18">
        <v>4</v>
      </c>
      <c r="I40" s="18">
        <v>8</v>
      </c>
      <c r="J40" s="18">
        <v>728</v>
      </c>
      <c r="K40" s="18">
        <v>52</v>
      </c>
      <c r="L40" s="18">
        <v>1059</v>
      </c>
      <c r="M40" s="18">
        <v>348</v>
      </c>
      <c r="N40" s="18">
        <v>0</v>
      </c>
      <c r="O40" s="26">
        <v>30</v>
      </c>
      <c r="P40" s="18">
        <v>6</v>
      </c>
      <c r="Q40" s="18">
        <v>1053</v>
      </c>
      <c r="R40" s="26">
        <v>34</v>
      </c>
      <c r="S40" s="18">
        <v>149</v>
      </c>
      <c r="T40" s="26">
        <v>0</v>
      </c>
      <c r="U40" s="18">
        <v>0</v>
      </c>
      <c r="V40" s="26">
        <v>0</v>
      </c>
      <c r="W40" s="18">
        <v>1</v>
      </c>
      <c r="X40" s="26">
        <v>20</v>
      </c>
      <c r="Y40" s="18">
        <v>40</v>
      </c>
      <c r="Z40" s="26">
        <v>36</v>
      </c>
      <c r="AA40" s="18">
        <v>13</v>
      </c>
      <c r="AB40" s="26">
        <v>4</v>
      </c>
    </row>
    <row r="41" spans="1:28" x14ac:dyDescent="0.35">
      <c r="A41" s="28" t="s">
        <v>373</v>
      </c>
      <c r="B41" s="29">
        <v>3</v>
      </c>
      <c r="C41" s="29">
        <v>423</v>
      </c>
      <c r="D41" s="29">
        <v>11</v>
      </c>
      <c r="E41" s="29">
        <v>9</v>
      </c>
      <c r="F41" s="29">
        <v>13</v>
      </c>
      <c r="G41" s="29">
        <v>13</v>
      </c>
      <c r="H41" s="29">
        <v>11</v>
      </c>
      <c r="I41" s="29">
        <v>16</v>
      </c>
      <c r="J41" s="29">
        <v>689</v>
      </c>
      <c r="K41" s="29">
        <v>91</v>
      </c>
      <c r="L41" s="29">
        <v>3253</v>
      </c>
      <c r="M41" s="29">
        <v>654</v>
      </c>
      <c r="N41" s="29">
        <v>5</v>
      </c>
      <c r="O41" s="29">
        <v>78</v>
      </c>
      <c r="P41" s="29">
        <v>15</v>
      </c>
      <c r="Q41" s="30">
        <v>2742</v>
      </c>
      <c r="R41" s="29">
        <v>671</v>
      </c>
      <c r="S41" s="35">
        <v>553</v>
      </c>
      <c r="T41" s="29">
        <v>3</v>
      </c>
      <c r="U41" s="29">
        <v>0</v>
      </c>
      <c r="V41" s="29">
        <v>14</v>
      </c>
      <c r="W41" s="29">
        <v>1</v>
      </c>
      <c r="X41" s="29">
        <v>86</v>
      </c>
      <c r="Y41" s="29">
        <v>307</v>
      </c>
      <c r="Z41" s="35">
        <v>138</v>
      </c>
      <c r="AA41" s="35">
        <v>127</v>
      </c>
      <c r="AB41" s="35">
        <v>71</v>
      </c>
    </row>
    <row r="42" spans="1:28" x14ac:dyDescent="0.35">
      <c r="A42" s="20" t="s">
        <v>374</v>
      </c>
      <c r="B42" s="21">
        <v>38</v>
      </c>
      <c r="C42" s="21">
        <v>3239</v>
      </c>
      <c r="D42" s="21">
        <v>79</v>
      </c>
      <c r="E42" s="21">
        <v>93</v>
      </c>
      <c r="F42" s="21">
        <v>94</v>
      </c>
      <c r="G42" s="21">
        <v>67</v>
      </c>
      <c r="H42" s="21">
        <v>62</v>
      </c>
      <c r="I42" s="21">
        <v>108</v>
      </c>
      <c r="J42" s="21">
        <v>2303</v>
      </c>
      <c r="K42" s="21">
        <v>751</v>
      </c>
      <c r="L42" s="21">
        <v>15070</v>
      </c>
      <c r="M42" s="21">
        <v>2931</v>
      </c>
      <c r="N42" s="21">
        <v>0</v>
      </c>
      <c r="O42" s="21">
        <v>448</v>
      </c>
      <c r="P42" s="21">
        <v>53</v>
      </c>
      <c r="Q42" s="23">
        <v>16915</v>
      </c>
      <c r="R42" s="21">
        <v>2422</v>
      </c>
      <c r="S42" s="21">
        <v>1331</v>
      </c>
      <c r="T42" s="21">
        <v>16</v>
      </c>
      <c r="U42" s="21">
        <v>3</v>
      </c>
      <c r="V42" s="21">
        <v>0</v>
      </c>
    </row>
    <row r="43" spans="1:28" x14ac:dyDescent="0.35">
      <c r="A43" t="s">
        <v>141</v>
      </c>
      <c r="B43" s="18">
        <v>6</v>
      </c>
      <c r="C43" s="18">
        <v>307</v>
      </c>
      <c r="D43" s="18">
        <v>7</v>
      </c>
      <c r="E43" s="18">
        <v>10</v>
      </c>
      <c r="F43" s="18">
        <v>16</v>
      </c>
      <c r="G43" s="18">
        <v>3</v>
      </c>
      <c r="H43" s="18">
        <v>3</v>
      </c>
      <c r="I43" s="18">
        <v>11</v>
      </c>
      <c r="J43" s="18">
        <v>445</v>
      </c>
      <c r="K43" s="18">
        <v>59</v>
      </c>
      <c r="L43" s="18">
        <v>808</v>
      </c>
      <c r="M43" s="18">
        <v>165</v>
      </c>
      <c r="N43" s="18">
        <v>0</v>
      </c>
      <c r="O43" s="18">
        <v>51</v>
      </c>
      <c r="P43" s="18">
        <v>6</v>
      </c>
      <c r="Q43" s="18">
        <v>1189</v>
      </c>
      <c r="R43" s="18">
        <v>244</v>
      </c>
      <c r="S43" s="18">
        <v>134</v>
      </c>
      <c r="T43" s="18">
        <v>0</v>
      </c>
      <c r="U43" s="18">
        <v>1</v>
      </c>
      <c r="V43" s="18">
        <v>0</v>
      </c>
      <c r="W43" s="18">
        <v>1</v>
      </c>
      <c r="X43" s="18">
        <v>17</v>
      </c>
      <c r="Y43" s="18">
        <v>62</v>
      </c>
      <c r="Z43" s="18">
        <v>40</v>
      </c>
      <c r="AA43" s="18">
        <v>22</v>
      </c>
      <c r="AB43" s="18">
        <v>4</v>
      </c>
    </row>
    <row r="44" spans="1:28" x14ac:dyDescent="0.35">
      <c r="A44" t="s">
        <v>147</v>
      </c>
      <c r="B44" s="18">
        <v>7</v>
      </c>
      <c r="C44" s="18">
        <v>406</v>
      </c>
      <c r="D44" s="18">
        <v>7</v>
      </c>
      <c r="E44" s="18">
        <v>0</v>
      </c>
      <c r="F44" s="18">
        <v>10</v>
      </c>
      <c r="G44" s="18">
        <v>9</v>
      </c>
      <c r="H44" s="18">
        <v>11</v>
      </c>
      <c r="I44" s="18">
        <v>13</v>
      </c>
      <c r="J44" s="18">
        <v>1538</v>
      </c>
      <c r="K44" s="18">
        <v>71</v>
      </c>
      <c r="L44" s="18">
        <v>2200</v>
      </c>
      <c r="M44" s="18">
        <v>794</v>
      </c>
      <c r="N44" s="18">
        <v>0</v>
      </c>
      <c r="O44" s="26">
        <v>57</v>
      </c>
      <c r="P44" s="26">
        <v>10</v>
      </c>
      <c r="Q44" s="18">
        <v>2169</v>
      </c>
      <c r="R44" s="26">
        <v>177</v>
      </c>
      <c r="S44" s="18">
        <v>178</v>
      </c>
      <c r="T44" s="26">
        <v>0</v>
      </c>
      <c r="U44" s="18">
        <v>0</v>
      </c>
      <c r="V44" s="26">
        <v>0</v>
      </c>
      <c r="W44" s="18">
        <v>2</v>
      </c>
      <c r="X44" s="26">
        <v>40</v>
      </c>
      <c r="Y44" s="18">
        <v>139</v>
      </c>
      <c r="Z44" s="26">
        <v>38</v>
      </c>
      <c r="AA44" s="18">
        <v>33</v>
      </c>
      <c r="AB44" s="26">
        <v>8</v>
      </c>
    </row>
    <row r="45" spans="1:28" x14ac:dyDescent="0.35">
      <c r="A45" s="24" t="s">
        <v>375</v>
      </c>
      <c r="B45" s="16">
        <v>10</v>
      </c>
      <c r="C45" s="16">
        <v>876</v>
      </c>
      <c r="D45" s="16">
        <v>19</v>
      </c>
      <c r="E45" s="16">
        <v>18</v>
      </c>
      <c r="F45" s="16">
        <v>19</v>
      </c>
      <c r="G45" s="16">
        <v>19</v>
      </c>
      <c r="H45" s="16">
        <v>5</v>
      </c>
      <c r="I45" s="16">
        <v>28</v>
      </c>
      <c r="J45" s="16">
        <v>313</v>
      </c>
      <c r="K45" s="16">
        <v>122</v>
      </c>
      <c r="L45" s="16">
        <v>1997</v>
      </c>
      <c r="M45" s="16">
        <v>381</v>
      </c>
      <c r="N45" s="16">
        <v>0</v>
      </c>
      <c r="O45" s="16">
        <v>61</v>
      </c>
      <c r="P45" s="16">
        <v>6</v>
      </c>
      <c r="Q45" s="17">
        <v>2351</v>
      </c>
      <c r="R45" s="16">
        <v>461</v>
      </c>
      <c r="S45" s="18">
        <v>387</v>
      </c>
      <c r="T45" s="16">
        <v>5</v>
      </c>
      <c r="U45" s="16">
        <v>1</v>
      </c>
      <c r="V45" s="16">
        <v>0</v>
      </c>
      <c r="W45" s="16">
        <v>0</v>
      </c>
      <c r="X45" s="16">
        <v>50</v>
      </c>
      <c r="Y45" s="16">
        <v>201</v>
      </c>
      <c r="Z45" s="16">
        <v>58</v>
      </c>
      <c r="AA45" s="16">
        <v>95</v>
      </c>
      <c r="AB45" s="16">
        <v>19</v>
      </c>
    </row>
    <row r="46" spans="1:28" x14ac:dyDescent="0.35">
      <c r="A46" s="24" t="s">
        <v>124</v>
      </c>
      <c r="B46" s="16">
        <v>3</v>
      </c>
      <c r="C46" s="16">
        <v>371</v>
      </c>
      <c r="D46" s="16">
        <v>12</v>
      </c>
      <c r="E46" s="16">
        <v>32</v>
      </c>
      <c r="F46" s="16">
        <v>22</v>
      </c>
      <c r="G46" s="16">
        <v>17</v>
      </c>
      <c r="H46" s="16">
        <v>19</v>
      </c>
      <c r="I46" s="16">
        <v>15</v>
      </c>
      <c r="J46" s="16">
        <v>728</v>
      </c>
      <c r="K46" s="16">
        <v>186</v>
      </c>
      <c r="L46" s="16">
        <v>4709</v>
      </c>
      <c r="M46" s="16">
        <v>899</v>
      </c>
      <c r="N46" s="16">
        <v>0</v>
      </c>
      <c r="O46" s="16">
        <v>119</v>
      </c>
      <c r="P46" s="16">
        <v>18</v>
      </c>
      <c r="Q46" s="17">
        <v>4179</v>
      </c>
      <c r="R46" s="16">
        <v>500</v>
      </c>
      <c r="S46" s="18">
        <v>1009</v>
      </c>
      <c r="T46" s="16">
        <v>5</v>
      </c>
      <c r="U46" s="16">
        <v>1</v>
      </c>
      <c r="V46" s="16">
        <v>0</v>
      </c>
      <c r="W46" s="16">
        <v>0</v>
      </c>
      <c r="X46" s="16">
        <v>166</v>
      </c>
      <c r="Y46" s="16">
        <v>243</v>
      </c>
      <c r="Z46" s="16">
        <v>139</v>
      </c>
      <c r="AA46" s="16">
        <v>116</v>
      </c>
      <c r="AB46" s="16">
        <v>76</v>
      </c>
    </row>
    <row r="47" spans="1:28" x14ac:dyDescent="0.35">
      <c r="A47" s="24" t="s">
        <v>150</v>
      </c>
      <c r="B47" s="16">
        <v>8</v>
      </c>
      <c r="C47" s="16">
        <v>451</v>
      </c>
      <c r="D47" s="16">
        <v>13</v>
      </c>
      <c r="E47" s="16">
        <v>19</v>
      </c>
      <c r="F47" s="16">
        <v>13</v>
      </c>
      <c r="G47" s="16">
        <v>16</v>
      </c>
      <c r="H47" s="16">
        <v>12</v>
      </c>
      <c r="I47" s="16">
        <v>17</v>
      </c>
      <c r="J47" s="16">
        <v>317</v>
      </c>
      <c r="K47" s="16">
        <v>113</v>
      </c>
      <c r="L47" s="16">
        <v>2128</v>
      </c>
      <c r="M47" s="16">
        <v>482</v>
      </c>
      <c r="N47" s="16">
        <v>0</v>
      </c>
      <c r="O47" s="16">
        <v>59</v>
      </c>
      <c r="P47" s="16">
        <v>8</v>
      </c>
      <c r="Q47" s="17">
        <v>2438</v>
      </c>
      <c r="R47" s="16">
        <v>388</v>
      </c>
      <c r="S47" s="18">
        <v>284</v>
      </c>
      <c r="T47" s="16">
        <v>2</v>
      </c>
      <c r="U47" s="16">
        <v>0</v>
      </c>
      <c r="V47" s="27">
        <v>0</v>
      </c>
      <c r="W47" s="16">
        <v>1</v>
      </c>
      <c r="X47" s="16">
        <v>40</v>
      </c>
      <c r="Y47" s="16">
        <v>139</v>
      </c>
      <c r="Z47" s="16">
        <v>38</v>
      </c>
      <c r="AA47" s="16">
        <v>33</v>
      </c>
      <c r="AB47" s="16">
        <v>8</v>
      </c>
    </row>
    <row r="48" spans="1:28" x14ac:dyDescent="0.35">
      <c r="A48" s="24" t="s">
        <v>376</v>
      </c>
      <c r="B48" s="16">
        <v>5</v>
      </c>
      <c r="C48" s="16">
        <v>436</v>
      </c>
      <c r="D48" s="16">
        <v>8</v>
      </c>
      <c r="E48" s="16">
        <v>9</v>
      </c>
      <c r="F48" s="16">
        <v>15</v>
      </c>
      <c r="G48" s="16">
        <v>4</v>
      </c>
      <c r="H48" s="16">
        <v>7</v>
      </c>
      <c r="I48" s="16">
        <v>12</v>
      </c>
      <c r="J48" s="16">
        <v>174</v>
      </c>
      <c r="K48" s="16">
        <v>74</v>
      </c>
      <c r="L48" s="16">
        <v>1158</v>
      </c>
      <c r="M48" s="16">
        <v>189</v>
      </c>
      <c r="N48" s="16">
        <v>0</v>
      </c>
      <c r="O48" s="16">
        <v>62</v>
      </c>
      <c r="P48" s="16">
        <v>5</v>
      </c>
      <c r="Q48" s="17">
        <v>1432</v>
      </c>
      <c r="R48" s="16">
        <v>19</v>
      </c>
      <c r="S48" s="18">
        <v>214</v>
      </c>
      <c r="T48" s="16">
        <v>1</v>
      </c>
      <c r="U48" s="16">
        <v>0</v>
      </c>
      <c r="V48" s="27">
        <v>0</v>
      </c>
      <c r="W48" s="16">
        <v>1</v>
      </c>
      <c r="X48" s="16">
        <v>26</v>
      </c>
      <c r="Y48" s="16">
        <v>123</v>
      </c>
      <c r="Z48" s="16">
        <v>46</v>
      </c>
      <c r="AA48" s="16">
        <v>18</v>
      </c>
      <c r="AB48" s="16">
        <v>14</v>
      </c>
    </row>
    <row r="49" spans="1:28" x14ac:dyDescent="0.35">
      <c r="A49" s="24" t="s">
        <v>377</v>
      </c>
      <c r="B49" s="16">
        <v>7</v>
      </c>
      <c r="C49" s="16">
        <v>725</v>
      </c>
      <c r="D49" s="16">
        <v>13</v>
      </c>
      <c r="E49" s="16">
        <v>9</v>
      </c>
      <c r="F49" s="16">
        <v>11</v>
      </c>
      <c r="G49" s="16">
        <v>6</v>
      </c>
      <c r="H49" s="16">
        <v>11</v>
      </c>
      <c r="I49" s="16">
        <v>16</v>
      </c>
      <c r="J49" s="16">
        <v>349</v>
      </c>
      <c r="K49" s="16">
        <v>126</v>
      </c>
      <c r="L49" s="16">
        <v>2460</v>
      </c>
      <c r="M49" s="16">
        <v>471</v>
      </c>
      <c r="N49" s="16">
        <v>0</v>
      </c>
      <c r="O49" s="16">
        <v>77</v>
      </c>
      <c r="P49" s="16">
        <v>10</v>
      </c>
      <c r="Q49" s="17">
        <v>3937</v>
      </c>
      <c r="R49" s="16">
        <v>416</v>
      </c>
      <c r="S49" s="18">
        <v>484</v>
      </c>
      <c r="T49" s="16">
        <v>1</v>
      </c>
      <c r="U49" s="16">
        <v>0</v>
      </c>
      <c r="V49" s="27">
        <v>0</v>
      </c>
      <c r="W49" s="16">
        <v>1</v>
      </c>
      <c r="X49" s="16">
        <v>68</v>
      </c>
      <c r="Y49" s="16">
        <v>139</v>
      </c>
      <c r="Z49" s="16">
        <v>71</v>
      </c>
      <c r="AA49" s="16">
        <v>61</v>
      </c>
      <c r="AB49" s="16">
        <v>14</v>
      </c>
    </row>
    <row r="50" spans="1:28" x14ac:dyDescent="0.35">
      <c r="A50" s="28" t="s">
        <v>378</v>
      </c>
      <c r="B50" s="29">
        <v>5</v>
      </c>
      <c r="C50" s="29">
        <v>380</v>
      </c>
      <c r="D50" s="29">
        <v>14</v>
      </c>
      <c r="E50" s="29">
        <v>6</v>
      </c>
      <c r="F50" s="29">
        <v>14</v>
      </c>
      <c r="G50" s="29">
        <v>5</v>
      </c>
      <c r="H50" s="29">
        <v>8</v>
      </c>
      <c r="I50" s="29">
        <v>20</v>
      </c>
      <c r="J50" s="29">
        <v>422</v>
      </c>
      <c r="K50" s="29">
        <v>130</v>
      </c>
      <c r="L50" s="29">
        <v>2618</v>
      </c>
      <c r="M50" s="29">
        <v>509</v>
      </c>
      <c r="N50" s="29">
        <v>0</v>
      </c>
      <c r="O50" s="29">
        <v>70</v>
      </c>
      <c r="P50" s="29">
        <v>6</v>
      </c>
      <c r="Q50" s="30">
        <v>2578</v>
      </c>
      <c r="R50" s="29">
        <v>638</v>
      </c>
      <c r="S50" s="29">
        <v>504</v>
      </c>
      <c r="T50" s="29">
        <v>2</v>
      </c>
      <c r="U50" s="29">
        <v>1</v>
      </c>
      <c r="V50" s="29">
        <v>0</v>
      </c>
      <c r="W50" s="29">
        <v>0</v>
      </c>
      <c r="X50" s="29">
        <v>73</v>
      </c>
      <c r="Y50" s="29">
        <v>171</v>
      </c>
      <c r="Z50" s="29">
        <v>353</v>
      </c>
      <c r="AA50" s="29">
        <v>80</v>
      </c>
      <c r="AB50" s="29">
        <v>73</v>
      </c>
    </row>
    <row r="51" spans="1:28" x14ac:dyDescent="0.35">
      <c r="A51" s="20" t="s">
        <v>55</v>
      </c>
      <c r="B51" s="21">
        <v>15</v>
      </c>
      <c r="C51" s="21">
        <v>1442</v>
      </c>
      <c r="D51" s="21">
        <v>48</v>
      </c>
      <c r="E51" s="21">
        <v>42</v>
      </c>
      <c r="F51" s="21">
        <v>13</v>
      </c>
      <c r="G51" s="21">
        <v>21</v>
      </c>
      <c r="H51" s="21">
        <v>40</v>
      </c>
      <c r="I51" s="21">
        <v>59</v>
      </c>
      <c r="J51" s="21">
        <v>1957</v>
      </c>
      <c r="K51" s="21">
        <v>164</v>
      </c>
      <c r="L51" s="21">
        <v>6773</v>
      </c>
      <c r="M51" s="21">
        <v>1710</v>
      </c>
      <c r="N51" s="21">
        <v>4</v>
      </c>
      <c r="O51" s="21">
        <v>140</v>
      </c>
      <c r="P51" s="21">
        <v>13</v>
      </c>
      <c r="Q51" s="23">
        <v>6001</v>
      </c>
      <c r="R51" s="21">
        <v>511</v>
      </c>
      <c r="S51" s="21">
        <v>413</v>
      </c>
      <c r="T51" s="21">
        <v>6</v>
      </c>
      <c r="U51" s="21">
        <v>2</v>
      </c>
      <c r="V51" s="21">
        <v>0</v>
      </c>
    </row>
    <row r="52" spans="1:28" x14ac:dyDescent="0.35">
      <c r="A52" s="24" t="s">
        <v>379</v>
      </c>
      <c r="B52" s="16">
        <v>9</v>
      </c>
      <c r="C52" s="16">
        <v>884</v>
      </c>
      <c r="D52" s="16">
        <v>24</v>
      </c>
      <c r="E52" s="16">
        <v>28</v>
      </c>
      <c r="F52" s="16">
        <v>12</v>
      </c>
      <c r="G52" s="16">
        <v>12</v>
      </c>
      <c r="H52" s="16">
        <v>27</v>
      </c>
      <c r="I52" s="16">
        <v>30</v>
      </c>
      <c r="J52" s="16">
        <v>1230</v>
      </c>
      <c r="K52" s="16">
        <v>90</v>
      </c>
      <c r="L52" s="16">
        <v>4002</v>
      </c>
      <c r="M52" s="16">
        <v>986</v>
      </c>
      <c r="N52" s="16">
        <v>2</v>
      </c>
      <c r="O52" s="16">
        <v>76</v>
      </c>
      <c r="P52" s="16">
        <v>5</v>
      </c>
      <c r="Q52" s="17">
        <v>3425</v>
      </c>
      <c r="R52" s="16">
        <v>236</v>
      </c>
      <c r="S52" s="18">
        <v>386</v>
      </c>
      <c r="T52" s="16">
        <v>2</v>
      </c>
      <c r="U52" s="16">
        <v>1</v>
      </c>
      <c r="V52" s="16">
        <v>0</v>
      </c>
      <c r="W52" s="16">
        <v>1</v>
      </c>
      <c r="X52" s="16">
        <v>121</v>
      </c>
      <c r="Y52" s="16">
        <v>307</v>
      </c>
      <c r="Z52" s="16">
        <v>46</v>
      </c>
      <c r="AA52" s="16">
        <v>160</v>
      </c>
      <c r="AB52" s="16">
        <v>37</v>
      </c>
    </row>
    <row r="53" spans="1:28" x14ac:dyDescent="0.35">
      <c r="A53" s="28" t="s">
        <v>200</v>
      </c>
      <c r="B53" s="29">
        <v>6</v>
      </c>
      <c r="C53" s="29">
        <v>558</v>
      </c>
      <c r="D53" s="29">
        <v>24</v>
      </c>
      <c r="E53" s="29">
        <v>9</v>
      </c>
      <c r="F53" s="29">
        <v>1</v>
      </c>
      <c r="G53" s="29">
        <v>9</v>
      </c>
      <c r="H53" s="29">
        <v>13</v>
      </c>
      <c r="I53" s="29">
        <v>29</v>
      </c>
      <c r="J53" s="29">
        <v>727</v>
      </c>
      <c r="K53" s="29">
        <v>74</v>
      </c>
      <c r="L53" s="29">
        <v>2771</v>
      </c>
      <c r="M53" s="29">
        <v>724</v>
      </c>
      <c r="N53" s="29">
        <v>2</v>
      </c>
      <c r="O53" s="29">
        <v>64</v>
      </c>
      <c r="P53" s="29">
        <v>8</v>
      </c>
      <c r="Q53" s="30">
        <v>2576</v>
      </c>
      <c r="R53" s="29">
        <v>275</v>
      </c>
      <c r="S53" s="35">
        <v>448</v>
      </c>
      <c r="T53" s="29">
        <v>4</v>
      </c>
      <c r="U53" s="29">
        <v>1</v>
      </c>
      <c r="V53" s="29">
        <v>0</v>
      </c>
      <c r="W53" s="29">
        <v>0</v>
      </c>
      <c r="X53" s="29">
        <v>85</v>
      </c>
      <c r="Y53" s="29">
        <v>252</v>
      </c>
      <c r="Z53" s="29">
        <v>55</v>
      </c>
      <c r="AA53" s="29">
        <v>88</v>
      </c>
      <c r="AB53" s="29">
        <v>27</v>
      </c>
    </row>
    <row r="54" spans="1:28" x14ac:dyDescent="0.35">
      <c r="A54" s="20" t="s">
        <v>78</v>
      </c>
      <c r="B54" s="21">
        <v>2</v>
      </c>
      <c r="C54" s="21">
        <v>335</v>
      </c>
      <c r="D54" s="21">
        <v>10</v>
      </c>
      <c r="E54" s="21">
        <v>8</v>
      </c>
      <c r="F54" s="21">
        <v>19</v>
      </c>
      <c r="G54" s="21">
        <v>10</v>
      </c>
      <c r="H54" s="21">
        <v>5</v>
      </c>
      <c r="I54" s="21">
        <v>17</v>
      </c>
      <c r="J54" s="21">
        <v>1166</v>
      </c>
      <c r="K54" s="21">
        <v>25</v>
      </c>
      <c r="L54" s="21">
        <v>1031</v>
      </c>
      <c r="M54" s="21">
        <v>489</v>
      </c>
      <c r="N54" s="21">
        <v>1</v>
      </c>
      <c r="O54" s="21">
        <v>29</v>
      </c>
      <c r="P54" s="21">
        <v>10</v>
      </c>
      <c r="Q54" s="23">
        <v>912</v>
      </c>
      <c r="R54" s="21">
        <v>1</v>
      </c>
      <c r="S54" s="21">
        <v>456</v>
      </c>
      <c r="T54" s="21">
        <v>5</v>
      </c>
      <c r="U54" s="21">
        <v>1</v>
      </c>
      <c r="V54" s="21">
        <v>0</v>
      </c>
    </row>
    <row r="55" spans="1:28" x14ac:dyDescent="0.35">
      <c r="A55" s="24" t="s">
        <v>380</v>
      </c>
      <c r="B55" s="16">
        <v>1</v>
      </c>
      <c r="C55" s="16">
        <v>130</v>
      </c>
      <c r="D55" s="16">
        <v>5</v>
      </c>
      <c r="E55" s="16">
        <v>6</v>
      </c>
      <c r="F55" s="16">
        <v>10</v>
      </c>
      <c r="G55" s="16">
        <v>5</v>
      </c>
      <c r="H55" s="16">
        <v>2</v>
      </c>
      <c r="I55" s="16">
        <v>9</v>
      </c>
      <c r="J55" s="16">
        <v>633</v>
      </c>
      <c r="K55" s="16">
        <v>0</v>
      </c>
      <c r="L55" s="16">
        <v>693</v>
      </c>
      <c r="M55" s="16">
        <v>251</v>
      </c>
      <c r="N55" s="16">
        <v>1</v>
      </c>
      <c r="O55" s="16">
        <v>12</v>
      </c>
      <c r="P55" s="16">
        <v>3</v>
      </c>
      <c r="Q55" s="17">
        <v>388</v>
      </c>
      <c r="R55" s="16">
        <v>0</v>
      </c>
      <c r="S55" s="18">
        <v>177</v>
      </c>
      <c r="T55" s="16">
        <v>1</v>
      </c>
      <c r="U55" s="16">
        <v>1</v>
      </c>
      <c r="V55" s="16">
        <v>0</v>
      </c>
      <c r="W55" s="16">
        <v>1</v>
      </c>
      <c r="X55" s="16">
        <v>51</v>
      </c>
      <c r="Y55" s="16">
        <v>205</v>
      </c>
      <c r="Z55" s="16">
        <v>99</v>
      </c>
      <c r="AA55" s="16">
        <v>77</v>
      </c>
      <c r="AB55" s="16">
        <v>181</v>
      </c>
    </row>
    <row r="56" spans="1:28" x14ac:dyDescent="0.35">
      <c r="A56" s="28" t="s">
        <v>381</v>
      </c>
      <c r="B56" s="29">
        <v>1</v>
      </c>
      <c r="C56" s="29">
        <v>205</v>
      </c>
      <c r="D56" s="29">
        <v>5</v>
      </c>
      <c r="E56" s="29">
        <v>2</v>
      </c>
      <c r="F56" s="29">
        <v>9</v>
      </c>
      <c r="G56" s="29">
        <v>5</v>
      </c>
      <c r="H56" s="29">
        <v>3</v>
      </c>
      <c r="I56" s="29">
        <v>8</v>
      </c>
      <c r="J56" s="29">
        <v>533</v>
      </c>
      <c r="K56" s="29">
        <v>25</v>
      </c>
      <c r="L56" s="29">
        <v>338</v>
      </c>
      <c r="M56" s="29">
        <v>238</v>
      </c>
      <c r="N56" s="29">
        <v>0</v>
      </c>
      <c r="O56" s="29">
        <v>17</v>
      </c>
      <c r="P56" s="29">
        <v>7</v>
      </c>
      <c r="Q56" s="30">
        <v>524</v>
      </c>
      <c r="R56" s="29">
        <v>1</v>
      </c>
      <c r="S56" s="35">
        <v>267</v>
      </c>
      <c r="T56" s="29">
        <v>4</v>
      </c>
      <c r="U56" s="29">
        <v>1</v>
      </c>
      <c r="V56" s="29">
        <v>0</v>
      </c>
      <c r="W56" s="29">
        <v>0</v>
      </c>
      <c r="X56" s="29">
        <v>36</v>
      </c>
      <c r="Y56" s="29">
        <v>208</v>
      </c>
      <c r="Z56" s="29">
        <v>91</v>
      </c>
      <c r="AA56" s="29">
        <v>75</v>
      </c>
      <c r="AB56" s="29">
        <v>100</v>
      </c>
    </row>
    <row r="57" spans="1:28" x14ac:dyDescent="0.35">
      <c r="A57" t="s">
        <v>255</v>
      </c>
      <c r="B57" s="18">
        <v>3</v>
      </c>
      <c r="C57" s="18">
        <v>391</v>
      </c>
      <c r="D57" s="18">
        <v>9</v>
      </c>
      <c r="E57" s="18">
        <v>12</v>
      </c>
      <c r="F57" s="18">
        <v>17</v>
      </c>
      <c r="G57" s="18">
        <v>10</v>
      </c>
      <c r="H57" s="18">
        <v>3</v>
      </c>
      <c r="I57" s="18">
        <v>21</v>
      </c>
      <c r="J57" s="18">
        <v>1738</v>
      </c>
      <c r="K57" s="18">
        <v>128</v>
      </c>
      <c r="L57" s="18">
        <v>2129</v>
      </c>
      <c r="M57" s="18">
        <v>794</v>
      </c>
      <c r="N57" s="18">
        <v>1</v>
      </c>
      <c r="O57" s="18">
        <v>90</v>
      </c>
      <c r="P57" s="18">
        <v>17</v>
      </c>
      <c r="Q57" s="18">
        <v>2688</v>
      </c>
      <c r="R57" s="18">
        <v>87</v>
      </c>
      <c r="S57" s="18">
        <v>269</v>
      </c>
      <c r="T57" s="18">
        <v>2</v>
      </c>
      <c r="U57" s="18">
        <v>1</v>
      </c>
      <c r="V57" s="18">
        <v>0</v>
      </c>
      <c r="W57" s="18">
        <v>0</v>
      </c>
      <c r="X57" s="18">
        <v>42</v>
      </c>
      <c r="Y57" s="18">
        <v>140</v>
      </c>
      <c r="Z57" s="18">
        <v>58</v>
      </c>
      <c r="AA57" s="18">
        <v>42</v>
      </c>
      <c r="AB57" s="18">
        <v>15</v>
      </c>
    </row>
    <row r="58" spans="1:28" x14ac:dyDescent="0.35">
      <c r="A58" t="s">
        <v>162</v>
      </c>
      <c r="B58" s="18">
        <v>2</v>
      </c>
      <c r="C58" s="18">
        <v>540</v>
      </c>
      <c r="D58" s="18">
        <v>8</v>
      </c>
      <c r="E58" s="18">
        <v>6</v>
      </c>
      <c r="F58" s="18">
        <v>13</v>
      </c>
      <c r="G58" s="18">
        <v>5</v>
      </c>
      <c r="H58" s="18">
        <v>8</v>
      </c>
      <c r="I58" s="18">
        <v>12</v>
      </c>
      <c r="J58" s="18">
        <v>868</v>
      </c>
      <c r="K58" s="18">
        <v>55</v>
      </c>
      <c r="L58" s="18">
        <v>1466</v>
      </c>
      <c r="M58" s="18">
        <v>298</v>
      </c>
      <c r="N58" s="18">
        <v>3</v>
      </c>
      <c r="O58" s="18">
        <v>43</v>
      </c>
      <c r="P58" s="18">
        <v>10</v>
      </c>
      <c r="Q58" s="18">
        <v>1374</v>
      </c>
      <c r="R58" s="18">
        <v>213</v>
      </c>
      <c r="S58" s="18">
        <v>203</v>
      </c>
      <c r="T58" s="18">
        <v>3</v>
      </c>
      <c r="U58" s="18">
        <v>0</v>
      </c>
      <c r="V58" s="18">
        <v>0</v>
      </c>
      <c r="W58" s="18">
        <v>1</v>
      </c>
      <c r="X58" s="18">
        <v>11</v>
      </c>
      <c r="Y58" s="18">
        <v>103</v>
      </c>
      <c r="Z58" s="18">
        <v>72</v>
      </c>
      <c r="AA58" s="18">
        <v>22</v>
      </c>
      <c r="AB58" s="18">
        <v>10</v>
      </c>
    </row>
    <row r="59" spans="1:28" x14ac:dyDescent="0.35">
      <c r="A59" t="s">
        <v>145</v>
      </c>
      <c r="B59" s="18">
        <v>4</v>
      </c>
      <c r="C59" s="18">
        <v>348</v>
      </c>
      <c r="D59" s="18">
        <v>11</v>
      </c>
      <c r="E59" s="18">
        <v>6</v>
      </c>
      <c r="F59" s="18">
        <v>16</v>
      </c>
      <c r="G59" s="18">
        <v>5</v>
      </c>
      <c r="H59" s="18">
        <v>2</v>
      </c>
      <c r="I59" s="18">
        <v>15</v>
      </c>
      <c r="J59" s="18">
        <v>474</v>
      </c>
      <c r="K59" s="18">
        <v>53</v>
      </c>
      <c r="L59" s="18">
        <v>2970</v>
      </c>
      <c r="M59" s="18">
        <v>160</v>
      </c>
      <c r="N59" s="18">
        <v>1</v>
      </c>
      <c r="O59" s="26">
        <v>25</v>
      </c>
      <c r="P59" s="26">
        <v>4</v>
      </c>
      <c r="Q59" s="18">
        <v>752</v>
      </c>
      <c r="R59" s="26">
        <v>10</v>
      </c>
      <c r="S59" s="18">
        <v>153</v>
      </c>
      <c r="T59" s="26">
        <v>2</v>
      </c>
      <c r="U59" s="18">
        <v>1</v>
      </c>
      <c r="V59" s="26">
        <v>0</v>
      </c>
      <c r="W59" s="18">
        <v>1</v>
      </c>
      <c r="X59" s="26">
        <v>9</v>
      </c>
      <c r="Y59" s="18">
        <v>70</v>
      </c>
      <c r="Z59" s="26">
        <v>54</v>
      </c>
      <c r="AA59" s="18">
        <v>12</v>
      </c>
      <c r="AB59" s="26">
        <v>5</v>
      </c>
    </row>
    <row r="60" spans="1:28" x14ac:dyDescent="0.35">
      <c r="A60" t="s">
        <v>164</v>
      </c>
      <c r="B60" s="18">
        <v>8</v>
      </c>
      <c r="C60" s="18">
        <v>880</v>
      </c>
      <c r="D60" s="18">
        <v>11</v>
      </c>
      <c r="E60" s="18">
        <v>11</v>
      </c>
      <c r="F60" s="18">
        <v>17</v>
      </c>
      <c r="G60" s="18">
        <v>14</v>
      </c>
      <c r="H60" s="18">
        <v>10</v>
      </c>
      <c r="I60" s="18">
        <v>16</v>
      </c>
      <c r="J60" s="26">
        <v>1904</v>
      </c>
      <c r="K60" s="26">
        <v>165</v>
      </c>
      <c r="L60" s="26">
        <v>3365</v>
      </c>
      <c r="M60" s="18">
        <v>676</v>
      </c>
      <c r="N60" s="18">
        <v>4</v>
      </c>
      <c r="O60" s="26">
        <v>79</v>
      </c>
      <c r="P60" s="26">
        <v>5</v>
      </c>
      <c r="Q60" s="18">
        <v>2174</v>
      </c>
      <c r="R60" s="26">
        <v>702</v>
      </c>
      <c r="S60" s="18">
        <v>461</v>
      </c>
      <c r="T60" s="26">
        <v>4</v>
      </c>
      <c r="U60" s="18">
        <v>2</v>
      </c>
      <c r="V60" s="26">
        <v>0</v>
      </c>
      <c r="W60" s="18">
        <v>2</v>
      </c>
      <c r="X60" s="26">
        <v>38</v>
      </c>
      <c r="Y60" s="18">
        <v>230</v>
      </c>
      <c r="Z60" s="26">
        <v>124</v>
      </c>
      <c r="AA60" s="18">
        <v>48</v>
      </c>
      <c r="AB60" s="26">
        <v>41</v>
      </c>
    </row>
    <row r="61" spans="1:28" x14ac:dyDescent="0.35">
      <c r="A61" t="s">
        <v>201</v>
      </c>
      <c r="B61" s="18">
        <v>4</v>
      </c>
      <c r="C61" s="18">
        <v>514</v>
      </c>
      <c r="D61" s="18">
        <v>12</v>
      </c>
      <c r="E61" s="18">
        <v>7</v>
      </c>
      <c r="F61" s="18">
        <v>15</v>
      </c>
      <c r="G61" s="18">
        <v>9</v>
      </c>
      <c r="H61" s="18">
        <v>4</v>
      </c>
      <c r="I61" s="18">
        <v>18</v>
      </c>
      <c r="J61" s="18">
        <v>821</v>
      </c>
      <c r="K61" s="18">
        <v>75</v>
      </c>
      <c r="L61" s="18">
        <v>1221</v>
      </c>
      <c r="M61" s="18">
        <v>321</v>
      </c>
      <c r="N61" s="18">
        <v>0</v>
      </c>
      <c r="O61" s="26">
        <v>69</v>
      </c>
      <c r="P61" s="18">
        <v>11</v>
      </c>
      <c r="Q61" s="18">
        <v>1376</v>
      </c>
      <c r="R61" s="26">
        <v>21</v>
      </c>
      <c r="S61" s="18">
        <v>163</v>
      </c>
      <c r="T61" s="26">
        <v>0</v>
      </c>
      <c r="U61" s="18">
        <v>1</v>
      </c>
      <c r="V61" s="26">
        <v>0</v>
      </c>
      <c r="W61" s="18">
        <v>2</v>
      </c>
      <c r="X61" s="26">
        <v>18</v>
      </c>
      <c r="Y61" s="18">
        <v>91</v>
      </c>
      <c r="Z61" s="26">
        <v>38</v>
      </c>
      <c r="AA61" s="18">
        <v>31</v>
      </c>
      <c r="AB61" s="26">
        <v>4</v>
      </c>
    </row>
    <row r="62" spans="1:28" x14ac:dyDescent="0.35">
      <c r="A62" t="s">
        <v>382</v>
      </c>
      <c r="B62" s="18">
        <v>5</v>
      </c>
      <c r="C62" s="18">
        <v>372</v>
      </c>
      <c r="D62" s="18">
        <v>7</v>
      </c>
      <c r="E62" s="18">
        <v>7</v>
      </c>
      <c r="F62" s="18">
        <v>7</v>
      </c>
      <c r="G62" s="18">
        <v>7</v>
      </c>
      <c r="H62" s="18">
        <v>2</v>
      </c>
      <c r="I62" s="18">
        <v>16</v>
      </c>
      <c r="J62" s="18">
        <v>731</v>
      </c>
      <c r="K62" s="18">
        <v>42</v>
      </c>
      <c r="L62" s="18">
        <v>1170</v>
      </c>
      <c r="M62" s="18">
        <v>324</v>
      </c>
      <c r="N62" s="18">
        <v>0</v>
      </c>
      <c r="O62" s="26">
        <v>27</v>
      </c>
      <c r="P62" s="18">
        <v>3</v>
      </c>
      <c r="Q62" s="18">
        <v>924</v>
      </c>
      <c r="R62" s="26">
        <v>67</v>
      </c>
      <c r="S62" s="18">
        <v>160</v>
      </c>
      <c r="T62" s="26">
        <v>0</v>
      </c>
      <c r="U62" s="18">
        <v>1</v>
      </c>
      <c r="V62" s="26">
        <v>0</v>
      </c>
      <c r="W62" s="18">
        <v>0</v>
      </c>
      <c r="X62" s="26">
        <v>24</v>
      </c>
      <c r="Y62" s="18">
        <v>70</v>
      </c>
      <c r="Z62" s="26">
        <v>20</v>
      </c>
      <c r="AA62" s="18">
        <v>28</v>
      </c>
      <c r="AB62" s="26">
        <v>11</v>
      </c>
    </row>
    <row r="63" spans="1:28" x14ac:dyDescent="0.35">
      <c r="A63" s="1" t="s">
        <v>383</v>
      </c>
      <c r="B63" s="35">
        <v>5</v>
      </c>
      <c r="C63" s="35">
        <v>648</v>
      </c>
      <c r="D63" s="35">
        <v>11</v>
      </c>
      <c r="E63" s="35">
        <v>14</v>
      </c>
      <c r="F63" s="35">
        <v>12</v>
      </c>
      <c r="G63" s="35">
        <v>9</v>
      </c>
      <c r="H63" s="35">
        <v>11</v>
      </c>
      <c r="I63" s="35">
        <v>25</v>
      </c>
      <c r="J63" s="35">
        <v>942</v>
      </c>
      <c r="K63" s="35">
        <v>77</v>
      </c>
      <c r="L63" s="35">
        <v>1545</v>
      </c>
      <c r="M63" s="35">
        <v>516</v>
      </c>
      <c r="N63" s="35">
        <v>0</v>
      </c>
      <c r="O63" s="35">
        <v>52</v>
      </c>
      <c r="P63" s="35">
        <v>8</v>
      </c>
      <c r="Q63" s="35">
        <v>2297</v>
      </c>
      <c r="R63" s="35">
        <v>146</v>
      </c>
      <c r="S63" s="35">
        <v>283</v>
      </c>
      <c r="T63" s="35">
        <v>0</v>
      </c>
      <c r="U63" s="35">
        <v>0</v>
      </c>
      <c r="V63" s="35">
        <v>0</v>
      </c>
      <c r="W63" s="35">
        <v>1</v>
      </c>
      <c r="X63" s="35">
        <v>20</v>
      </c>
      <c r="Y63" s="35">
        <v>66</v>
      </c>
      <c r="Z63" s="35">
        <v>25</v>
      </c>
      <c r="AA63" s="35">
        <v>22</v>
      </c>
      <c r="AB63" s="35">
        <v>3</v>
      </c>
    </row>
    <row r="66" spans="1:29" x14ac:dyDescent="0.35">
      <c r="A66" s="7" t="s">
        <v>811</v>
      </c>
    </row>
    <row r="68" spans="1:29" x14ac:dyDescent="0.35">
      <c r="A68" s="37" t="s">
        <v>422</v>
      </c>
      <c r="B68" s="37" t="s">
        <v>421</v>
      </c>
      <c r="C68" s="37" t="s">
        <v>332</v>
      </c>
      <c r="D68" s="37" t="s">
        <v>333</v>
      </c>
      <c r="E68" s="37" t="s">
        <v>334</v>
      </c>
      <c r="F68" s="37" t="s">
        <v>335</v>
      </c>
      <c r="G68" s="37" t="s">
        <v>336</v>
      </c>
      <c r="H68" s="37" t="s">
        <v>337</v>
      </c>
      <c r="I68" s="37" t="s">
        <v>338</v>
      </c>
      <c r="J68" s="37" t="s">
        <v>502</v>
      </c>
      <c r="K68" s="37" t="s">
        <v>339</v>
      </c>
      <c r="L68" s="37" t="s">
        <v>340</v>
      </c>
      <c r="M68" s="37" t="s">
        <v>341</v>
      </c>
      <c r="N68" s="37" t="s">
        <v>342</v>
      </c>
      <c r="O68" s="37" t="s">
        <v>386</v>
      </c>
      <c r="P68" s="37" t="s">
        <v>344</v>
      </c>
      <c r="Q68" s="37" t="s">
        <v>345</v>
      </c>
      <c r="R68" s="37" t="s">
        <v>346</v>
      </c>
      <c r="S68" s="37" t="s">
        <v>347</v>
      </c>
      <c r="T68" s="37" t="s">
        <v>348</v>
      </c>
      <c r="U68" s="37" t="s">
        <v>349</v>
      </c>
      <c r="V68" s="37" t="s">
        <v>350</v>
      </c>
      <c r="W68" s="37" t="s">
        <v>351</v>
      </c>
      <c r="X68" s="37" t="s">
        <v>26</v>
      </c>
      <c r="Y68" s="37" t="s">
        <v>352</v>
      </c>
      <c r="Z68" s="37" t="s">
        <v>353</v>
      </c>
      <c r="AA68" s="37" t="s">
        <v>354</v>
      </c>
      <c r="AB68" s="37" t="s">
        <v>355</v>
      </c>
      <c r="AC68" s="37" t="s">
        <v>356</v>
      </c>
    </row>
    <row r="69" spans="1:29" x14ac:dyDescent="0.35">
      <c r="A69" t="s">
        <v>70</v>
      </c>
      <c r="B69" t="s">
        <v>87</v>
      </c>
      <c r="C69">
        <v>5</v>
      </c>
      <c r="D69">
        <v>548</v>
      </c>
      <c r="E69">
        <v>17</v>
      </c>
      <c r="F69">
        <v>9</v>
      </c>
      <c r="G69">
        <v>12</v>
      </c>
      <c r="H69">
        <v>7</v>
      </c>
      <c r="I69">
        <v>45</v>
      </c>
      <c r="J69">
        <v>25</v>
      </c>
      <c r="K69">
        <v>1598</v>
      </c>
      <c r="L69">
        <v>261</v>
      </c>
      <c r="M69">
        <v>7297</v>
      </c>
      <c r="N69">
        <v>1586</v>
      </c>
      <c r="O69">
        <v>0</v>
      </c>
      <c r="P69">
        <v>83</v>
      </c>
      <c r="Q69">
        <v>7</v>
      </c>
      <c r="R69">
        <v>3943</v>
      </c>
      <c r="S69">
        <v>238</v>
      </c>
      <c r="T69">
        <v>1229</v>
      </c>
      <c r="U69">
        <v>1</v>
      </c>
      <c r="V69">
        <v>1</v>
      </c>
      <c r="W69">
        <v>0</v>
      </c>
      <c r="X69">
        <v>1</v>
      </c>
      <c r="Y69">
        <v>289</v>
      </c>
      <c r="Z69">
        <v>300</v>
      </c>
      <c r="AA69">
        <v>26</v>
      </c>
      <c r="AB69">
        <v>235</v>
      </c>
      <c r="AC69">
        <v>46</v>
      </c>
    </row>
    <row r="70" spans="1:29" s="36" customFormat="1" x14ac:dyDescent="0.35">
      <c r="A70" s="36" t="s">
        <v>78</v>
      </c>
      <c r="B70" s="36" t="s">
        <v>403</v>
      </c>
      <c r="C70" s="36">
        <v>1</v>
      </c>
      <c r="D70" s="36">
        <v>172.55910987482613</v>
      </c>
      <c r="E70" s="36">
        <v>5</v>
      </c>
      <c r="F70" s="36">
        <v>3.7301808066759383</v>
      </c>
      <c r="G70" s="36">
        <v>9.4325452016689848</v>
      </c>
      <c r="H70" s="36">
        <v>5</v>
      </c>
      <c r="I70" s="36">
        <v>2.5674547983310152</v>
      </c>
      <c r="J70" s="36">
        <v>8.4325452016689848</v>
      </c>
      <c r="K70" s="36">
        <v>576.25452016689837</v>
      </c>
      <c r="L70" s="36">
        <v>14.186369958275383</v>
      </c>
      <c r="M70" s="36">
        <v>491.55354659248951</v>
      </c>
      <c r="N70" s="36">
        <v>243.62308762169681</v>
      </c>
      <c r="O70" s="36">
        <v>0.43254520166898469</v>
      </c>
      <c r="P70" s="36">
        <v>14.837273991655076</v>
      </c>
      <c r="Q70" s="36">
        <v>5.2698191933240608</v>
      </c>
      <c r="R70" s="36">
        <v>465.17385257301805</v>
      </c>
      <c r="S70" s="36">
        <v>0.56745479833101531</v>
      </c>
      <c r="T70" s="36">
        <v>228.07093184979135</v>
      </c>
      <c r="U70" s="36">
        <v>2.702364394993046</v>
      </c>
      <c r="V70" s="36">
        <v>1</v>
      </c>
      <c r="W70" s="36">
        <v>0</v>
      </c>
      <c r="X70" s="36">
        <v>0.43254520166898469</v>
      </c>
      <c r="Y70" s="36">
        <v>42.48817802503477</v>
      </c>
      <c r="Z70" s="36">
        <v>206.70236439499305</v>
      </c>
      <c r="AA70" s="36">
        <v>94.460361613351878</v>
      </c>
      <c r="AB70" s="36">
        <v>75.865090403337973</v>
      </c>
      <c r="AC70" s="36">
        <v>135.03616133518776</v>
      </c>
    </row>
    <row r="71" spans="1:29" x14ac:dyDescent="0.35">
      <c r="A71" t="s">
        <v>77</v>
      </c>
      <c r="B71" t="s">
        <v>377</v>
      </c>
      <c r="C71">
        <v>7</v>
      </c>
      <c r="D71">
        <v>725</v>
      </c>
      <c r="E71">
        <v>13</v>
      </c>
      <c r="F71">
        <v>9</v>
      </c>
      <c r="G71">
        <v>11</v>
      </c>
      <c r="H71">
        <v>6</v>
      </c>
      <c r="I71">
        <v>11</v>
      </c>
      <c r="J71">
        <v>16</v>
      </c>
      <c r="K71">
        <v>349</v>
      </c>
      <c r="L71">
        <v>126</v>
      </c>
      <c r="M71">
        <v>2460</v>
      </c>
      <c r="N71">
        <v>471</v>
      </c>
      <c r="O71">
        <v>0</v>
      </c>
      <c r="P71">
        <v>77</v>
      </c>
      <c r="Q71">
        <v>10</v>
      </c>
      <c r="R71">
        <v>3937</v>
      </c>
      <c r="S71">
        <v>416</v>
      </c>
      <c r="T71">
        <v>484</v>
      </c>
      <c r="U71">
        <v>1</v>
      </c>
      <c r="V71">
        <v>0</v>
      </c>
      <c r="W71">
        <v>0</v>
      </c>
      <c r="X71">
        <v>1</v>
      </c>
      <c r="Y71">
        <v>68</v>
      </c>
      <c r="Z71">
        <v>139</v>
      </c>
      <c r="AA71">
        <v>71</v>
      </c>
      <c r="AB71">
        <v>61</v>
      </c>
      <c r="AC71">
        <v>14</v>
      </c>
    </row>
    <row r="72" spans="1:29" x14ac:dyDescent="0.35">
      <c r="A72" t="s">
        <v>75</v>
      </c>
      <c r="B72" t="s">
        <v>124</v>
      </c>
      <c r="C72">
        <v>3</v>
      </c>
      <c r="D72">
        <v>371</v>
      </c>
      <c r="E72">
        <v>12</v>
      </c>
      <c r="F72">
        <v>32</v>
      </c>
      <c r="G72">
        <v>22</v>
      </c>
      <c r="H72">
        <v>17</v>
      </c>
      <c r="I72">
        <v>19</v>
      </c>
      <c r="J72">
        <v>15</v>
      </c>
      <c r="K72">
        <v>728</v>
      </c>
      <c r="L72">
        <v>186</v>
      </c>
      <c r="M72">
        <v>4709</v>
      </c>
      <c r="N72">
        <v>899</v>
      </c>
      <c r="O72">
        <v>0</v>
      </c>
      <c r="P72">
        <v>119</v>
      </c>
      <c r="Q72">
        <v>18</v>
      </c>
      <c r="R72">
        <v>4179</v>
      </c>
      <c r="S72">
        <v>500</v>
      </c>
      <c r="T72">
        <v>1009</v>
      </c>
      <c r="U72">
        <v>5</v>
      </c>
      <c r="V72">
        <v>1</v>
      </c>
      <c r="W72">
        <v>0</v>
      </c>
      <c r="X72">
        <v>0</v>
      </c>
      <c r="Y72">
        <v>166</v>
      </c>
      <c r="Z72">
        <v>243</v>
      </c>
      <c r="AA72">
        <v>139</v>
      </c>
      <c r="AB72">
        <v>116</v>
      </c>
      <c r="AC72">
        <v>76</v>
      </c>
    </row>
    <row r="73" spans="1:29" x14ac:dyDescent="0.35">
      <c r="A73" t="s">
        <v>59</v>
      </c>
      <c r="B73" t="s">
        <v>404</v>
      </c>
      <c r="C73" s="36">
        <v>9.41487642349197</v>
      </c>
      <c r="D73" s="36">
        <v>820.05776020687256</v>
      </c>
      <c r="E73" s="36">
        <v>17.647085881943408</v>
      </c>
      <c r="F73" s="36">
        <v>16.930366999850811</v>
      </c>
      <c r="G73" s="36">
        <v>18.536003779402257</v>
      </c>
      <c r="H73" s="36">
        <v>17.162576458302254</v>
      </c>
      <c r="I73" s="36">
        <v>5.1602018996469248</v>
      </c>
      <c r="J73" s="36">
        <v>26.041449102391965</v>
      </c>
      <c r="K73" s="36">
        <v>301.72237555323488</v>
      </c>
      <c r="L73" s="36">
        <v>115.87818887065494</v>
      </c>
      <c r="M73" s="36">
        <v>1888.1945273260728</v>
      </c>
      <c r="N73" s="36">
        <v>357.25123079218258</v>
      </c>
      <c r="O73" s="36">
        <v>0</v>
      </c>
      <c r="P73" s="36">
        <v>60.895482122432739</v>
      </c>
      <c r="Q73" s="36">
        <v>5.8993858471331242</v>
      </c>
      <c r="R73" s="36">
        <v>2234.6992515788952</v>
      </c>
      <c r="S73" s="36">
        <v>412.07717937242035</v>
      </c>
      <c r="T73" s="36">
        <v>364.40391118404693</v>
      </c>
      <c r="U73" s="36">
        <v>4.4949773733154315</v>
      </c>
      <c r="V73" s="36">
        <v>0.89938584713312453</v>
      </c>
      <c r="W73" s="36">
        <v>0</v>
      </c>
      <c r="X73" s="36">
        <v>0.12112735591028891</v>
      </c>
      <c r="Y73" s="36">
        <v>46.908324630762344</v>
      </c>
      <c r="Z73" s="36">
        <v>190.30076085334926</v>
      </c>
      <c r="AA73" s="36">
        <v>56.423392510816058</v>
      </c>
      <c r="AB73" s="36">
        <v>85.755246407081415</v>
      </c>
      <c r="AC73" s="36">
        <v>18.189231190014421</v>
      </c>
    </row>
    <row r="74" spans="1:29" x14ac:dyDescent="0.35">
      <c r="A74" t="s">
        <v>76</v>
      </c>
      <c r="B74" t="s">
        <v>405</v>
      </c>
      <c r="C74" s="36">
        <v>6.1584120254384285</v>
      </c>
      <c r="D74" s="36">
        <v>389.85295818076702</v>
      </c>
      <c r="E74" s="36">
        <v>8.1574484486413574</v>
      </c>
      <c r="F74" s="36">
        <v>1.7843515128155711</v>
      </c>
      <c r="G74" s="36">
        <v>11.707265369049914</v>
      </c>
      <c r="H74" s="36">
        <v>7.9051840431682407</v>
      </c>
      <c r="I74" s="36">
        <v>8.465600308344575</v>
      </c>
      <c r="J74" s="36">
        <v>13.583542108306034</v>
      </c>
      <c r="K74" s="36">
        <v>1231.9254191559066</v>
      </c>
      <c r="L74" s="36">
        <v>66.123915976103291</v>
      </c>
      <c r="M74" s="36">
        <v>2416.8972827134321</v>
      </c>
      <c r="N74" s="36">
        <v>613.62304875698601</v>
      </c>
      <c r="O74" s="36">
        <v>0.28213528618230871</v>
      </c>
      <c r="P74" s="36">
        <v>47.981306610136834</v>
      </c>
      <c r="Q74" s="36">
        <v>8.2975525149354414</v>
      </c>
      <c r="R74" s="36">
        <v>1770.5103102717287</v>
      </c>
      <c r="S74" s="36">
        <v>130.89998072846407</v>
      </c>
      <c r="T74" s="36">
        <v>171.45731354788975</v>
      </c>
      <c r="U74" s="36">
        <v>0.57390634033532473</v>
      </c>
      <c r="V74" s="36">
        <v>0.28213528618230871</v>
      </c>
      <c r="W74" s="36">
        <v>0</v>
      </c>
      <c r="X74" s="36">
        <v>1.7130468298323378</v>
      </c>
      <c r="Y74" s="36">
        <v>31.25380612834843</v>
      </c>
      <c r="Z74" s="36">
        <v>119.5326652534207</v>
      </c>
      <c r="AA74" s="36">
        <v>42.51416457891694</v>
      </c>
      <c r="AB74" s="36">
        <v>27.075158990171516</v>
      </c>
      <c r="AC74" s="36">
        <v>7.1535941414530742</v>
      </c>
    </row>
    <row r="75" spans="1:29" x14ac:dyDescent="0.35">
      <c r="A75" t="s">
        <v>80</v>
      </c>
      <c r="B75" t="s">
        <v>406</v>
      </c>
      <c r="C75" s="36">
        <v>3.992943548387097</v>
      </c>
      <c r="D75" s="36">
        <v>621.38104838709683</v>
      </c>
      <c r="E75" s="36">
        <v>8.7318548387096779</v>
      </c>
      <c r="F75" s="36">
        <v>6.8921370967741939</v>
      </c>
      <c r="G75" s="36">
        <v>13.849798387096776</v>
      </c>
      <c r="H75" s="36">
        <v>7.7247983870967749</v>
      </c>
      <c r="I75" s="36">
        <v>8.7651209677419359</v>
      </c>
      <c r="J75" s="36">
        <v>13.152217741935484</v>
      </c>
      <c r="K75" s="36">
        <v>1197.4979838709678</v>
      </c>
      <c r="L75" s="36">
        <v>85.816532258064512</v>
      </c>
      <c r="M75" s="36">
        <v>2032.6159274193549</v>
      </c>
      <c r="N75" s="36">
        <v>437.23991935483878</v>
      </c>
      <c r="O75" s="36">
        <v>3.0423387096774195</v>
      </c>
      <c r="P75" s="36">
        <v>53.747983870967744</v>
      </c>
      <c r="Q75" s="36">
        <v>8.654233870967742</v>
      </c>
      <c r="R75" s="36">
        <v>1649.4284274193549</v>
      </c>
      <c r="S75" s="36">
        <v>341.89415322580646</v>
      </c>
      <c r="T75" s="36">
        <v>270.55141129032262</v>
      </c>
      <c r="U75" s="36">
        <v>3.0423387096774195</v>
      </c>
      <c r="V75" s="36">
        <v>0.53830645161290325</v>
      </c>
      <c r="W75" s="36">
        <v>0</v>
      </c>
      <c r="X75" s="36">
        <v>1.344758064516129</v>
      </c>
      <c r="Y75" s="36">
        <v>20.45967741935484</v>
      </c>
      <c r="Z75" s="36">
        <v>139.90423387096774</v>
      </c>
      <c r="AA75" s="36">
        <v>83.425403225806463</v>
      </c>
      <c r="AB75" s="36">
        <v>29.829637096774192</v>
      </c>
      <c r="AC75" s="36">
        <v>18.192540322580644</v>
      </c>
    </row>
    <row r="76" spans="1:29" x14ac:dyDescent="0.35">
      <c r="A76" t="s">
        <v>74</v>
      </c>
      <c r="B76" t="s">
        <v>74</v>
      </c>
      <c r="C76">
        <v>4</v>
      </c>
      <c r="D76">
        <v>472</v>
      </c>
      <c r="E76">
        <v>12</v>
      </c>
      <c r="F76">
        <v>7</v>
      </c>
      <c r="G76">
        <v>11</v>
      </c>
      <c r="H76">
        <v>7</v>
      </c>
      <c r="I76">
        <v>3</v>
      </c>
      <c r="J76">
        <v>16</v>
      </c>
      <c r="K76">
        <v>222</v>
      </c>
      <c r="L76">
        <v>49</v>
      </c>
      <c r="M76">
        <v>1048</v>
      </c>
      <c r="N76">
        <v>159</v>
      </c>
      <c r="O76">
        <v>3</v>
      </c>
      <c r="P76">
        <v>47</v>
      </c>
      <c r="Q76">
        <v>6</v>
      </c>
      <c r="R76">
        <v>1270</v>
      </c>
      <c r="S76">
        <v>149</v>
      </c>
      <c r="T76">
        <v>169</v>
      </c>
      <c r="U76">
        <v>2</v>
      </c>
      <c r="V76">
        <v>1</v>
      </c>
      <c r="W76">
        <v>0</v>
      </c>
      <c r="X76">
        <v>1</v>
      </c>
      <c r="Y76">
        <v>23</v>
      </c>
      <c r="Z76">
        <v>92</v>
      </c>
      <c r="AA76">
        <v>57</v>
      </c>
      <c r="AB76">
        <v>24</v>
      </c>
      <c r="AC76">
        <v>20</v>
      </c>
    </row>
    <row r="77" spans="1:29" x14ac:dyDescent="0.35">
      <c r="A77" t="s">
        <v>415</v>
      </c>
      <c r="B77" t="s">
        <v>173</v>
      </c>
      <c r="C77">
        <v>10</v>
      </c>
      <c r="D77">
        <v>1088</v>
      </c>
      <c r="E77">
        <v>16</v>
      </c>
      <c r="F77">
        <v>37</v>
      </c>
      <c r="G77">
        <v>34</v>
      </c>
      <c r="H77">
        <v>20</v>
      </c>
      <c r="I77">
        <v>26</v>
      </c>
      <c r="J77">
        <v>21</v>
      </c>
      <c r="K77">
        <v>1308</v>
      </c>
      <c r="L77">
        <v>254</v>
      </c>
      <c r="M77">
        <v>6345</v>
      </c>
      <c r="N77">
        <v>1816</v>
      </c>
      <c r="O77">
        <v>0</v>
      </c>
      <c r="P77">
        <v>122</v>
      </c>
      <c r="Q77">
        <v>16</v>
      </c>
      <c r="R77">
        <v>4236</v>
      </c>
      <c r="S77">
        <v>275</v>
      </c>
      <c r="T77">
        <v>910</v>
      </c>
      <c r="U77">
        <v>5</v>
      </c>
      <c r="V77">
        <v>2</v>
      </c>
      <c r="W77">
        <v>0</v>
      </c>
      <c r="X77">
        <v>4</v>
      </c>
      <c r="Y77">
        <v>194</v>
      </c>
      <c r="Z77">
        <v>335</v>
      </c>
      <c r="AA77">
        <v>155</v>
      </c>
      <c r="AB77">
        <v>298</v>
      </c>
      <c r="AC77">
        <v>97</v>
      </c>
    </row>
    <row r="78" spans="1:29" x14ac:dyDescent="0.35">
      <c r="A78" t="s">
        <v>416</v>
      </c>
      <c r="B78" t="s">
        <v>173</v>
      </c>
      <c r="C78">
        <v>10</v>
      </c>
      <c r="D78">
        <v>1088</v>
      </c>
      <c r="E78">
        <v>16</v>
      </c>
      <c r="F78">
        <v>37</v>
      </c>
      <c r="G78">
        <v>34</v>
      </c>
      <c r="H78">
        <v>20</v>
      </c>
      <c r="I78">
        <v>26</v>
      </c>
      <c r="J78">
        <v>21</v>
      </c>
      <c r="K78">
        <v>1308</v>
      </c>
      <c r="L78">
        <v>254</v>
      </c>
      <c r="M78">
        <v>6345</v>
      </c>
      <c r="N78">
        <v>1816</v>
      </c>
      <c r="O78">
        <v>0</v>
      </c>
      <c r="P78">
        <v>122</v>
      </c>
      <c r="Q78">
        <v>16</v>
      </c>
      <c r="R78">
        <v>4236</v>
      </c>
      <c r="S78">
        <v>275</v>
      </c>
      <c r="T78">
        <v>910</v>
      </c>
      <c r="U78">
        <v>5</v>
      </c>
      <c r="V78">
        <v>2</v>
      </c>
      <c r="W78">
        <v>0</v>
      </c>
      <c r="X78">
        <v>4</v>
      </c>
      <c r="Y78">
        <v>194</v>
      </c>
      <c r="Z78">
        <v>335</v>
      </c>
      <c r="AA78">
        <v>155</v>
      </c>
      <c r="AB78">
        <v>298</v>
      </c>
      <c r="AC78">
        <v>97</v>
      </c>
    </row>
    <row r="79" spans="1:29" x14ac:dyDescent="0.35">
      <c r="A79" t="s">
        <v>417</v>
      </c>
      <c r="B79" t="s">
        <v>173</v>
      </c>
      <c r="C79">
        <v>10</v>
      </c>
      <c r="D79">
        <v>1088</v>
      </c>
      <c r="E79">
        <v>16</v>
      </c>
      <c r="F79">
        <v>37</v>
      </c>
      <c r="G79">
        <v>34</v>
      </c>
      <c r="H79">
        <v>20</v>
      </c>
      <c r="I79">
        <v>26</v>
      </c>
      <c r="J79">
        <v>21</v>
      </c>
      <c r="K79">
        <v>1308</v>
      </c>
      <c r="L79">
        <v>254</v>
      </c>
      <c r="M79">
        <v>6345</v>
      </c>
      <c r="N79">
        <v>1816</v>
      </c>
      <c r="O79">
        <v>0</v>
      </c>
      <c r="P79">
        <v>122</v>
      </c>
      <c r="Q79">
        <v>16</v>
      </c>
      <c r="R79">
        <v>4236</v>
      </c>
      <c r="S79">
        <v>275</v>
      </c>
      <c r="T79">
        <v>910</v>
      </c>
      <c r="U79">
        <v>5</v>
      </c>
      <c r="V79">
        <v>2</v>
      </c>
      <c r="W79">
        <v>0</v>
      </c>
      <c r="X79">
        <v>4</v>
      </c>
      <c r="Y79">
        <v>194</v>
      </c>
      <c r="Z79">
        <v>335</v>
      </c>
      <c r="AA79">
        <v>155</v>
      </c>
      <c r="AB79">
        <v>298</v>
      </c>
      <c r="AC79">
        <v>97</v>
      </c>
    </row>
    <row r="80" spans="1:29" x14ac:dyDescent="0.35">
      <c r="A80" t="s">
        <v>54</v>
      </c>
      <c r="B80" t="s">
        <v>173</v>
      </c>
      <c r="C80">
        <v>10</v>
      </c>
      <c r="D80">
        <v>1088</v>
      </c>
      <c r="E80">
        <v>16</v>
      </c>
      <c r="F80">
        <v>37</v>
      </c>
      <c r="G80">
        <v>34</v>
      </c>
      <c r="H80">
        <v>20</v>
      </c>
      <c r="I80">
        <v>26</v>
      </c>
      <c r="J80">
        <v>21</v>
      </c>
      <c r="K80">
        <v>1308</v>
      </c>
      <c r="L80">
        <v>254</v>
      </c>
      <c r="M80">
        <v>6345</v>
      </c>
      <c r="N80">
        <v>1816</v>
      </c>
      <c r="O80">
        <v>0</v>
      </c>
      <c r="P80">
        <v>122</v>
      </c>
      <c r="Q80">
        <v>16</v>
      </c>
      <c r="R80">
        <v>4236</v>
      </c>
      <c r="S80">
        <v>275</v>
      </c>
      <c r="T80">
        <v>910</v>
      </c>
      <c r="U80">
        <v>5</v>
      </c>
      <c r="V80">
        <v>2</v>
      </c>
      <c r="W80">
        <v>0</v>
      </c>
      <c r="X80">
        <v>4</v>
      </c>
      <c r="Y80">
        <v>194</v>
      </c>
      <c r="Z80">
        <v>335</v>
      </c>
      <c r="AA80">
        <v>155</v>
      </c>
      <c r="AB80">
        <v>298</v>
      </c>
      <c r="AC80">
        <v>97</v>
      </c>
    </row>
    <row r="81" spans="1:29" x14ac:dyDescent="0.35">
      <c r="A81" t="s">
        <v>418</v>
      </c>
      <c r="B81" t="s">
        <v>173</v>
      </c>
      <c r="C81">
        <v>10</v>
      </c>
      <c r="D81">
        <v>1088</v>
      </c>
      <c r="E81">
        <v>16</v>
      </c>
      <c r="F81">
        <v>37</v>
      </c>
      <c r="G81">
        <v>34</v>
      </c>
      <c r="H81">
        <v>20</v>
      </c>
      <c r="I81">
        <v>26</v>
      </c>
      <c r="J81">
        <v>21</v>
      </c>
      <c r="K81">
        <v>1308</v>
      </c>
      <c r="L81">
        <v>254</v>
      </c>
      <c r="M81">
        <v>6345</v>
      </c>
      <c r="N81">
        <v>1816</v>
      </c>
      <c r="O81">
        <v>0</v>
      </c>
      <c r="P81">
        <v>122</v>
      </c>
      <c r="Q81">
        <v>16</v>
      </c>
      <c r="R81">
        <v>4236</v>
      </c>
      <c r="S81">
        <v>275</v>
      </c>
      <c r="T81">
        <v>910</v>
      </c>
      <c r="U81">
        <v>5</v>
      </c>
      <c r="V81">
        <v>2</v>
      </c>
      <c r="W81">
        <v>0</v>
      </c>
      <c r="X81">
        <v>4</v>
      </c>
      <c r="Y81">
        <v>194</v>
      </c>
      <c r="Z81">
        <v>335</v>
      </c>
      <c r="AA81">
        <v>155</v>
      </c>
      <c r="AB81">
        <v>298</v>
      </c>
      <c r="AC81">
        <v>97</v>
      </c>
    </row>
    <row r="82" spans="1:29" x14ac:dyDescent="0.35">
      <c r="A82" t="s">
        <v>65</v>
      </c>
      <c r="B82" t="s">
        <v>407</v>
      </c>
      <c r="C82" s="36">
        <v>15.510000000000002</v>
      </c>
      <c r="D82" s="36">
        <v>455.73</v>
      </c>
      <c r="E82" s="36">
        <v>25.410000000000004</v>
      </c>
      <c r="F82" s="36">
        <v>27.720000000000002</v>
      </c>
      <c r="G82" s="36">
        <v>49.17</v>
      </c>
      <c r="H82" s="36">
        <v>29.700000000000003</v>
      </c>
      <c r="I82" s="36">
        <v>19.14</v>
      </c>
      <c r="J82" s="36">
        <v>31.35</v>
      </c>
      <c r="K82" s="36">
        <v>1674.42</v>
      </c>
      <c r="L82" s="36">
        <v>201.63</v>
      </c>
      <c r="M82" s="36">
        <v>6930.33</v>
      </c>
      <c r="N82" s="36">
        <v>1989.2400000000002</v>
      </c>
      <c r="O82" s="36">
        <v>0.33</v>
      </c>
      <c r="P82" s="36">
        <v>124.41</v>
      </c>
      <c r="Q82" s="36">
        <v>21.450000000000003</v>
      </c>
      <c r="R82" s="36">
        <v>3262.71</v>
      </c>
      <c r="S82" s="36">
        <v>54.120000000000005</v>
      </c>
      <c r="T82" s="36">
        <v>1242.45</v>
      </c>
      <c r="U82" s="36">
        <v>9.57</v>
      </c>
      <c r="V82" s="36">
        <v>2.31</v>
      </c>
      <c r="W82" s="36">
        <v>3.3000000000000003</v>
      </c>
      <c r="X82" s="36">
        <v>0.66</v>
      </c>
      <c r="Y82" s="36">
        <v>198</v>
      </c>
      <c r="Z82" s="36">
        <v>444.84000000000003</v>
      </c>
      <c r="AA82" s="36">
        <v>172.26000000000002</v>
      </c>
      <c r="AB82" s="36">
        <v>218.46</v>
      </c>
      <c r="AC82" s="36">
        <v>125.07000000000001</v>
      </c>
    </row>
    <row r="83" spans="1:29" x14ac:dyDescent="0.35">
      <c r="A83" t="s">
        <v>55</v>
      </c>
      <c r="B83" t="s">
        <v>408</v>
      </c>
      <c r="C83" s="36">
        <v>7.2860438292964247</v>
      </c>
      <c r="D83" s="36">
        <v>697.75009611687813</v>
      </c>
      <c r="E83" s="36">
        <v>24</v>
      </c>
      <c r="F83" s="36">
        <v>17.144944252210689</v>
      </c>
      <c r="G83" s="36">
        <v>5.7154940407535566</v>
      </c>
      <c r="H83" s="36">
        <v>10.286043829296425</v>
      </c>
      <c r="I83" s="36">
        <v>19.00153787004998</v>
      </c>
      <c r="J83" s="36">
        <v>29.428681276432144</v>
      </c>
      <c r="K83" s="36">
        <v>942.62668204536726</v>
      </c>
      <c r="L83" s="36">
        <v>80.85890042291426</v>
      </c>
      <c r="M83" s="36">
        <v>3298.7066512879665</v>
      </c>
      <c r="N83" s="36">
        <v>836.31449442522103</v>
      </c>
      <c r="O83" s="36">
        <v>2</v>
      </c>
      <c r="P83" s="36">
        <v>69.144175317185699</v>
      </c>
      <c r="Q83" s="36">
        <v>6.7139561707035753</v>
      </c>
      <c r="R83" s="36">
        <v>2939.9504036908884</v>
      </c>
      <c r="S83" s="36">
        <v>258.2814302191465</v>
      </c>
      <c r="T83" s="36">
        <v>421.42176086120719</v>
      </c>
      <c r="U83" s="36">
        <v>3.142637447135717</v>
      </c>
      <c r="V83" s="36">
        <v>1</v>
      </c>
      <c r="W83" s="36">
        <v>0</v>
      </c>
      <c r="X83" s="36">
        <v>0.42868127643214149</v>
      </c>
      <c r="Y83" s="36">
        <v>100.4325259515571</v>
      </c>
      <c r="Z83" s="36">
        <v>275.5774702037678</v>
      </c>
      <c r="AA83" s="36">
        <v>51.141868512110726</v>
      </c>
      <c r="AB83" s="36">
        <v>118.86505190311418</v>
      </c>
      <c r="AC83" s="36">
        <v>31.286812764321414</v>
      </c>
    </row>
    <row r="84" spans="1:29" x14ac:dyDescent="0.35">
      <c r="A84" t="s">
        <v>62</v>
      </c>
      <c r="B84" t="s">
        <v>409</v>
      </c>
      <c r="C84" s="36">
        <v>7.6300000000000008</v>
      </c>
      <c r="D84" s="36">
        <v>415.23</v>
      </c>
      <c r="E84" s="36">
        <v>9.3000000000000007</v>
      </c>
      <c r="F84" s="36">
        <v>15.6</v>
      </c>
      <c r="G84" s="36">
        <v>4.7</v>
      </c>
      <c r="H84" s="36">
        <v>7.78</v>
      </c>
      <c r="I84" s="36">
        <v>6.1400000000000006</v>
      </c>
      <c r="J84" s="36">
        <v>14.64</v>
      </c>
      <c r="K84" s="36">
        <v>469.99</v>
      </c>
      <c r="L84" s="36">
        <v>44.06</v>
      </c>
      <c r="M84" s="36">
        <v>1751.5000000000002</v>
      </c>
      <c r="N84" s="36">
        <v>402.36000000000007</v>
      </c>
      <c r="O84" s="36">
        <v>0</v>
      </c>
      <c r="P84" s="36">
        <v>39.700000000000003</v>
      </c>
      <c r="Q84" s="36">
        <v>5.4300000000000006</v>
      </c>
      <c r="R84" s="36">
        <v>2092.91</v>
      </c>
      <c r="S84" s="36">
        <v>70.09</v>
      </c>
      <c r="T84" s="36">
        <v>282.02999999999997</v>
      </c>
      <c r="U84" s="36">
        <v>0.67</v>
      </c>
      <c r="V84" s="36">
        <v>0.9</v>
      </c>
      <c r="W84" s="36">
        <v>0</v>
      </c>
      <c r="X84" s="36">
        <v>2.1</v>
      </c>
      <c r="Y84" s="36">
        <v>40.82</v>
      </c>
      <c r="Z84" s="36">
        <v>109.14000000000001</v>
      </c>
      <c r="AA84" s="36">
        <v>20.92</v>
      </c>
      <c r="AB84" s="36">
        <v>55.989999999999995</v>
      </c>
      <c r="AC84" s="36">
        <v>11.510000000000002</v>
      </c>
    </row>
    <row r="85" spans="1:29" x14ac:dyDescent="0.35">
      <c r="A85" t="s">
        <v>51</v>
      </c>
      <c r="B85" t="s">
        <v>201</v>
      </c>
      <c r="C85">
        <v>4</v>
      </c>
      <c r="D85">
        <v>514</v>
      </c>
      <c r="E85">
        <v>12</v>
      </c>
      <c r="F85">
        <v>7</v>
      </c>
      <c r="G85">
        <v>15</v>
      </c>
      <c r="H85">
        <v>9</v>
      </c>
      <c r="I85">
        <v>4</v>
      </c>
      <c r="J85">
        <v>18</v>
      </c>
      <c r="K85">
        <v>821</v>
      </c>
      <c r="L85">
        <v>75</v>
      </c>
      <c r="M85">
        <v>1221</v>
      </c>
      <c r="N85">
        <v>321</v>
      </c>
      <c r="O85">
        <v>0</v>
      </c>
      <c r="P85">
        <v>69</v>
      </c>
      <c r="Q85">
        <v>11</v>
      </c>
      <c r="R85">
        <v>1376</v>
      </c>
      <c r="S85">
        <v>21</v>
      </c>
      <c r="T85">
        <v>163</v>
      </c>
      <c r="U85">
        <v>0</v>
      </c>
      <c r="V85">
        <v>1</v>
      </c>
      <c r="W85">
        <v>0</v>
      </c>
      <c r="X85">
        <v>2</v>
      </c>
      <c r="Y85">
        <v>18</v>
      </c>
      <c r="Z85">
        <v>91</v>
      </c>
      <c r="AA85">
        <v>38</v>
      </c>
      <c r="AB85">
        <v>31</v>
      </c>
      <c r="AC85">
        <v>4</v>
      </c>
    </row>
    <row r="86" spans="1:29" x14ac:dyDescent="0.35">
      <c r="A86" t="s">
        <v>419</v>
      </c>
      <c r="B86" t="s">
        <v>366</v>
      </c>
      <c r="C86">
        <v>5</v>
      </c>
      <c r="D86">
        <v>626</v>
      </c>
      <c r="E86">
        <v>25</v>
      </c>
      <c r="F86">
        <v>18</v>
      </c>
      <c r="G86">
        <v>23</v>
      </c>
      <c r="H86">
        <v>18</v>
      </c>
      <c r="I86">
        <v>15</v>
      </c>
      <c r="J86">
        <v>29</v>
      </c>
      <c r="K86">
        <v>410</v>
      </c>
      <c r="L86">
        <v>129</v>
      </c>
      <c r="M86">
        <v>2094</v>
      </c>
      <c r="N86">
        <v>387</v>
      </c>
      <c r="O86">
        <v>1</v>
      </c>
      <c r="P86">
        <v>75</v>
      </c>
      <c r="Q86">
        <v>8</v>
      </c>
      <c r="R86">
        <v>2565</v>
      </c>
      <c r="S86">
        <v>18</v>
      </c>
      <c r="T86">
        <v>309</v>
      </c>
      <c r="U86">
        <v>0</v>
      </c>
      <c r="V86">
        <v>1</v>
      </c>
      <c r="W86">
        <v>0</v>
      </c>
      <c r="X86">
        <v>0</v>
      </c>
      <c r="Y86">
        <v>52</v>
      </c>
      <c r="Z86">
        <v>183</v>
      </c>
      <c r="AA86">
        <v>64</v>
      </c>
      <c r="AB86">
        <v>62</v>
      </c>
      <c r="AC86">
        <v>5</v>
      </c>
    </row>
    <row r="87" spans="1:29" x14ac:dyDescent="0.35">
      <c r="A87" t="s">
        <v>211</v>
      </c>
      <c r="B87" t="s">
        <v>365</v>
      </c>
      <c r="C87">
        <v>9</v>
      </c>
      <c r="D87">
        <v>859</v>
      </c>
      <c r="E87">
        <v>21</v>
      </c>
      <c r="F87">
        <v>10</v>
      </c>
      <c r="G87">
        <v>10</v>
      </c>
      <c r="H87">
        <v>6</v>
      </c>
      <c r="I87">
        <v>4</v>
      </c>
      <c r="J87">
        <v>27</v>
      </c>
      <c r="K87">
        <v>351</v>
      </c>
      <c r="L87">
        <v>91</v>
      </c>
      <c r="M87">
        <v>1873</v>
      </c>
      <c r="N87">
        <v>399</v>
      </c>
      <c r="O87">
        <v>1</v>
      </c>
      <c r="P87">
        <v>55</v>
      </c>
      <c r="Q87">
        <v>10</v>
      </c>
      <c r="R87">
        <v>2050</v>
      </c>
      <c r="S87">
        <v>25</v>
      </c>
      <c r="T87">
        <v>302</v>
      </c>
      <c r="U87">
        <v>1</v>
      </c>
      <c r="V87">
        <v>1</v>
      </c>
      <c r="W87">
        <v>0</v>
      </c>
      <c r="X87">
        <v>2</v>
      </c>
      <c r="Y87">
        <v>58</v>
      </c>
      <c r="Z87">
        <v>213</v>
      </c>
      <c r="AA87">
        <v>46</v>
      </c>
      <c r="AB87">
        <v>103</v>
      </c>
      <c r="AC87">
        <v>12</v>
      </c>
    </row>
    <row r="88" spans="1:29" x14ac:dyDescent="0.35">
      <c r="A88" t="s">
        <v>420</v>
      </c>
      <c r="B88" t="s">
        <v>365</v>
      </c>
      <c r="C88">
        <v>9</v>
      </c>
      <c r="D88">
        <v>859</v>
      </c>
      <c r="E88">
        <v>21</v>
      </c>
      <c r="F88">
        <v>10</v>
      </c>
      <c r="G88">
        <v>10</v>
      </c>
      <c r="H88">
        <v>6</v>
      </c>
      <c r="I88">
        <v>4</v>
      </c>
      <c r="J88">
        <v>27</v>
      </c>
      <c r="K88">
        <v>351</v>
      </c>
      <c r="L88">
        <v>91</v>
      </c>
      <c r="M88">
        <v>1873</v>
      </c>
      <c r="N88">
        <v>399</v>
      </c>
      <c r="O88">
        <v>1</v>
      </c>
      <c r="P88">
        <v>55</v>
      </c>
      <c r="Q88">
        <v>10</v>
      </c>
      <c r="R88">
        <v>2050</v>
      </c>
      <c r="S88">
        <v>25</v>
      </c>
      <c r="T88">
        <v>302</v>
      </c>
      <c r="U88">
        <v>1</v>
      </c>
      <c r="V88">
        <v>1</v>
      </c>
      <c r="W88">
        <v>0</v>
      </c>
      <c r="X88">
        <v>2</v>
      </c>
      <c r="Y88">
        <v>58</v>
      </c>
      <c r="Z88">
        <v>213</v>
      </c>
      <c r="AA88">
        <v>46</v>
      </c>
      <c r="AB88">
        <v>103</v>
      </c>
      <c r="AC88">
        <v>12</v>
      </c>
    </row>
    <row r="89" spans="1:29" x14ac:dyDescent="0.35">
      <c r="A89" t="s">
        <v>72</v>
      </c>
      <c r="B89" t="s">
        <v>410</v>
      </c>
      <c r="C89" s="36">
        <v>2.835544048801248</v>
      </c>
      <c r="D89" s="36">
        <v>561.27592566321471</v>
      </c>
      <c r="E89" s="36">
        <v>10.190878138743082</v>
      </c>
      <c r="F89" s="36">
        <v>5.4871612994751029</v>
      </c>
      <c r="G89" s="36">
        <v>10.414810611434246</v>
      </c>
      <c r="H89" s="36">
        <v>7.3835650446871899</v>
      </c>
      <c r="I89" s="36">
        <v>9.1779685061710872</v>
      </c>
      <c r="J89" s="36">
        <v>17.805681656972617</v>
      </c>
      <c r="K89" s="36">
        <v>1264.2148886366858</v>
      </c>
      <c r="L89" s="36">
        <v>109.7086111505178</v>
      </c>
      <c r="M89" s="36">
        <v>2006.8188040856858</v>
      </c>
      <c r="N89" s="36">
        <v>502.46733579231091</v>
      </c>
      <c r="O89" s="36">
        <v>1.1127464888636687</v>
      </c>
      <c r="P89" s="36">
        <v>62.373918286281736</v>
      </c>
      <c r="Q89" s="36">
        <v>11.725102851468295</v>
      </c>
      <c r="R89" s="36">
        <v>1828.1689246701658</v>
      </c>
      <c r="S89" s="36">
        <v>230.40104979429705</v>
      </c>
      <c r="T89" s="36">
        <v>303.48950205702931</v>
      </c>
      <c r="U89" s="36">
        <v>1.2795077315931338</v>
      </c>
      <c r="V89" s="36">
        <v>0.61476805220598663</v>
      </c>
      <c r="W89" s="36">
        <v>2.4998581359058023</v>
      </c>
      <c r="X89" s="36">
        <v>1.8630656830756136</v>
      </c>
      <c r="Y89" s="36">
        <v>40.426833593417506</v>
      </c>
      <c r="Z89" s="36">
        <v>149.66481061143426</v>
      </c>
      <c r="AA89" s="36">
        <v>128.07951482479785</v>
      </c>
      <c r="AB89" s="36">
        <v>58.853383458646618</v>
      </c>
      <c r="AC89" s="36">
        <v>33.906795290112072</v>
      </c>
    </row>
    <row r="90" spans="1:29" x14ac:dyDescent="0.35">
      <c r="A90" t="s">
        <v>84</v>
      </c>
      <c r="B90" t="s">
        <v>255</v>
      </c>
      <c r="C90">
        <v>3</v>
      </c>
      <c r="D90">
        <v>391</v>
      </c>
      <c r="E90">
        <v>9</v>
      </c>
      <c r="F90">
        <v>12</v>
      </c>
      <c r="G90">
        <v>17</v>
      </c>
      <c r="H90">
        <v>10</v>
      </c>
      <c r="I90">
        <v>3</v>
      </c>
      <c r="J90">
        <v>21</v>
      </c>
      <c r="K90">
        <v>1738</v>
      </c>
      <c r="L90">
        <v>128</v>
      </c>
      <c r="M90">
        <v>2129</v>
      </c>
      <c r="N90">
        <v>794</v>
      </c>
      <c r="O90">
        <v>1</v>
      </c>
      <c r="P90">
        <v>90</v>
      </c>
      <c r="Q90">
        <v>17</v>
      </c>
      <c r="R90">
        <v>2688</v>
      </c>
      <c r="S90">
        <v>87</v>
      </c>
      <c r="T90">
        <v>269</v>
      </c>
      <c r="U90">
        <v>2</v>
      </c>
      <c r="V90">
        <v>1</v>
      </c>
      <c r="W90">
        <v>0</v>
      </c>
      <c r="X90">
        <v>0</v>
      </c>
      <c r="Y90">
        <v>42</v>
      </c>
      <c r="Z90">
        <v>140</v>
      </c>
      <c r="AA90">
        <v>58</v>
      </c>
      <c r="AB90">
        <v>42</v>
      </c>
      <c r="AC90">
        <v>15</v>
      </c>
    </row>
    <row r="91" spans="1:29" x14ac:dyDescent="0.35">
      <c r="A91" t="s">
        <v>81</v>
      </c>
      <c r="B91" t="s">
        <v>411</v>
      </c>
      <c r="C91" s="36">
        <v>0.66431718061674006</v>
      </c>
      <c r="D91" s="36">
        <v>234.98061674008812</v>
      </c>
      <c r="E91" s="36">
        <v>10.608370044052865</v>
      </c>
      <c r="F91" s="36">
        <v>13.422907488986784</v>
      </c>
      <c r="G91" s="36">
        <v>13.731277533039647</v>
      </c>
      <c r="H91" s="36">
        <v>12.665638766519825</v>
      </c>
      <c r="I91" s="36">
        <v>4.9656387665198238</v>
      </c>
      <c r="J91" s="36">
        <v>13.403083700440527</v>
      </c>
      <c r="K91" s="36">
        <v>899.39118942731284</v>
      </c>
      <c r="L91" s="36">
        <v>92.147577092511014</v>
      </c>
      <c r="M91" s="36">
        <v>3777.4246696035243</v>
      </c>
      <c r="N91" s="36">
        <v>580.86519823788547</v>
      </c>
      <c r="O91" s="36">
        <v>4.5123348017621154</v>
      </c>
      <c r="P91" s="36">
        <v>60.239207048458155</v>
      </c>
      <c r="Q91" s="36">
        <v>10.881057268722467</v>
      </c>
      <c r="R91" s="36">
        <v>2397.9202643171807</v>
      </c>
      <c r="S91" s="36">
        <v>69.937885462555073</v>
      </c>
      <c r="T91" s="36">
        <v>441.99030837004398</v>
      </c>
      <c r="U91" s="36">
        <v>1.1955947136563876</v>
      </c>
      <c r="V91" s="36">
        <v>3.5590308370044053</v>
      </c>
      <c r="W91" s="36">
        <v>26.492951541850221</v>
      </c>
      <c r="X91" s="36">
        <v>0.89074889867841411</v>
      </c>
      <c r="Y91" s="36">
        <v>117.11189427312776</v>
      </c>
      <c r="Z91" s="36">
        <v>414.24493392070491</v>
      </c>
      <c r="AA91" s="36">
        <v>96.154625550660796</v>
      </c>
      <c r="AB91" s="36">
        <v>150.98766519823789</v>
      </c>
      <c r="AC91" s="36">
        <v>312.67621145374454</v>
      </c>
    </row>
    <row r="92" spans="1:29" x14ac:dyDescent="0.35">
      <c r="A92" t="s">
        <v>264</v>
      </c>
      <c r="B92" t="s">
        <v>358</v>
      </c>
      <c r="C92">
        <v>1</v>
      </c>
      <c r="D92">
        <v>318</v>
      </c>
      <c r="E92">
        <v>10</v>
      </c>
      <c r="F92">
        <v>5</v>
      </c>
      <c r="G92">
        <v>14</v>
      </c>
      <c r="H92">
        <v>12</v>
      </c>
      <c r="I92">
        <v>2</v>
      </c>
      <c r="J92">
        <v>15</v>
      </c>
      <c r="K92">
        <v>548</v>
      </c>
      <c r="L92">
        <v>115</v>
      </c>
      <c r="M92">
        <v>2207</v>
      </c>
      <c r="N92">
        <v>482</v>
      </c>
      <c r="O92">
        <v>4</v>
      </c>
      <c r="P92">
        <v>80</v>
      </c>
      <c r="Q92">
        <v>6</v>
      </c>
      <c r="R92">
        <v>1910</v>
      </c>
      <c r="S92">
        <v>287</v>
      </c>
      <c r="T92">
        <v>454</v>
      </c>
      <c r="U92">
        <v>4</v>
      </c>
      <c r="V92">
        <v>2</v>
      </c>
      <c r="W92">
        <v>0</v>
      </c>
      <c r="X92">
        <v>0</v>
      </c>
      <c r="Y92">
        <v>47</v>
      </c>
      <c r="Z92">
        <v>192</v>
      </c>
      <c r="AA92">
        <v>181</v>
      </c>
      <c r="AB92">
        <v>59</v>
      </c>
      <c r="AC92">
        <v>91</v>
      </c>
    </row>
    <row r="93" spans="1:29" x14ac:dyDescent="0.35">
      <c r="A93" t="s">
        <v>67</v>
      </c>
      <c r="B93" t="s">
        <v>366</v>
      </c>
      <c r="C93">
        <v>5</v>
      </c>
      <c r="D93">
        <v>626</v>
      </c>
      <c r="E93">
        <v>25</v>
      </c>
      <c r="F93">
        <v>18</v>
      </c>
      <c r="G93">
        <v>23</v>
      </c>
      <c r="H93">
        <v>18</v>
      </c>
      <c r="I93">
        <v>15</v>
      </c>
      <c r="J93">
        <v>29</v>
      </c>
      <c r="K93">
        <v>410</v>
      </c>
      <c r="L93">
        <v>129</v>
      </c>
      <c r="M93">
        <v>2094</v>
      </c>
      <c r="N93">
        <v>387</v>
      </c>
      <c r="O93">
        <v>1</v>
      </c>
      <c r="P93">
        <v>75</v>
      </c>
      <c r="Q93">
        <v>8</v>
      </c>
      <c r="R93">
        <v>2565</v>
      </c>
      <c r="S93">
        <v>18</v>
      </c>
      <c r="T93">
        <v>309</v>
      </c>
      <c r="U93">
        <v>0</v>
      </c>
      <c r="V93">
        <v>1</v>
      </c>
      <c r="W93">
        <v>0</v>
      </c>
      <c r="X93">
        <v>0</v>
      </c>
      <c r="Y93">
        <v>52</v>
      </c>
      <c r="Z93">
        <v>183</v>
      </c>
      <c r="AA93">
        <v>64</v>
      </c>
      <c r="AB93">
        <v>62</v>
      </c>
      <c r="AC93">
        <v>5</v>
      </c>
    </row>
    <row r="94" spans="1:29" x14ac:dyDescent="0.35">
      <c r="A94" t="s">
        <v>60</v>
      </c>
      <c r="B94" t="s">
        <v>412</v>
      </c>
      <c r="C94" s="36">
        <v>6.711119991104078</v>
      </c>
      <c r="D94" s="36">
        <v>477.17206611055212</v>
      </c>
      <c r="E94" s="36">
        <v>14.317669005828042</v>
      </c>
      <c r="F94" s="36">
        <v>17.32633790981491</v>
      </c>
      <c r="G94" s="36">
        <v>21.80522627406744</v>
      </c>
      <c r="H94" s="36">
        <v>13.180911379959868</v>
      </c>
      <c r="I94" s="36">
        <v>13.255194830729115</v>
      </c>
      <c r="J94" s="36">
        <v>18.802629115047978</v>
      </c>
      <c r="K94" s="36">
        <v>532.77876823546876</v>
      </c>
      <c r="L94" s="36">
        <v>168.62879070921772</v>
      </c>
      <c r="M94" s="36">
        <v>2744.2418806749952</v>
      </c>
      <c r="N94" s="36">
        <v>651.11145830688997</v>
      </c>
      <c r="O94" s="36">
        <v>0.7978420820676605</v>
      </c>
      <c r="P94" s="36">
        <v>66.630584447886932</v>
      </c>
      <c r="Q94" s="36">
        <v>5.8435992522886639</v>
      </c>
      <c r="R94" s="36">
        <v>1906.836709612184</v>
      </c>
      <c r="S94" s="36">
        <v>288.69397067392271</v>
      </c>
      <c r="T94" s="36">
        <v>464.82788911118729</v>
      </c>
      <c r="U94" s="36">
        <v>3.0176681198197755</v>
      </c>
      <c r="V94" s="36">
        <v>1.3329944401487976</v>
      </c>
      <c r="W94" s="36">
        <v>6.6787129744362712</v>
      </c>
      <c r="X94" s="36">
        <v>2.1056638128240834</v>
      </c>
      <c r="Y94" s="36">
        <v>65.118579822326467</v>
      </c>
      <c r="Z94" s="36">
        <v>192.11878167292892</v>
      </c>
      <c r="AA94" s="36">
        <v>126.70250146017148</v>
      </c>
      <c r="AB94" s="36">
        <v>86.745256834384037</v>
      </c>
      <c r="AC94" s="36">
        <v>33.677441741721019</v>
      </c>
    </row>
    <row r="95" spans="1:29" x14ac:dyDescent="0.35">
      <c r="A95" t="s">
        <v>71</v>
      </c>
      <c r="B95" t="s">
        <v>413</v>
      </c>
      <c r="C95" s="36">
        <v>3.2232711824404059</v>
      </c>
      <c r="D95" s="36">
        <v>321.77838092990322</v>
      </c>
      <c r="E95" s="36">
        <v>8.6221383054047678</v>
      </c>
      <c r="F95" s="36">
        <v>12.294075997167807</v>
      </c>
      <c r="G95" s="36">
        <v>8.9523247580835505</v>
      </c>
      <c r="H95" s="36">
        <v>7.369601132877035</v>
      </c>
      <c r="I95" s="36">
        <v>9.7118244040594757</v>
      </c>
      <c r="J95" s="36">
        <v>11.168751475100306</v>
      </c>
      <c r="K95" s="36">
        <v>569.2284635355204</v>
      </c>
      <c r="L95" s="36">
        <v>139.52749586971913</v>
      </c>
      <c r="M95" s="36">
        <v>2444.713240500354</v>
      </c>
      <c r="N95" s="36">
        <v>542.22327118244039</v>
      </c>
      <c r="O95" s="36">
        <v>1.6535284399339156</v>
      </c>
      <c r="P95" s="36">
        <v>47.575643143733771</v>
      </c>
      <c r="Q95" s="36">
        <v>5.7160726929431203</v>
      </c>
      <c r="R95" s="36">
        <v>1813.5248996931791</v>
      </c>
      <c r="S95" s="36">
        <v>481.53434033514276</v>
      </c>
      <c r="T95" s="36">
        <v>416.34080717488791</v>
      </c>
      <c r="U95" s="36">
        <v>0.49421760679726223</v>
      </c>
      <c r="V95" s="36">
        <v>1.5057823932027377</v>
      </c>
      <c r="W95" s="36">
        <v>1.5303280623082369</v>
      </c>
      <c r="X95" s="36">
        <v>0.49421760679726223</v>
      </c>
      <c r="Y95" s="36">
        <v>70.91621430257257</v>
      </c>
      <c r="Z95" s="36">
        <v>167.60774132641018</v>
      </c>
      <c r="AA95" s="36">
        <v>182.96837384942177</v>
      </c>
      <c r="AB95" s="36">
        <v>83.472268114231767</v>
      </c>
      <c r="AC95" s="36">
        <v>24.938635827236254</v>
      </c>
    </row>
    <row r="96" spans="1:29" s="1" customFormat="1" x14ac:dyDescent="0.35">
      <c r="A96" s="1" t="s">
        <v>47</v>
      </c>
      <c r="B96" s="1" t="s">
        <v>414</v>
      </c>
      <c r="C96" s="38">
        <v>8.6994951518551158</v>
      </c>
      <c r="D96" s="38">
        <v>600.4907444506772</v>
      </c>
      <c r="E96" s="38">
        <v>20.398990303710232</v>
      </c>
      <c r="F96" s="38">
        <v>15.799663434570078</v>
      </c>
      <c r="G96" s="38">
        <v>25.849747575927559</v>
      </c>
      <c r="H96" s="38">
        <v>27.298822020995274</v>
      </c>
      <c r="I96" s="38">
        <v>19.24873787963779</v>
      </c>
      <c r="J96" s="38">
        <v>24.298822020995274</v>
      </c>
      <c r="K96" s="38">
        <v>1545.6086224857761</v>
      </c>
      <c r="L96" s="38">
        <v>267.88300344578897</v>
      </c>
      <c r="M96" s="38">
        <v>5337.4231108261883</v>
      </c>
      <c r="N96" s="38">
        <v>1352.0593797579934</v>
      </c>
      <c r="O96" s="38">
        <v>2.8998317172850387</v>
      </c>
      <c r="P96" s="38">
        <v>76.345540508053531</v>
      </c>
      <c r="Q96" s="38">
        <v>7.749579293212598</v>
      </c>
      <c r="R96" s="38">
        <v>3362.2959371744532</v>
      </c>
      <c r="S96" s="38">
        <v>297.11026524561265</v>
      </c>
      <c r="T96" s="38">
        <v>1093.617437294655</v>
      </c>
      <c r="U96" s="38">
        <v>5.7996634345700775</v>
      </c>
      <c r="V96" s="38">
        <v>1.0500841413574806</v>
      </c>
      <c r="W96" s="38">
        <v>0</v>
      </c>
      <c r="X96" s="38">
        <v>2.9499158586425196</v>
      </c>
      <c r="Y96" s="38">
        <v>147.03998717845982</v>
      </c>
      <c r="Z96" s="38">
        <v>285.63594839330079</v>
      </c>
      <c r="AA96" s="38">
        <v>218.73779950316535</v>
      </c>
      <c r="AB96" s="38">
        <v>134.44402596361888</v>
      </c>
      <c r="AC96" s="38">
        <v>102.54419424633384</v>
      </c>
    </row>
    <row r="97" spans="1:29" x14ac:dyDescent="0.35">
      <c r="B97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</row>
    <row r="99" spans="1:29" x14ac:dyDescent="0.35">
      <c r="A99" s="7" t="s">
        <v>508</v>
      </c>
    </row>
    <row r="100" spans="1:29" x14ac:dyDescent="0.35">
      <c r="A100" s="37"/>
      <c r="B100" s="50" t="s">
        <v>428</v>
      </c>
      <c r="C100" s="50"/>
      <c r="D100" s="50"/>
      <c r="E100" s="50" t="s">
        <v>428</v>
      </c>
      <c r="F100" s="50"/>
      <c r="G100" s="50"/>
      <c r="H100" s="50" t="s">
        <v>428</v>
      </c>
      <c r="I100" s="50"/>
      <c r="J100" s="50"/>
      <c r="K100" s="50" t="s">
        <v>428</v>
      </c>
      <c r="L100" s="50"/>
    </row>
    <row r="101" spans="1:29" x14ac:dyDescent="0.35">
      <c r="B101" s="18" t="s">
        <v>509</v>
      </c>
      <c r="C101" s="18" t="s">
        <v>429</v>
      </c>
      <c r="E101" s="18" t="s">
        <v>501</v>
      </c>
      <c r="F101" s="18" t="s">
        <v>429</v>
      </c>
      <c r="H101" s="18" t="s">
        <v>511</v>
      </c>
      <c r="I101" s="18" t="s">
        <v>429</v>
      </c>
      <c r="K101" s="50" t="s">
        <v>500</v>
      </c>
      <c r="L101" s="50" t="s">
        <v>429</v>
      </c>
    </row>
    <row r="102" spans="1:29" x14ac:dyDescent="0.35">
      <c r="A102" t="s">
        <v>502</v>
      </c>
      <c r="B102" s="18">
        <v>0.96099999999999997</v>
      </c>
      <c r="C102" s="18">
        <v>7.5999999999999998E-2</v>
      </c>
      <c r="D102" s="19" t="s">
        <v>341</v>
      </c>
      <c r="E102" s="18">
        <v>0.97699999999999998</v>
      </c>
      <c r="F102" s="18">
        <v>4.5699999999999998E-2</v>
      </c>
      <c r="G102" s="19" t="s">
        <v>336</v>
      </c>
      <c r="H102" s="18">
        <v>0.91200000000000003</v>
      </c>
      <c r="I102" s="18">
        <v>0.16800000000000001</v>
      </c>
      <c r="J102" s="19" t="s">
        <v>774</v>
      </c>
      <c r="K102" s="18">
        <v>0.93899999999999995</v>
      </c>
      <c r="L102" s="18">
        <v>0.11899999999999999</v>
      </c>
    </row>
    <row r="103" spans="1:29" x14ac:dyDescent="0.35">
      <c r="A103" t="s">
        <v>334</v>
      </c>
      <c r="B103" s="18">
        <v>0.96099999999999997</v>
      </c>
      <c r="C103" s="18">
        <v>7.6799999999999993E-2</v>
      </c>
      <c r="D103" s="19" t="s">
        <v>342</v>
      </c>
      <c r="E103" s="18">
        <v>0.97399999999999998</v>
      </c>
      <c r="F103" s="18">
        <v>5.1400000000000001E-2</v>
      </c>
      <c r="G103" s="19" t="s">
        <v>337</v>
      </c>
      <c r="H103" s="18">
        <v>0.9</v>
      </c>
      <c r="I103" s="18">
        <v>0.19</v>
      </c>
      <c r="J103" s="19" t="s">
        <v>775</v>
      </c>
      <c r="K103" s="18">
        <v>0.91</v>
      </c>
      <c r="L103" s="18">
        <v>0.17299999999999999</v>
      </c>
    </row>
    <row r="104" spans="1:29" x14ac:dyDescent="0.35">
      <c r="A104" t="s">
        <v>332</v>
      </c>
      <c r="B104" s="18">
        <v>0.80900000000000005</v>
      </c>
      <c r="C104" s="18">
        <v>0.34610000000000002</v>
      </c>
      <c r="D104" s="19" t="s">
        <v>348</v>
      </c>
      <c r="E104" s="18">
        <v>0.96599999999999997</v>
      </c>
      <c r="F104" s="18">
        <v>6.6400000000000001E-2</v>
      </c>
      <c r="G104" s="19" t="s">
        <v>335</v>
      </c>
      <c r="H104" s="18">
        <v>0.86599999999999999</v>
      </c>
      <c r="I104" s="18">
        <v>0.249</v>
      </c>
      <c r="J104" s="19" t="s">
        <v>776</v>
      </c>
      <c r="K104" s="18">
        <v>0.90400000000000003</v>
      </c>
      <c r="L104" s="18">
        <v>0.183</v>
      </c>
    </row>
    <row r="105" spans="1:29" x14ac:dyDescent="0.35">
      <c r="D105" s="19" t="s">
        <v>503</v>
      </c>
      <c r="E105" s="18">
        <v>0.88700000000000001</v>
      </c>
      <c r="F105" s="18">
        <v>0.21279999999999999</v>
      </c>
      <c r="G105" s="19" t="s">
        <v>338</v>
      </c>
      <c r="H105" s="18">
        <v>0.69</v>
      </c>
      <c r="I105" s="18">
        <v>0.52400000000000002</v>
      </c>
      <c r="J105" s="19" t="s">
        <v>778</v>
      </c>
      <c r="K105" s="18">
        <v>0.85399999999999998</v>
      </c>
      <c r="L105" s="18">
        <v>0.27100000000000002</v>
      </c>
    </row>
    <row r="106" spans="1:29" x14ac:dyDescent="0.35">
      <c r="D106" s="19" t="s">
        <v>339</v>
      </c>
      <c r="E106" s="18">
        <v>0.82399999999999995</v>
      </c>
      <c r="F106" s="18">
        <v>0.32100000000000001</v>
      </c>
      <c r="J106" s="19" t="s">
        <v>777</v>
      </c>
      <c r="K106" s="18">
        <v>0.67300000000000004</v>
      </c>
      <c r="L106" s="18">
        <v>0.54800000000000004</v>
      </c>
    </row>
    <row r="107" spans="1:29" x14ac:dyDescent="0.35">
      <c r="A107" s="1"/>
      <c r="B107" s="35"/>
      <c r="C107" s="35"/>
      <c r="D107" s="59" t="s">
        <v>349</v>
      </c>
      <c r="E107" s="35">
        <v>0.82099999999999995</v>
      </c>
      <c r="F107" s="35">
        <v>0.3256</v>
      </c>
      <c r="G107" s="35"/>
      <c r="H107" s="35"/>
      <c r="I107" s="35"/>
      <c r="J107" s="35"/>
      <c r="K107" s="35"/>
      <c r="L107" s="35"/>
    </row>
    <row r="108" spans="1:29" x14ac:dyDescent="0.35">
      <c r="A108" t="s">
        <v>473</v>
      </c>
      <c r="B108" s="18">
        <v>0.65300000000000002</v>
      </c>
      <c r="D108" s="18" t="s">
        <v>473</v>
      </c>
      <c r="E108" s="18">
        <v>0.73899999999999999</v>
      </c>
      <c r="G108" s="18" t="s">
        <v>473</v>
      </c>
      <c r="H108" s="18">
        <v>0.73499999999999999</v>
      </c>
      <c r="J108" s="18" t="s">
        <v>473</v>
      </c>
      <c r="K108" s="18">
        <v>0.80800000000000005</v>
      </c>
    </row>
    <row r="109" spans="1:29" x14ac:dyDescent="0.35">
      <c r="A109" t="s">
        <v>474</v>
      </c>
      <c r="B109" s="18" t="s">
        <v>504</v>
      </c>
      <c r="D109" s="18" t="s">
        <v>474</v>
      </c>
      <c r="E109" s="18" t="s">
        <v>505</v>
      </c>
      <c r="G109" s="18" t="s">
        <v>474</v>
      </c>
      <c r="H109" s="18" t="s">
        <v>506</v>
      </c>
      <c r="J109" s="18" t="s">
        <v>474</v>
      </c>
      <c r="K109" s="18" t="s">
        <v>507</v>
      </c>
    </row>
    <row r="110" spans="1:29" x14ac:dyDescent="0.35">
      <c r="A110" t="s">
        <v>477</v>
      </c>
      <c r="B110" s="18">
        <v>0.88600000000000001</v>
      </c>
      <c r="D110" s="18" t="s">
        <v>477</v>
      </c>
      <c r="E110" s="18">
        <v>0.70799999999999996</v>
      </c>
      <c r="G110" s="18" t="s">
        <v>477</v>
      </c>
      <c r="H110" s="18">
        <v>0.98</v>
      </c>
      <c r="J110" s="18" t="s">
        <v>477</v>
      </c>
      <c r="K110" s="18">
        <v>0.9</v>
      </c>
    </row>
    <row r="111" spans="1:29" x14ac:dyDescent="0.35">
      <c r="A111" t="s">
        <v>437</v>
      </c>
      <c r="B111" s="18">
        <v>2.5</v>
      </c>
      <c r="D111" s="18" t="s">
        <v>437</v>
      </c>
      <c r="E111" s="18">
        <v>4.9800000000000004</v>
      </c>
      <c r="G111" s="18" t="s">
        <v>437</v>
      </c>
      <c r="H111" s="18">
        <v>2.87</v>
      </c>
      <c r="J111" s="18" t="s">
        <v>437</v>
      </c>
      <c r="K111" s="18">
        <v>3.718</v>
      </c>
    </row>
    <row r="112" spans="1:29" x14ac:dyDescent="0.35">
      <c r="A112" s="1" t="s">
        <v>478</v>
      </c>
      <c r="B112" s="35">
        <v>83.37</v>
      </c>
      <c r="C112" s="35"/>
      <c r="D112" s="35" t="s">
        <v>478</v>
      </c>
      <c r="E112" s="35">
        <v>83</v>
      </c>
      <c r="F112" s="35"/>
      <c r="G112" s="35" t="s">
        <v>478</v>
      </c>
      <c r="H112" s="35">
        <v>71.7</v>
      </c>
      <c r="I112" s="35"/>
      <c r="J112" s="35" t="s">
        <v>478</v>
      </c>
      <c r="K112" s="35">
        <v>74.099999999999994</v>
      </c>
      <c r="L112" s="35"/>
    </row>
    <row r="115" spans="1:8" x14ac:dyDescent="0.35">
      <c r="A115" s="60" t="s">
        <v>516</v>
      </c>
    </row>
    <row r="117" spans="1:8" x14ac:dyDescent="0.35">
      <c r="A117" s="37" t="s">
        <v>453</v>
      </c>
      <c r="B117" s="50" t="s">
        <v>513</v>
      </c>
      <c r="C117" s="50" t="s">
        <v>514</v>
      </c>
      <c r="D117" s="50" t="s">
        <v>515</v>
      </c>
      <c r="E117" s="50" t="s">
        <v>512</v>
      </c>
      <c r="F117" s="50" t="s">
        <v>510</v>
      </c>
      <c r="G117" s="50" t="s">
        <v>26</v>
      </c>
      <c r="H117" s="50" t="s">
        <v>500</v>
      </c>
    </row>
    <row r="118" spans="1:8" x14ac:dyDescent="0.35">
      <c r="A118" t="s">
        <v>454</v>
      </c>
      <c r="B118" s="18">
        <v>-2.1160000000000001</v>
      </c>
      <c r="C118" s="18">
        <v>-1.2250000000000001</v>
      </c>
      <c r="D118" s="18">
        <v>-1.1719999999999999</v>
      </c>
      <c r="E118" s="18">
        <v>465.17399999999998</v>
      </c>
      <c r="F118" s="18">
        <v>0</v>
      </c>
      <c r="G118" s="18">
        <v>0</v>
      </c>
      <c r="H118" s="18">
        <v>-1.2769999999999999</v>
      </c>
    </row>
    <row r="119" spans="1:8" x14ac:dyDescent="0.35">
      <c r="A119" t="s">
        <v>455</v>
      </c>
      <c r="B119" s="18">
        <v>2.06</v>
      </c>
      <c r="C119" s="18">
        <v>2.0920000000000001</v>
      </c>
      <c r="D119" s="18">
        <v>2.0550000000000002</v>
      </c>
      <c r="E119" s="18">
        <v>4236</v>
      </c>
      <c r="F119" s="18">
        <v>4.5119999999999996</v>
      </c>
      <c r="G119" s="18">
        <v>4</v>
      </c>
      <c r="H119" s="18">
        <v>2.032</v>
      </c>
    </row>
    <row r="120" spans="1:8" x14ac:dyDescent="0.35">
      <c r="A120" t="s">
        <v>456</v>
      </c>
      <c r="B120" s="18">
        <v>8.5000000000000006E-2</v>
      </c>
      <c r="C120" s="18">
        <v>-0.22700000000000001</v>
      </c>
      <c r="D120" s="18">
        <v>-0.41199999999999998</v>
      </c>
      <c r="E120" s="18">
        <v>2234.6990000000001</v>
      </c>
      <c r="F120" s="18">
        <v>0.79800000000000004</v>
      </c>
      <c r="G120" s="18">
        <v>1.7130000000000001</v>
      </c>
      <c r="H120" s="18">
        <v>-0.25</v>
      </c>
    </row>
    <row r="121" spans="1:8" x14ac:dyDescent="0.35">
      <c r="A121" t="s">
        <v>323</v>
      </c>
      <c r="B121" s="18">
        <v>0</v>
      </c>
      <c r="C121" s="18">
        <v>0</v>
      </c>
      <c r="D121" s="18">
        <v>0</v>
      </c>
      <c r="E121" s="18">
        <v>2597.2310000000002</v>
      </c>
      <c r="F121" s="18">
        <v>0.997</v>
      </c>
      <c r="G121" s="18">
        <v>1.5629999999999999</v>
      </c>
      <c r="H121" s="18">
        <v>0</v>
      </c>
    </row>
    <row r="122" spans="1:8" x14ac:dyDescent="0.35">
      <c r="A122" t="s">
        <v>324</v>
      </c>
      <c r="B122" s="18">
        <v>1</v>
      </c>
      <c r="C122" s="18">
        <v>1</v>
      </c>
      <c r="D122" s="18">
        <v>1</v>
      </c>
      <c r="E122" s="18">
        <v>919.96600000000001</v>
      </c>
      <c r="F122" s="18">
        <v>1.1000000000000001</v>
      </c>
      <c r="G122" s="18">
        <v>1.153</v>
      </c>
      <c r="H122" s="18">
        <v>1</v>
      </c>
    </row>
    <row r="123" spans="1:8" x14ac:dyDescent="0.35">
      <c r="A123" t="s">
        <v>458</v>
      </c>
      <c r="B123" s="18">
        <v>0.16200000000000001</v>
      </c>
      <c r="C123" s="18">
        <v>0.872</v>
      </c>
      <c r="D123" s="18">
        <v>0.89</v>
      </c>
      <c r="E123" s="18">
        <v>0.39300000000000002</v>
      </c>
      <c r="F123" s="18">
        <v>1.091</v>
      </c>
      <c r="G123" s="18">
        <v>0.53400000000000003</v>
      </c>
      <c r="H123" s="18">
        <v>0.72799999999999998</v>
      </c>
    </row>
    <row r="124" spans="1:8" x14ac:dyDescent="0.35">
      <c r="A124" s="1" t="s">
        <v>459</v>
      </c>
      <c r="B124" s="35">
        <v>-0.83</v>
      </c>
      <c r="C124" s="35">
        <v>-0.56599999999999995</v>
      </c>
      <c r="D124" s="35">
        <v>-0.75700000000000001</v>
      </c>
      <c r="E124" s="35">
        <v>-0.85499999999999998</v>
      </c>
      <c r="F124" s="35">
        <v>0.41799999999999998</v>
      </c>
      <c r="G124" s="35">
        <v>-0.47299999999999998</v>
      </c>
      <c r="H124" s="35">
        <v>-0.78400000000000003</v>
      </c>
    </row>
    <row r="129" spans="1:4" x14ac:dyDescent="0.35">
      <c r="A129" s="102" t="s">
        <v>11</v>
      </c>
      <c r="B129" s="102" t="s">
        <v>21</v>
      </c>
      <c r="C129" s="102" t="s">
        <v>22</v>
      </c>
      <c r="D129" s="102" t="s">
        <v>23</v>
      </c>
    </row>
    <row r="130" spans="1:4" x14ac:dyDescent="0.35">
      <c r="A130" s="100" t="s">
        <v>55</v>
      </c>
      <c r="B130" s="100">
        <v>-0.15565097555555901</v>
      </c>
      <c r="C130" s="100">
        <v>-0.22748295097212001</v>
      </c>
      <c r="D130" s="100">
        <v>1.0415013010201299</v>
      </c>
    </row>
    <row r="131" spans="1:4" x14ac:dyDescent="0.35">
      <c r="A131" s="100" t="s">
        <v>77</v>
      </c>
      <c r="B131" s="100">
        <v>-0.552694479448822</v>
      </c>
      <c r="C131" s="100">
        <v>2.1676297177028899E-2</v>
      </c>
      <c r="D131" s="100">
        <v>0.625223797005378</v>
      </c>
    </row>
    <row r="132" spans="1:4" x14ac:dyDescent="0.35">
      <c r="A132" s="100" t="s">
        <v>80</v>
      </c>
      <c r="B132" s="100">
        <v>-0.417210198705049</v>
      </c>
      <c r="C132" s="100">
        <v>-0.72387803684780205</v>
      </c>
      <c r="D132" s="100">
        <v>-1.2864028892777799</v>
      </c>
    </row>
    <row r="133" spans="1:4" x14ac:dyDescent="0.35">
      <c r="A133" s="100" t="s">
        <v>70</v>
      </c>
      <c r="B133" s="100">
        <v>1.5007680231051199</v>
      </c>
      <c r="C133" s="100">
        <v>0.24292628533916899</v>
      </c>
      <c r="D133" s="100">
        <v>8.5217386942517098E-2</v>
      </c>
    </row>
    <row r="134" spans="1:4" x14ac:dyDescent="0.35">
      <c r="A134" s="100" t="s">
        <v>57</v>
      </c>
      <c r="B134" s="100">
        <v>-0.846122564821426</v>
      </c>
      <c r="C134" s="100">
        <v>-0.92679578564836795</v>
      </c>
      <c r="D134" s="100">
        <v>0.86332342905974202</v>
      </c>
    </row>
    <row r="135" spans="1:4" x14ac:dyDescent="0.35">
      <c r="A135" s="100" t="s">
        <v>63</v>
      </c>
      <c r="B135" s="100">
        <v>1.4483117406157899</v>
      </c>
      <c r="C135" s="100">
        <v>1.7680602694732599</v>
      </c>
      <c r="D135" s="100">
        <v>0.26366440732357699</v>
      </c>
    </row>
    <row r="136" spans="1:4" x14ac:dyDescent="0.35">
      <c r="A136" s="100" t="s">
        <v>84</v>
      </c>
      <c r="B136" s="100">
        <v>-5.88196171665821E-2</v>
      </c>
      <c r="C136" s="100">
        <v>-0.53491435214143601</v>
      </c>
      <c r="D136" s="100">
        <v>-0.88205577408398805</v>
      </c>
    </row>
    <row r="137" spans="1:4" x14ac:dyDescent="0.35">
      <c r="A137" s="100" t="s">
        <v>76</v>
      </c>
      <c r="B137" s="100">
        <v>-0.552694479448822</v>
      </c>
      <c r="C137" s="100">
        <v>2.1676297177028899E-2</v>
      </c>
      <c r="D137" s="100">
        <v>0.625223797005378</v>
      </c>
    </row>
    <row r="138" spans="1:4" x14ac:dyDescent="0.35">
      <c r="A138" s="100" t="s">
        <v>51</v>
      </c>
      <c r="B138" s="100">
        <v>-0.846122564821426</v>
      </c>
      <c r="C138" s="100">
        <v>-0.92679578564836795</v>
      </c>
      <c r="D138" s="100">
        <v>0.86332342905974202</v>
      </c>
    </row>
    <row r="139" spans="1:4" x14ac:dyDescent="0.35">
      <c r="A139" s="100" t="s">
        <v>62</v>
      </c>
      <c r="B139" s="100">
        <v>-0.96278755162326501</v>
      </c>
      <c r="C139" s="100">
        <v>-0.75605764486205096</v>
      </c>
      <c r="D139" s="100">
        <v>-0.80037586101695801</v>
      </c>
    </row>
    <row r="140" spans="1:4" x14ac:dyDescent="0.35">
      <c r="A140" s="100" t="s">
        <v>78</v>
      </c>
      <c r="B140" s="100">
        <v>-1.08176131679965</v>
      </c>
      <c r="C140" s="100">
        <v>-1.2254354371323599</v>
      </c>
      <c r="D140" s="100">
        <v>-2.1159072764009799</v>
      </c>
    </row>
    <row r="141" spans="1:4" x14ac:dyDescent="0.35">
      <c r="A141" s="100" t="s">
        <v>83</v>
      </c>
      <c r="B141" s="100">
        <v>-0.77598924050104101</v>
      </c>
      <c r="C141" s="100">
        <v>0.47668876811384397</v>
      </c>
      <c r="D141" s="100">
        <v>0.85617757356637403</v>
      </c>
    </row>
    <row r="142" spans="1:4" x14ac:dyDescent="0.35">
      <c r="A142" s="100" t="s">
        <v>69</v>
      </c>
      <c r="B142" s="100">
        <v>-0.846122564821426</v>
      </c>
      <c r="C142" s="100">
        <v>-0.92679578564836795</v>
      </c>
      <c r="D142" s="100">
        <v>0.86332342905974202</v>
      </c>
    </row>
    <row r="143" spans="1:4" x14ac:dyDescent="0.35">
      <c r="A143" s="100" t="s">
        <v>64</v>
      </c>
      <c r="B143" s="100">
        <v>1.4483117406157899</v>
      </c>
      <c r="C143" s="100">
        <v>1.7680602694732599</v>
      </c>
      <c r="D143" s="100">
        <v>0.26366440732357699</v>
      </c>
    </row>
    <row r="144" spans="1:4" x14ac:dyDescent="0.35">
      <c r="A144" s="100" t="s">
        <v>73</v>
      </c>
      <c r="B144" s="100">
        <v>1.4483117406157899</v>
      </c>
      <c r="C144" s="100">
        <v>1.7680602694732599</v>
      </c>
      <c r="D144" s="100">
        <v>0.26366440732357699</v>
      </c>
    </row>
    <row r="145" spans="1:4" x14ac:dyDescent="0.35">
      <c r="A145" s="100" t="s">
        <v>74</v>
      </c>
      <c r="B145" s="100">
        <v>-1.17232967929859</v>
      </c>
      <c r="C145" s="100">
        <v>-0.98267194414701198</v>
      </c>
      <c r="D145" s="100">
        <v>-0.89586780259421905</v>
      </c>
    </row>
    <row r="146" spans="1:4" x14ac:dyDescent="0.35">
      <c r="A146" s="100" t="s">
        <v>47</v>
      </c>
      <c r="B146" s="100">
        <v>1.45226138127617</v>
      </c>
      <c r="C146" s="100">
        <v>0.98247225355557</v>
      </c>
      <c r="D146" s="100">
        <v>0.627775520474398</v>
      </c>
    </row>
    <row r="147" spans="1:4" x14ac:dyDescent="0.35">
      <c r="A147" s="100" t="s">
        <v>54</v>
      </c>
      <c r="B147" s="100">
        <v>1.4483117406157899</v>
      </c>
      <c r="C147" s="100">
        <v>1.7680602694732599</v>
      </c>
      <c r="D147" s="100">
        <v>0.26366440732357699</v>
      </c>
    </row>
    <row r="148" spans="1:4" x14ac:dyDescent="0.35">
      <c r="A148" s="100" t="s">
        <v>67</v>
      </c>
      <c r="B148" s="100">
        <v>-0.77598924050104101</v>
      </c>
      <c r="C148" s="100">
        <v>0.47668876811384397</v>
      </c>
      <c r="D148" s="100">
        <v>0.85617757356637403</v>
      </c>
    </row>
    <row r="149" spans="1:4" x14ac:dyDescent="0.35">
      <c r="A149" s="100" t="s">
        <v>58</v>
      </c>
      <c r="B149" s="100">
        <v>1.4483117406157899</v>
      </c>
      <c r="C149" s="100">
        <v>1.7680602694732599</v>
      </c>
      <c r="D149" s="100">
        <v>0.26366440732357699</v>
      </c>
    </row>
    <row r="150" spans="1:4" x14ac:dyDescent="0.35">
      <c r="A150" s="100" t="s">
        <v>75</v>
      </c>
      <c r="B150" s="100">
        <v>0.643019057251217</v>
      </c>
      <c r="C150" s="100">
        <v>0.97010361819212798</v>
      </c>
      <c r="D150" s="100">
        <v>-1.0557286875948499</v>
      </c>
    </row>
    <row r="151" spans="1:4" x14ac:dyDescent="0.35">
      <c r="A151" s="100" t="s">
        <v>65</v>
      </c>
      <c r="B151" s="100">
        <v>2.0553398017137301</v>
      </c>
      <c r="C151" s="100">
        <v>2.0921400018840099</v>
      </c>
      <c r="D151" s="100">
        <v>2.0596698968962701</v>
      </c>
    </row>
    <row r="152" spans="1:4" x14ac:dyDescent="0.35">
      <c r="A152" s="100" t="s">
        <v>60</v>
      </c>
      <c r="B152" s="100">
        <v>-0.19189497559235799</v>
      </c>
      <c r="C152" s="100">
        <v>0.17569111512999699</v>
      </c>
      <c r="D152" s="100">
        <v>-0.304970615080496</v>
      </c>
    </row>
    <row r="153" spans="1:4" x14ac:dyDescent="0.35">
      <c r="A153" s="100" t="s">
        <v>71</v>
      </c>
      <c r="B153" s="100">
        <v>-0.51135009403950604</v>
      </c>
      <c r="C153" s="100">
        <v>-0.669554030021006</v>
      </c>
      <c r="D153" s="100">
        <v>-1.4915282051312999</v>
      </c>
    </row>
    <row r="154" spans="1:4" x14ac:dyDescent="0.35">
      <c r="A154" s="100" t="s">
        <v>79</v>
      </c>
      <c r="B154" s="100">
        <v>-0.374020329094302</v>
      </c>
      <c r="C154" s="100">
        <v>-0.78642831806525804</v>
      </c>
      <c r="D154" s="100">
        <v>-1.3830773108541501</v>
      </c>
    </row>
    <row r="155" spans="1:4" x14ac:dyDescent="0.35">
      <c r="A155" s="100" t="s">
        <v>81</v>
      </c>
      <c r="B155" s="100">
        <v>-0.29991099617686701</v>
      </c>
      <c r="C155" s="100">
        <v>-0.41295088194839003</v>
      </c>
      <c r="D155" s="100">
        <v>-1.4747044340851601</v>
      </c>
    </row>
    <row r="156" spans="1:4" x14ac:dyDescent="0.35">
      <c r="A156" s="100" t="s">
        <v>72</v>
      </c>
      <c r="B156" s="100">
        <v>-0.4121809470949</v>
      </c>
      <c r="C156" s="100">
        <v>-0.86472582726521097</v>
      </c>
      <c r="D156" s="100">
        <v>-1.0172779374790899</v>
      </c>
    </row>
    <row r="157" spans="1:4" x14ac:dyDescent="0.35">
      <c r="A157" s="101" t="s">
        <v>59</v>
      </c>
      <c r="B157" s="101">
        <v>-0.552694479448822</v>
      </c>
      <c r="C157" s="101">
        <v>2.1676297177028899E-2</v>
      </c>
      <c r="D157" s="101">
        <v>0.625223797005378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132D-3FFE-46B2-8CE0-35C4FB6E2EDF}">
  <sheetPr codeName="Feuil5"/>
  <dimension ref="A1:I31"/>
  <sheetViews>
    <sheetView workbookViewId="0">
      <selection activeCell="C4" sqref="C4"/>
    </sheetView>
  </sheetViews>
  <sheetFormatPr baseColWidth="10" defaultRowHeight="14.5" x14ac:dyDescent="0.35"/>
  <cols>
    <col min="1" max="1" width="29.453125" customWidth="1"/>
    <col min="2" max="2" width="34.26953125" customWidth="1"/>
    <col min="3" max="3" width="27.26953125" customWidth="1"/>
    <col min="4" max="4" width="12.54296875" customWidth="1"/>
    <col min="5" max="5" width="21.54296875" customWidth="1"/>
    <col min="6" max="7" width="27.7265625" customWidth="1"/>
    <col min="8" max="8" width="19.26953125" customWidth="1"/>
  </cols>
  <sheetData>
    <row r="1" spans="1:9" x14ac:dyDescent="0.35">
      <c r="A1" s="7" t="s">
        <v>471</v>
      </c>
    </row>
    <row r="2" spans="1:9" x14ac:dyDescent="0.35">
      <c r="A2" s="7"/>
    </row>
    <row r="4" spans="1:9" x14ac:dyDescent="0.35">
      <c r="C4" t="s">
        <v>428</v>
      </c>
    </row>
    <row r="5" spans="1:9" x14ac:dyDescent="0.35">
      <c r="A5" s="3" t="s">
        <v>446</v>
      </c>
      <c r="B5" s="37" t="s">
        <v>468</v>
      </c>
      <c r="C5" s="37" t="s">
        <v>469</v>
      </c>
      <c r="D5" s="37" t="s">
        <v>429</v>
      </c>
      <c r="E5" s="3" t="s">
        <v>465</v>
      </c>
      <c r="F5" s="37" t="s">
        <v>466</v>
      </c>
      <c r="G5" s="37" t="s">
        <v>467</v>
      </c>
      <c r="H5" s="37" t="s">
        <v>430</v>
      </c>
      <c r="I5" s="37" t="s">
        <v>429</v>
      </c>
    </row>
    <row r="6" spans="1:9" x14ac:dyDescent="0.35">
      <c r="A6" t="s">
        <v>439</v>
      </c>
      <c r="B6" s="18">
        <v>0.77800000000000002</v>
      </c>
      <c r="C6" s="18"/>
      <c r="D6" s="18">
        <v>0.38400000000000001</v>
      </c>
      <c r="E6" t="s">
        <v>442</v>
      </c>
      <c r="F6" s="18">
        <v>0.83699999999999997</v>
      </c>
      <c r="G6" s="18"/>
      <c r="H6" s="18"/>
      <c r="I6" s="18">
        <v>0.253</v>
      </c>
    </row>
    <row r="7" spans="1:9" x14ac:dyDescent="0.35">
      <c r="A7" t="s">
        <v>440</v>
      </c>
      <c r="B7" s="18">
        <v>0.76</v>
      </c>
      <c r="C7" s="18"/>
      <c r="D7" s="18">
        <v>0.42</v>
      </c>
      <c r="E7" t="s">
        <v>447</v>
      </c>
      <c r="F7" s="18">
        <v>0.83299999999999996</v>
      </c>
      <c r="G7" s="18"/>
      <c r="H7" s="18"/>
      <c r="I7" s="18">
        <v>0.24299999999999999</v>
      </c>
    </row>
    <row r="8" spans="1:9" x14ac:dyDescent="0.35">
      <c r="A8" t="s">
        <v>441</v>
      </c>
      <c r="B8" s="18">
        <v>0.749</v>
      </c>
      <c r="C8" s="18"/>
      <c r="D8" s="18">
        <v>0.36599999999999999</v>
      </c>
      <c r="E8" t="s">
        <v>445</v>
      </c>
      <c r="F8" s="18">
        <v>0.7</v>
      </c>
      <c r="G8" s="18"/>
      <c r="H8" s="18"/>
      <c r="I8" s="18">
        <v>0.47799999999999998</v>
      </c>
    </row>
    <row r="9" spans="1:9" x14ac:dyDescent="0.35">
      <c r="A9" t="s">
        <v>442</v>
      </c>
      <c r="B9" s="18">
        <v>0.69299999999999995</v>
      </c>
      <c r="C9" s="18"/>
      <c r="D9" s="18">
        <v>0.504</v>
      </c>
      <c r="E9" t="s">
        <v>448</v>
      </c>
      <c r="F9" s="18"/>
      <c r="G9" s="18">
        <v>0.79900000000000004</v>
      </c>
      <c r="H9" s="18"/>
      <c r="I9" s="18">
        <v>0.32500000000000001</v>
      </c>
    </row>
    <row r="10" spans="1:9" x14ac:dyDescent="0.35">
      <c r="A10" t="s">
        <v>443</v>
      </c>
      <c r="B10" s="18">
        <v>0.65500000000000003</v>
      </c>
      <c r="C10" s="18"/>
      <c r="D10" s="18">
        <v>0.48899999999999999</v>
      </c>
      <c r="E10" t="s">
        <v>449</v>
      </c>
      <c r="F10" s="18"/>
      <c r="G10" s="18">
        <v>0.79200000000000004</v>
      </c>
      <c r="H10" s="18"/>
      <c r="I10" s="18">
        <v>0.32800000000000001</v>
      </c>
    </row>
    <row r="11" spans="1:9" x14ac:dyDescent="0.35">
      <c r="A11" t="s">
        <v>444</v>
      </c>
      <c r="B11" s="18"/>
      <c r="C11" s="18">
        <v>0.79700000000000004</v>
      </c>
      <c r="D11" s="18">
        <v>0.36299999999999999</v>
      </c>
      <c r="E11" t="s">
        <v>450</v>
      </c>
      <c r="F11" s="18"/>
      <c r="G11" s="18">
        <v>0.72299999999999998</v>
      </c>
      <c r="H11" s="18"/>
      <c r="I11" s="18">
        <v>0.39500000000000002</v>
      </c>
    </row>
    <row r="12" spans="1:9" x14ac:dyDescent="0.35">
      <c r="A12" t="s">
        <v>445</v>
      </c>
      <c r="B12" s="18"/>
      <c r="C12" s="18">
        <v>0.78600000000000003</v>
      </c>
      <c r="D12" s="18">
        <v>0.35199999999999998</v>
      </c>
      <c r="E12" t="s">
        <v>451</v>
      </c>
      <c r="F12" s="18"/>
      <c r="G12" s="18"/>
      <c r="H12" s="18">
        <v>0.81699999999999995</v>
      </c>
      <c r="I12" s="18">
        <v>0.309</v>
      </c>
    </row>
    <row r="13" spans="1:9" x14ac:dyDescent="0.35">
      <c r="A13" s="1"/>
      <c r="B13" s="35"/>
      <c r="C13" s="35"/>
      <c r="D13" s="35"/>
      <c r="E13" s="1" t="s">
        <v>452</v>
      </c>
      <c r="F13" s="35"/>
      <c r="G13" s="35"/>
      <c r="H13" s="35">
        <v>0.78300000000000003</v>
      </c>
      <c r="I13" s="35">
        <v>0.34499999999999997</v>
      </c>
    </row>
    <row r="14" spans="1:9" x14ac:dyDescent="0.35">
      <c r="A14" t="s">
        <v>431</v>
      </c>
      <c r="B14" s="18"/>
      <c r="C14" s="18"/>
      <c r="D14" s="18">
        <v>0.75600000000000001</v>
      </c>
      <c r="E14" t="s">
        <v>431</v>
      </c>
      <c r="F14" s="18"/>
      <c r="G14" s="18"/>
      <c r="H14" s="18"/>
      <c r="I14" s="18">
        <v>0.78100000000000003</v>
      </c>
    </row>
    <row r="15" spans="1:9" x14ac:dyDescent="0.35">
      <c r="A15" t="s">
        <v>432</v>
      </c>
      <c r="B15" s="18">
        <v>0.77</v>
      </c>
      <c r="C15" s="18">
        <v>0.51800000000000002</v>
      </c>
      <c r="D15" s="18">
        <v>0.72699999999999998</v>
      </c>
      <c r="E15" t="s">
        <v>433</v>
      </c>
      <c r="F15" s="18">
        <v>0.76300000000000001</v>
      </c>
      <c r="G15" s="18">
        <v>0.71799999999999997</v>
      </c>
      <c r="H15" s="18">
        <v>0.501</v>
      </c>
      <c r="I15" s="18"/>
    </row>
    <row r="16" spans="1:9" x14ac:dyDescent="0.35">
      <c r="A16" t="s">
        <v>434</v>
      </c>
      <c r="B16" s="18"/>
      <c r="C16" s="18"/>
      <c r="D16" s="18" t="s">
        <v>435</v>
      </c>
      <c r="E16" t="s">
        <v>434</v>
      </c>
      <c r="F16" s="18"/>
      <c r="G16" s="18"/>
      <c r="H16" s="18"/>
      <c r="I16" s="18" t="s">
        <v>436</v>
      </c>
    </row>
    <row r="17" spans="1:9" x14ac:dyDescent="0.35">
      <c r="A17" t="s">
        <v>437</v>
      </c>
      <c r="B17" s="18">
        <v>2.8340000000000001</v>
      </c>
      <c r="C17" s="18">
        <v>1288</v>
      </c>
      <c r="D17" s="18"/>
      <c r="E17" t="s">
        <v>437</v>
      </c>
      <c r="F17" s="18">
        <v>3.1070000000000002</v>
      </c>
      <c r="G17" s="18">
        <v>1.1240000000000001</v>
      </c>
      <c r="H17" s="18">
        <v>1.0940000000000001</v>
      </c>
      <c r="I17" s="18"/>
    </row>
    <row r="18" spans="1:9" x14ac:dyDescent="0.35">
      <c r="A18" s="1" t="s">
        <v>438</v>
      </c>
      <c r="B18" s="35">
        <v>40.5</v>
      </c>
      <c r="C18" s="35">
        <v>18.399999999999999</v>
      </c>
      <c r="D18" s="35"/>
      <c r="E18" s="1" t="s">
        <v>438</v>
      </c>
      <c r="F18" s="35">
        <v>38.840000000000003</v>
      </c>
      <c r="G18" s="35">
        <v>14.05</v>
      </c>
      <c r="H18" s="35">
        <v>13.67</v>
      </c>
      <c r="I18" s="35"/>
    </row>
    <row r="21" spans="1:9" x14ac:dyDescent="0.35">
      <c r="A21" s="7" t="s">
        <v>470</v>
      </c>
    </row>
    <row r="23" spans="1:9" x14ac:dyDescent="0.35">
      <c r="A23" s="37" t="s">
        <v>453</v>
      </c>
      <c r="B23" s="50" t="s">
        <v>30</v>
      </c>
      <c r="C23" s="50" t="s">
        <v>31</v>
      </c>
      <c r="D23" s="50" t="s">
        <v>27</v>
      </c>
      <c r="E23" s="50" t="s">
        <v>28</v>
      </c>
      <c r="F23" s="50" t="s">
        <v>29</v>
      </c>
    </row>
    <row r="24" spans="1:9" x14ac:dyDescent="0.35">
      <c r="A24" s="37"/>
      <c r="B24" s="50" t="s">
        <v>460</v>
      </c>
      <c r="C24" s="50" t="s">
        <v>461</v>
      </c>
      <c r="D24" s="50" t="s">
        <v>462</v>
      </c>
      <c r="E24" s="50" t="s">
        <v>463</v>
      </c>
      <c r="F24" s="50" t="s">
        <v>464</v>
      </c>
    </row>
    <row r="25" spans="1:9" x14ac:dyDescent="0.35">
      <c r="A25" t="s">
        <v>454</v>
      </c>
      <c r="B25" s="18">
        <v>-4.3819999999999997</v>
      </c>
      <c r="C25" s="18">
        <v>-5.0259999999999998</v>
      </c>
      <c r="D25" s="18">
        <v>-3.3769999999999998</v>
      </c>
      <c r="E25" s="18">
        <v>-3.4140000000000001</v>
      </c>
      <c r="F25" s="18">
        <v>-5.5709999999999997</v>
      </c>
    </row>
    <row r="26" spans="1:9" x14ac:dyDescent="0.35">
      <c r="A26" t="s">
        <v>455</v>
      </c>
      <c r="B26" s="18">
        <v>2.1869999999999998</v>
      </c>
      <c r="C26" s="18">
        <v>3.2</v>
      </c>
      <c r="D26" s="18">
        <v>2.4580000000000002</v>
      </c>
      <c r="E26" s="18">
        <v>2.7989999999999999</v>
      </c>
      <c r="F26" s="18">
        <v>1.9059999999999999</v>
      </c>
    </row>
    <row r="27" spans="1:9" x14ac:dyDescent="0.35">
      <c r="A27" t="s">
        <v>456</v>
      </c>
      <c r="B27" s="18">
        <v>0.124</v>
      </c>
      <c r="C27" s="18">
        <v>9.2999999999999999E-2</v>
      </c>
      <c r="D27" s="18">
        <v>0.124</v>
      </c>
      <c r="E27" s="18">
        <v>0.13500000000000001</v>
      </c>
      <c r="F27" s="18">
        <v>8.2000000000000003E-2</v>
      </c>
    </row>
    <row r="28" spans="1:9" x14ac:dyDescent="0.35">
      <c r="A28" t="s">
        <v>323</v>
      </c>
      <c r="B28" s="18">
        <v>-6.0000000000000001E-3</v>
      </c>
      <c r="C28" s="18">
        <v>7.0000000000000001E-3</v>
      </c>
      <c r="D28" s="18">
        <v>1E-3</v>
      </c>
      <c r="E28" s="18">
        <v>7.0000000000000001E-3</v>
      </c>
      <c r="F28" s="18">
        <v>-3.0000000000000001E-3</v>
      </c>
    </row>
    <row r="29" spans="1:9" x14ac:dyDescent="0.35">
      <c r="A29" t="s">
        <v>457</v>
      </c>
      <c r="B29" s="18">
        <v>1.0089999999999999</v>
      </c>
      <c r="C29" s="18">
        <v>1.0029999999999999</v>
      </c>
      <c r="D29" s="18">
        <v>1.0009999999999999</v>
      </c>
      <c r="E29" s="18">
        <v>1.004</v>
      </c>
      <c r="F29" s="18">
        <v>1.0029999999999999</v>
      </c>
    </row>
    <row r="30" spans="1:9" x14ac:dyDescent="0.35">
      <c r="A30" t="s">
        <v>458</v>
      </c>
      <c r="B30" s="18">
        <v>-0.65400000000000003</v>
      </c>
      <c r="C30" s="18">
        <v>-0.83799999999999997</v>
      </c>
      <c r="D30" s="18">
        <v>-0.41799999999999998</v>
      </c>
      <c r="E30" s="18">
        <v>-0.63500000000000001</v>
      </c>
      <c r="F30" s="18">
        <v>-1.2150000000000001</v>
      </c>
    </row>
    <row r="31" spans="1:9" x14ac:dyDescent="0.35">
      <c r="A31" s="1" t="s">
        <v>459</v>
      </c>
      <c r="B31" s="35">
        <v>0.54100000000000004</v>
      </c>
      <c r="C31" s="35">
        <v>1.1379999999999999</v>
      </c>
      <c r="D31" s="35">
        <v>-0.14000000000000001</v>
      </c>
      <c r="E31" s="35">
        <v>0.21299999999999999</v>
      </c>
      <c r="F31" s="35">
        <v>2.391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743C5-F54B-42CC-934F-DD462B9F4689}">
  <dimension ref="D1:L28"/>
  <sheetViews>
    <sheetView topLeftCell="C1" workbookViewId="0">
      <selection activeCell="H33" sqref="H33"/>
    </sheetView>
  </sheetViews>
  <sheetFormatPr baseColWidth="10" defaultRowHeight="14.5" x14ac:dyDescent="0.35"/>
  <cols>
    <col min="4" max="4" width="50.81640625" bestFit="1" customWidth="1"/>
    <col min="5" max="5" width="24.36328125" bestFit="1" customWidth="1"/>
  </cols>
  <sheetData>
    <row r="1" spans="4:12" x14ac:dyDescent="0.35">
      <c r="D1" s="37" t="s">
        <v>453</v>
      </c>
      <c r="E1" s="37"/>
      <c r="F1" s="37" t="s">
        <v>454</v>
      </c>
      <c r="G1" s="37" t="s">
        <v>455</v>
      </c>
      <c r="H1" s="37" t="s">
        <v>456</v>
      </c>
      <c r="I1" s="37" t="s">
        <v>323</v>
      </c>
      <c r="J1" s="37" t="s">
        <v>457</v>
      </c>
      <c r="K1" s="37" t="s">
        <v>458</v>
      </c>
      <c r="L1" s="37" t="s">
        <v>459</v>
      </c>
    </row>
    <row r="2" spans="4:12" x14ac:dyDescent="0.35">
      <c r="D2" t="s">
        <v>753</v>
      </c>
      <c r="E2" t="s">
        <v>757</v>
      </c>
      <c r="F2">
        <v>0</v>
      </c>
      <c r="G2">
        <v>368</v>
      </c>
      <c r="H2">
        <v>1</v>
      </c>
      <c r="I2">
        <v>44.152999999999999</v>
      </c>
      <c r="J2">
        <v>101.08499999999999</v>
      </c>
      <c r="K2">
        <v>2.6120000000000001</v>
      </c>
      <c r="L2">
        <v>5.4109999999999996</v>
      </c>
    </row>
    <row r="3" spans="4:12" x14ac:dyDescent="0.35">
      <c r="E3" t="s">
        <v>758</v>
      </c>
      <c r="F3">
        <v>0</v>
      </c>
      <c r="G3">
        <v>5.9109999999999996</v>
      </c>
      <c r="H3">
        <v>0.69299999999999995</v>
      </c>
      <c r="I3">
        <v>1.794</v>
      </c>
      <c r="J3">
        <v>1.915</v>
      </c>
      <c r="K3">
        <v>0.89200000000000002</v>
      </c>
      <c r="L3">
        <v>-0.46899999999999997</v>
      </c>
    </row>
    <row r="4" spans="4:12" x14ac:dyDescent="0.35">
      <c r="D4" t="s">
        <v>754</v>
      </c>
      <c r="E4" t="s">
        <v>759</v>
      </c>
      <c r="F4">
        <v>0</v>
      </c>
      <c r="G4">
        <v>664</v>
      </c>
      <c r="H4">
        <v>10</v>
      </c>
      <c r="I4">
        <v>75.013000000000005</v>
      </c>
      <c r="J4">
        <v>184.37</v>
      </c>
      <c r="K4">
        <v>2.7170000000000001</v>
      </c>
      <c r="L4">
        <v>5.6109999999999998</v>
      </c>
    </row>
    <row r="5" spans="4:12" x14ac:dyDescent="0.35">
      <c r="E5" t="s">
        <v>760</v>
      </c>
      <c r="F5">
        <v>0</v>
      </c>
      <c r="G5">
        <v>6.5</v>
      </c>
      <c r="H5">
        <v>2.3980000000000001</v>
      </c>
      <c r="I5">
        <v>2.4870000000000001</v>
      </c>
      <c r="J5">
        <v>1.7949999999999999</v>
      </c>
      <c r="K5">
        <v>0.629</v>
      </c>
      <c r="L5">
        <v>5.5E-2</v>
      </c>
    </row>
    <row r="6" spans="4:12" x14ac:dyDescent="0.35">
      <c r="D6" t="s">
        <v>755</v>
      </c>
      <c r="E6" t="s">
        <v>761</v>
      </c>
      <c r="F6">
        <v>1</v>
      </c>
      <c r="G6">
        <v>5661</v>
      </c>
      <c r="H6">
        <v>94</v>
      </c>
      <c r="I6">
        <v>637.38499999999999</v>
      </c>
      <c r="J6">
        <v>1579.3589999999999</v>
      </c>
      <c r="K6">
        <v>2.7290000000000001</v>
      </c>
      <c r="L6">
        <v>5.593</v>
      </c>
    </row>
    <row r="7" spans="4:12" x14ac:dyDescent="0.35">
      <c r="E7" t="s">
        <v>762</v>
      </c>
      <c r="F7">
        <v>0.69299999999999995</v>
      </c>
      <c r="G7">
        <v>8.6419999999999995</v>
      </c>
      <c r="H7">
        <v>4.5540000000000003</v>
      </c>
      <c r="I7">
        <v>4.8540000000000001</v>
      </c>
      <c r="J7">
        <v>1.5049999999999999</v>
      </c>
      <c r="K7">
        <v>1.083</v>
      </c>
      <c r="L7">
        <v>1.5349999999999999</v>
      </c>
    </row>
    <row r="8" spans="4:12" x14ac:dyDescent="0.35">
      <c r="D8" t="s">
        <v>756</v>
      </c>
      <c r="E8" t="s">
        <v>763</v>
      </c>
      <c r="F8">
        <v>87.72</v>
      </c>
      <c r="G8">
        <v>95.68</v>
      </c>
      <c r="H8">
        <v>90.293999999999997</v>
      </c>
      <c r="I8">
        <v>90.525000000000006</v>
      </c>
      <c r="J8">
        <v>2.032</v>
      </c>
      <c r="K8">
        <v>0.877</v>
      </c>
      <c r="L8">
        <v>0.66300000000000003</v>
      </c>
    </row>
    <row r="9" spans="4:12" x14ac:dyDescent="0.35">
      <c r="D9" s="1"/>
      <c r="E9" s="1" t="s">
        <v>764</v>
      </c>
      <c r="F9" s="1">
        <v>0.63100000000000001</v>
      </c>
      <c r="G9" s="1">
        <v>2.9830000000000001</v>
      </c>
      <c r="H9" s="1">
        <v>1.522</v>
      </c>
      <c r="I9" s="1">
        <v>1.7889999999999999</v>
      </c>
      <c r="J9" s="1">
        <v>0.72399999999999998</v>
      </c>
      <c r="K9" s="1">
        <v>0.34799999999999998</v>
      </c>
      <c r="L9" s="1">
        <v>-1.2470000000000001</v>
      </c>
    </row>
    <row r="10" spans="4:12" x14ac:dyDescent="0.35">
      <c r="E10" t="s">
        <v>497</v>
      </c>
      <c r="F10">
        <v>-1.0880000000000001</v>
      </c>
      <c r="G10">
        <v>2.9340000000000002</v>
      </c>
      <c r="H10">
        <v>-8.4000000000000005E-2</v>
      </c>
      <c r="I10">
        <v>0.48599999999999999</v>
      </c>
      <c r="J10">
        <v>1.1259999999999999</v>
      </c>
      <c r="K10">
        <v>0.73699999999999999</v>
      </c>
      <c r="L10">
        <v>-0.77700000000000002</v>
      </c>
    </row>
    <row r="11" spans="4:12" x14ac:dyDescent="0.35">
      <c r="D11" t="s">
        <v>765</v>
      </c>
      <c r="E11" t="s">
        <v>496</v>
      </c>
      <c r="F11">
        <v>-0.92600000000000005</v>
      </c>
      <c r="G11">
        <v>3.3730000000000002</v>
      </c>
      <c r="H11">
        <v>0.28699999999999998</v>
      </c>
      <c r="I11">
        <v>0.42799999999999999</v>
      </c>
      <c r="J11">
        <v>1.115</v>
      </c>
      <c r="K11">
        <v>1.3</v>
      </c>
      <c r="L11">
        <v>1.081</v>
      </c>
    </row>
    <row r="12" spans="4:12" x14ac:dyDescent="0.35">
      <c r="D12" s="1"/>
      <c r="E12" s="1" t="s">
        <v>495</v>
      </c>
      <c r="F12" s="1">
        <v>-0.93799999999999994</v>
      </c>
      <c r="G12" s="1">
        <v>3.6070000000000002</v>
      </c>
      <c r="H12" s="1">
        <v>-6.2E-2</v>
      </c>
      <c r="I12" s="1">
        <v>0.45600000000000002</v>
      </c>
      <c r="J12" s="1">
        <v>1.1200000000000001</v>
      </c>
      <c r="K12" s="1">
        <v>1.3240000000000001</v>
      </c>
      <c r="L12" s="1">
        <v>1.4690000000000001</v>
      </c>
    </row>
    <row r="13" spans="4:12" x14ac:dyDescent="0.35">
      <c r="E13" t="s">
        <v>513</v>
      </c>
      <c r="F13">
        <v>-2.1160000000000001</v>
      </c>
      <c r="G13">
        <v>2.06</v>
      </c>
      <c r="H13">
        <v>8.5000000000000006E-2</v>
      </c>
      <c r="I13">
        <v>0</v>
      </c>
      <c r="J13">
        <v>1</v>
      </c>
      <c r="K13">
        <v>0.16200000000000001</v>
      </c>
      <c r="L13">
        <v>-0.83</v>
      </c>
    </row>
    <row r="14" spans="4:12" x14ac:dyDescent="0.35">
      <c r="E14" t="s">
        <v>514</v>
      </c>
      <c r="F14">
        <v>-1.2250000000000001</v>
      </c>
      <c r="G14">
        <v>2.0920000000000001</v>
      </c>
      <c r="H14">
        <v>-0.22700000000000001</v>
      </c>
      <c r="I14">
        <v>0</v>
      </c>
      <c r="J14">
        <v>1</v>
      </c>
      <c r="K14">
        <v>0.872</v>
      </c>
      <c r="L14">
        <v>-0.56599999999999995</v>
      </c>
    </row>
    <row r="15" spans="4:12" x14ac:dyDescent="0.35">
      <c r="E15" t="s">
        <v>771</v>
      </c>
      <c r="F15">
        <v>-1.1719999999999999</v>
      </c>
      <c r="G15">
        <v>2.0550000000000002</v>
      </c>
      <c r="H15">
        <v>-0.41199999999999998</v>
      </c>
      <c r="I15">
        <v>0</v>
      </c>
      <c r="J15">
        <v>1</v>
      </c>
      <c r="K15">
        <v>0.89</v>
      </c>
      <c r="L15">
        <v>-0.75700000000000001</v>
      </c>
    </row>
    <row r="16" spans="4:12" x14ac:dyDescent="0.35">
      <c r="E16" t="s">
        <v>512</v>
      </c>
      <c r="F16">
        <v>465</v>
      </c>
      <c r="G16">
        <v>4236</v>
      </c>
      <c r="H16">
        <v>2234.6999999999998</v>
      </c>
      <c r="I16">
        <v>2597.1999999999998</v>
      </c>
      <c r="J16">
        <v>920</v>
      </c>
      <c r="K16">
        <v>0.39300000000000002</v>
      </c>
      <c r="L16">
        <v>-0.85499999999999998</v>
      </c>
    </row>
    <row r="17" spans="4:12" x14ac:dyDescent="0.35">
      <c r="E17" t="s">
        <v>510</v>
      </c>
      <c r="F17">
        <v>0</v>
      </c>
      <c r="G17">
        <v>4.5119999999999996</v>
      </c>
      <c r="H17">
        <v>0.79800000000000004</v>
      </c>
      <c r="I17">
        <v>0.997</v>
      </c>
      <c r="J17">
        <v>1.1000000000000001</v>
      </c>
      <c r="K17">
        <v>1.091</v>
      </c>
      <c r="L17">
        <v>0.41799999999999998</v>
      </c>
    </row>
    <row r="18" spans="4:12" x14ac:dyDescent="0.35">
      <c r="E18" t="s">
        <v>26</v>
      </c>
      <c r="F18">
        <v>0</v>
      </c>
      <c r="G18">
        <v>4</v>
      </c>
      <c r="H18">
        <v>1.7130000000000001</v>
      </c>
      <c r="I18">
        <v>1.5629999999999999</v>
      </c>
      <c r="J18">
        <v>1.153</v>
      </c>
      <c r="K18">
        <v>0.53400000000000003</v>
      </c>
      <c r="L18">
        <v>-0.47299999999999998</v>
      </c>
    </row>
    <row r="19" spans="4:12" x14ac:dyDescent="0.35">
      <c r="D19" s="1"/>
      <c r="E19" s="1" t="s">
        <v>500</v>
      </c>
      <c r="F19" s="1">
        <v>-1.2769999999999999</v>
      </c>
      <c r="G19" s="1">
        <v>2.032</v>
      </c>
      <c r="H19" s="1">
        <v>-0.25</v>
      </c>
      <c r="I19" s="1">
        <v>0</v>
      </c>
      <c r="J19" s="1">
        <v>1</v>
      </c>
      <c r="K19" s="1">
        <v>0.72799999999999998</v>
      </c>
      <c r="L19" s="1">
        <v>-0.78400000000000003</v>
      </c>
    </row>
    <row r="20" spans="4:12" x14ac:dyDescent="0.35">
      <c r="E20" t="s">
        <v>517</v>
      </c>
      <c r="F20">
        <v>3.0739999999999998</v>
      </c>
      <c r="G20">
        <v>1048.3679999999999</v>
      </c>
      <c r="H20">
        <v>316.87299999999999</v>
      </c>
      <c r="I20">
        <v>336.35500000000002</v>
      </c>
      <c r="J20">
        <v>212.28200000000001</v>
      </c>
      <c r="K20">
        <v>0.41</v>
      </c>
      <c r="L20">
        <v>-0.68600000000000005</v>
      </c>
    </row>
    <row r="21" spans="4:12" x14ac:dyDescent="0.35">
      <c r="E21" t="s">
        <v>772</v>
      </c>
      <c r="F21">
        <v>0</v>
      </c>
      <c r="G21">
        <v>1420</v>
      </c>
      <c r="H21">
        <v>396</v>
      </c>
      <c r="I21">
        <v>423.40199999999999</v>
      </c>
      <c r="J21">
        <v>267.38099999999997</v>
      </c>
      <c r="K21">
        <v>0.52200000000000002</v>
      </c>
      <c r="L21">
        <v>-0.41099999999999998</v>
      </c>
    </row>
    <row r="22" spans="4:12" x14ac:dyDescent="0.35">
      <c r="E22" t="s">
        <v>518</v>
      </c>
      <c r="F22">
        <v>0</v>
      </c>
      <c r="G22">
        <v>1070</v>
      </c>
      <c r="H22">
        <v>231</v>
      </c>
      <c r="I22">
        <v>269.86500000000001</v>
      </c>
      <c r="J22">
        <v>162.98500000000001</v>
      </c>
      <c r="K22">
        <v>0.85299999999999998</v>
      </c>
      <c r="L22">
        <v>1.3380000000000001</v>
      </c>
    </row>
    <row r="23" spans="4:12" x14ac:dyDescent="0.35">
      <c r="D23" s="1"/>
      <c r="E23" s="1" t="s">
        <v>773</v>
      </c>
      <c r="F23" s="1">
        <v>0</v>
      </c>
      <c r="G23" s="1">
        <v>1860</v>
      </c>
      <c r="H23" s="1">
        <v>219</v>
      </c>
      <c r="I23" s="1">
        <v>254.32499999999999</v>
      </c>
      <c r="J23" s="1">
        <v>204.37899999999999</v>
      </c>
      <c r="K23" s="1">
        <v>3.931</v>
      </c>
      <c r="L23" s="1">
        <v>23.707999999999998</v>
      </c>
    </row>
    <row r="24" spans="4:12" x14ac:dyDescent="0.35">
      <c r="D24" s="104" t="s">
        <v>748</v>
      </c>
      <c r="E24" s="104" t="s">
        <v>766</v>
      </c>
      <c r="F24" s="104">
        <v>-4.3819999999999997</v>
      </c>
      <c r="G24" s="104">
        <v>2.1869999999999998</v>
      </c>
      <c r="H24" s="104">
        <v>0.124</v>
      </c>
      <c r="I24" s="104">
        <v>-6.0000000000000001E-3</v>
      </c>
      <c r="J24" s="104">
        <v>1.0089999999999999</v>
      </c>
      <c r="K24" s="104">
        <v>-0.65400000000000003</v>
      </c>
      <c r="L24" s="104">
        <v>0.54100000000000004</v>
      </c>
    </row>
    <row r="25" spans="4:12" x14ac:dyDescent="0.35">
      <c r="D25" t="s">
        <v>749</v>
      </c>
      <c r="E25" t="s">
        <v>767</v>
      </c>
      <c r="F25">
        <v>-5.0259999999999998</v>
      </c>
      <c r="G25">
        <v>3.2</v>
      </c>
      <c r="H25">
        <v>9.2999999999999999E-2</v>
      </c>
      <c r="I25">
        <v>7.0000000000000001E-3</v>
      </c>
      <c r="J25">
        <v>1.0029999999999999</v>
      </c>
      <c r="K25">
        <v>-0.83799999999999997</v>
      </c>
      <c r="L25">
        <v>1.1379999999999999</v>
      </c>
    </row>
    <row r="26" spans="4:12" x14ac:dyDescent="0.35">
      <c r="D26" t="s">
        <v>750</v>
      </c>
      <c r="E26" t="s">
        <v>768</v>
      </c>
      <c r="F26">
        <v>-3.3769999999999998</v>
      </c>
      <c r="G26">
        <v>2.4580000000000002</v>
      </c>
      <c r="H26">
        <v>0.124</v>
      </c>
      <c r="I26">
        <v>1E-3</v>
      </c>
      <c r="J26">
        <v>1.0009999999999999</v>
      </c>
      <c r="K26">
        <v>-0.41799999999999998</v>
      </c>
      <c r="L26">
        <v>-0.14000000000000001</v>
      </c>
    </row>
    <row r="27" spans="4:12" x14ac:dyDescent="0.35">
      <c r="D27" t="s">
        <v>751</v>
      </c>
      <c r="E27" t="s">
        <v>769</v>
      </c>
      <c r="F27">
        <v>-3.4140000000000001</v>
      </c>
      <c r="G27">
        <v>2.7989999999999999</v>
      </c>
      <c r="H27">
        <v>0.13500000000000001</v>
      </c>
      <c r="I27">
        <v>7.0000000000000001E-3</v>
      </c>
      <c r="J27">
        <v>1.004</v>
      </c>
      <c r="K27">
        <v>-0.63500000000000001</v>
      </c>
      <c r="L27">
        <v>0.21299999999999999</v>
      </c>
    </row>
    <row r="28" spans="4:12" x14ac:dyDescent="0.35">
      <c r="D28" s="1" t="s">
        <v>752</v>
      </c>
      <c r="E28" s="1" t="s">
        <v>770</v>
      </c>
      <c r="F28" s="1">
        <v>-5.5709999999999997</v>
      </c>
      <c r="G28" s="1">
        <v>1.9059999999999999</v>
      </c>
      <c r="H28" s="1">
        <v>8.2000000000000003E-2</v>
      </c>
      <c r="I28" s="1">
        <v>-3.0000000000000001E-3</v>
      </c>
      <c r="J28" s="1">
        <v>1.0029999999999999</v>
      </c>
      <c r="K28" s="1">
        <v>-1.2150000000000001</v>
      </c>
      <c r="L28" s="1">
        <v>2.391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3B95-2236-47B6-85B1-3D49C653621A}">
  <sheetPr codeName="Feuil8"/>
  <dimension ref="A2:H74"/>
  <sheetViews>
    <sheetView workbookViewId="0">
      <selection activeCell="J10" sqref="J10"/>
    </sheetView>
  </sheetViews>
  <sheetFormatPr baseColWidth="10" defaultRowHeight="14.5" x14ac:dyDescent="0.35"/>
  <cols>
    <col min="2" max="2" width="16.453125" bestFit="1" customWidth="1"/>
    <col min="3" max="4" width="14.1796875" bestFit="1" customWidth="1"/>
    <col min="5" max="5" width="19.453125" customWidth="1"/>
    <col min="6" max="6" width="13.36328125" bestFit="1" customWidth="1"/>
    <col min="7" max="8" width="14.7265625" bestFit="1" customWidth="1"/>
  </cols>
  <sheetData>
    <row r="2" spans="1:8" x14ac:dyDescent="0.35">
      <c r="A2" s="7" t="s">
        <v>691</v>
      </c>
    </row>
    <row r="4" spans="1:8" ht="15" thickBot="1" x14ac:dyDescent="0.4"/>
    <row r="5" spans="1:8" ht="15" thickBot="1" x14ac:dyDescent="0.4">
      <c r="A5" s="61"/>
      <c r="B5" s="61"/>
      <c r="C5" s="128" t="s">
        <v>678</v>
      </c>
      <c r="D5" s="128"/>
      <c r="E5" s="128" t="s">
        <v>679</v>
      </c>
      <c r="F5" s="128"/>
      <c r="G5" s="128" t="s">
        <v>680</v>
      </c>
      <c r="H5" s="128"/>
    </row>
    <row r="6" spans="1:8" ht="15" thickBot="1" x14ac:dyDescent="0.4">
      <c r="A6" s="63"/>
      <c r="B6" s="63"/>
      <c r="C6" s="49" t="s">
        <v>522</v>
      </c>
      <c r="D6" s="49" t="s">
        <v>523</v>
      </c>
      <c r="E6" s="49" t="s">
        <v>522</v>
      </c>
      <c r="F6" s="49" t="s">
        <v>523</v>
      </c>
      <c r="G6" s="49" t="s">
        <v>522</v>
      </c>
      <c r="H6" s="49" t="s">
        <v>523</v>
      </c>
    </row>
    <row r="7" spans="1:8" x14ac:dyDescent="0.35">
      <c r="A7" s="53"/>
      <c r="B7" s="53"/>
      <c r="C7" s="48" t="s">
        <v>681</v>
      </c>
      <c r="D7" s="48" t="s">
        <v>681</v>
      </c>
      <c r="E7" s="48" t="s">
        <v>681</v>
      </c>
      <c r="F7" s="48" t="s">
        <v>681</v>
      </c>
      <c r="G7" s="48" t="s">
        <v>681</v>
      </c>
      <c r="H7" s="48" t="s">
        <v>681</v>
      </c>
    </row>
    <row r="8" spans="1:8" x14ac:dyDescent="0.35">
      <c r="A8" s="64" t="s">
        <v>12</v>
      </c>
      <c r="B8" s="53"/>
      <c r="C8" s="53"/>
      <c r="D8" s="53"/>
      <c r="E8" s="53"/>
      <c r="F8" s="73" t="s">
        <v>689</v>
      </c>
      <c r="G8" s="53"/>
      <c r="H8" s="53"/>
    </row>
    <row r="9" spans="1:8" x14ac:dyDescent="0.35">
      <c r="A9" s="53"/>
      <c r="B9" s="48" t="s">
        <v>524</v>
      </c>
      <c r="C9" s="53"/>
      <c r="D9" s="53"/>
      <c r="E9" s="53"/>
      <c r="F9" s="53"/>
      <c r="G9" s="53"/>
      <c r="H9" s="48" t="s">
        <v>525</v>
      </c>
    </row>
    <row r="10" spans="1:8" x14ac:dyDescent="0.35">
      <c r="A10" s="53"/>
      <c r="B10" s="48" t="s">
        <v>526</v>
      </c>
      <c r="C10" s="53"/>
      <c r="D10" s="53"/>
      <c r="E10" s="53"/>
      <c r="F10" s="53"/>
      <c r="G10" s="53"/>
      <c r="H10" s="48" t="s">
        <v>527</v>
      </c>
    </row>
    <row r="11" spans="1:8" x14ac:dyDescent="0.35">
      <c r="A11" s="53"/>
      <c r="B11" s="48" t="s">
        <v>528</v>
      </c>
      <c r="C11" s="53"/>
      <c r="D11" s="53"/>
      <c r="E11" s="72" t="s">
        <v>688</v>
      </c>
      <c r="F11" s="53"/>
      <c r="G11" s="72" t="s">
        <v>687</v>
      </c>
      <c r="H11" s="48" t="s">
        <v>529</v>
      </c>
    </row>
    <row r="12" spans="1:8" x14ac:dyDescent="0.35">
      <c r="A12" s="53"/>
      <c r="B12" s="48" t="s">
        <v>530</v>
      </c>
      <c r="C12" s="53"/>
      <c r="D12" s="53"/>
      <c r="E12" s="53"/>
      <c r="F12" s="53"/>
      <c r="G12" s="53"/>
      <c r="H12" s="48" t="s">
        <v>531</v>
      </c>
    </row>
    <row r="13" spans="1:8" ht="15" thickBot="1" x14ac:dyDescent="0.4">
      <c r="A13" s="63"/>
      <c r="B13" s="49" t="s">
        <v>532</v>
      </c>
      <c r="C13" s="63"/>
      <c r="D13" s="63"/>
      <c r="E13" s="63"/>
      <c r="F13" s="63"/>
      <c r="G13" s="63"/>
      <c r="H13" s="49" t="s">
        <v>533</v>
      </c>
    </row>
    <row r="14" spans="1:8" x14ac:dyDescent="0.35">
      <c r="A14" s="64" t="s">
        <v>14</v>
      </c>
      <c r="B14" s="53"/>
      <c r="C14" s="64" t="s">
        <v>534</v>
      </c>
      <c r="D14" s="64" t="s">
        <v>535</v>
      </c>
      <c r="E14" s="53"/>
      <c r="F14" s="53"/>
      <c r="G14" s="53"/>
      <c r="H14" s="64" t="s">
        <v>536</v>
      </c>
    </row>
    <row r="15" spans="1:8" x14ac:dyDescent="0.35">
      <c r="A15" s="53"/>
      <c r="B15" s="48" t="s">
        <v>537</v>
      </c>
      <c r="C15" s="53"/>
      <c r="D15" s="53"/>
      <c r="E15" s="53"/>
      <c r="F15" s="53"/>
      <c r="G15" s="53"/>
      <c r="H15" s="48" t="s">
        <v>538</v>
      </c>
    </row>
    <row r="16" spans="1:8" x14ac:dyDescent="0.35">
      <c r="A16" s="53"/>
      <c r="B16" s="48" t="s">
        <v>539</v>
      </c>
      <c r="C16" s="53"/>
      <c r="D16" s="53"/>
      <c r="E16" s="48" t="s">
        <v>540</v>
      </c>
      <c r="F16" s="53"/>
      <c r="G16" s="53"/>
      <c r="H16" s="48" t="s">
        <v>541</v>
      </c>
    </row>
    <row r="17" spans="1:8" x14ac:dyDescent="0.35">
      <c r="A17" s="53"/>
      <c r="B17" s="48" t="s">
        <v>542</v>
      </c>
      <c r="C17" s="53"/>
      <c r="D17" s="53"/>
      <c r="E17" s="53"/>
      <c r="F17" s="53"/>
      <c r="G17" s="53"/>
      <c r="H17" s="48" t="s">
        <v>543</v>
      </c>
    </row>
    <row r="18" spans="1:8" x14ac:dyDescent="0.35">
      <c r="A18" s="53"/>
      <c r="B18" s="48" t="s">
        <v>544</v>
      </c>
      <c r="C18" s="53"/>
      <c r="D18" s="53"/>
      <c r="E18" s="53"/>
      <c r="F18" s="53"/>
      <c r="G18" s="53"/>
      <c r="H18" s="48" t="s">
        <v>545</v>
      </c>
    </row>
    <row r="19" spans="1:8" x14ac:dyDescent="0.35">
      <c r="A19" s="53"/>
      <c r="B19" s="48" t="s">
        <v>546</v>
      </c>
      <c r="C19" s="53"/>
      <c r="D19" s="53"/>
      <c r="E19" s="53"/>
      <c r="F19" s="53"/>
      <c r="G19" s="53"/>
      <c r="H19" s="48" t="s">
        <v>547</v>
      </c>
    </row>
    <row r="20" spans="1:8" x14ac:dyDescent="0.35">
      <c r="A20" s="53"/>
      <c r="B20" s="48" t="s">
        <v>548</v>
      </c>
      <c r="C20" s="53"/>
      <c r="D20" s="53"/>
      <c r="E20" s="53"/>
      <c r="F20" s="48" t="s">
        <v>549</v>
      </c>
      <c r="G20" s="53"/>
      <c r="H20" s="53"/>
    </row>
    <row r="21" spans="1:8" x14ac:dyDescent="0.35">
      <c r="A21" s="53"/>
      <c r="B21" s="48" t="s">
        <v>539</v>
      </c>
      <c r="C21" s="53"/>
      <c r="D21" s="53"/>
      <c r="E21" s="53"/>
      <c r="F21" s="53"/>
      <c r="G21" s="48" t="s">
        <v>549</v>
      </c>
      <c r="H21" s="53"/>
    </row>
    <row r="22" spans="1:8" x14ac:dyDescent="0.35">
      <c r="A22" s="53"/>
      <c r="B22" s="48" t="s">
        <v>550</v>
      </c>
      <c r="C22" s="53"/>
      <c r="D22" s="53"/>
      <c r="E22" s="53"/>
      <c r="F22" s="53"/>
      <c r="G22" s="53"/>
      <c r="H22" s="48" t="s">
        <v>551</v>
      </c>
    </row>
    <row r="23" spans="1:8" ht="15" thickBot="1" x14ac:dyDescent="0.4">
      <c r="A23" s="63"/>
      <c r="B23" s="49" t="s">
        <v>552</v>
      </c>
      <c r="C23" s="63"/>
      <c r="D23" s="63"/>
      <c r="E23" s="63"/>
      <c r="F23" s="63"/>
      <c r="G23" s="63"/>
      <c r="H23" s="49" t="s">
        <v>553</v>
      </c>
    </row>
    <row r="24" spans="1:8" x14ac:dyDescent="0.35">
      <c r="A24" s="64" t="s">
        <v>16</v>
      </c>
      <c r="B24" s="53"/>
      <c r="C24" s="64" t="s">
        <v>554</v>
      </c>
      <c r="D24" s="64" t="s">
        <v>555</v>
      </c>
      <c r="E24" s="53"/>
      <c r="F24" s="53"/>
      <c r="G24" s="53"/>
      <c r="H24" s="53"/>
    </row>
    <row r="25" spans="1:8" x14ac:dyDescent="0.35">
      <c r="A25" s="53"/>
      <c r="B25" s="48" t="s">
        <v>556</v>
      </c>
      <c r="C25" s="53"/>
      <c r="D25" s="53"/>
      <c r="E25" s="53"/>
      <c r="F25" s="48" t="s">
        <v>557</v>
      </c>
      <c r="G25" s="53"/>
      <c r="H25" s="53"/>
    </row>
    <row r="26" spans="1:8" ht="15" thickBot="1" x14ac:dyDescent="0.4">
      <c r="A26" s="63"/>
      <c r="B26" s="49" t="s">
        <v>558</v>
      </c>
      <c r="C26" s="63"/>
      <c r="D26" s="63"/>
      <c r="E26" s="63"/>
      <c r="F26" s="63"/>
      <c r="G26" s="63"/>
      <c r="H26" s="49" t="s">
        <v>559</v>
      </c>
    </row>
    <row r="27" spans="1:8" x14ac:dyDescent="0.35">
      <c r="A27" s="64" t="s">
        <v>18</v>
      </c>
      <c r="B27" s="53"/>
      <c r="C27" s="64" t="s">
        <v>560</v>
      </c>
      <c r="D27" s="64" t="s">
        <v>561</v>
      </c>
      <c r="E27" s="53"/>
      <c r="F27" s="53"/>
      <c r="G27" s="64" t="s">
        <v>562</v>
      </c>
      <c r="H27" s="64" t="s">
        <v>563</v>
      </c>
    </row>
    <row r="28" spans="1:8" x14ac:dyDescent="0.35">
      <c r="A28" s="53"/>
      <c r="B28" s="48" t="s">
        <v>564</v>
      </c>
      <c r="C28" s="53"/>
      <c r="D28" s="53"/>
      <c r="E28" s="53"/>
      <c r="F28" s="53"/>
      <c r="G28" s="53"/>
      <c r="H28" s="48" t="s">
        <v>565</v>
      </c>
    </row>
    <row r="29" spans="1:8" x14ac:dyDescent="0.35">
      <c r="A29" s="53"/>
      <c r="B29" s="48" t="s">
        <v>566</v>
      </c>
      <c r="C29" s="53"/>
      <c r="D29" s="53"/>
      <c r="E29" s="53"/>
      <c r="F29" s="48" t="s">
        <v>567</v>
      </c>
      <c r="G29" s="53"/>
      <c r="H29" s="48">
        <f>-0.187*(0.099)</f>
        <v>-1.8513000000000002E-2</v>
      </c>
    </row>
    <row r="30" spans="1:8" x14ac:dyDescent="0.35">
      <c r="A30" s="53"/>
      <c r="B30" s="48" t="s">
        <v>568</v>
      </c>
      <c r="C30" s="53"/>
      <c r="D30" s="53"/>
      <c r="E30" s="53"/>
      <c r="F30" s="53"/>
      <c r="G30" s="53"/>
      <c r="H30" s="48" t="s">
        <v>569</v>
      </c>
    </row>
    <row r="31" spans="1:8" ht="15" thickBot="1" x14ac:dyDescent="0.4">
      <c r="A31" s="63"/>
      <c r="B31" s="49" t="s">
        <v>570</v>
      </c>
      <c r="C31" s="63"/>
      <c r="D31" s="63"/>
      <c r="E31" s="63"/>
      <c r="F31" s="63"/>
      <c r="G31" s="63"/>
      <c r="H31" s="49" t="s">
        <v>571</v>
      </c>
    </row>
    <row r="32" spans="1:8" x14ac:dyDescent="0.35">
      <c r="A32" s="64" t="s">
        <v>19</v>
      </c>
      <c r="B32" s="53"/>
      <c r="C32" s="64" t="s">
        <v>572</v>
      </c>
      <c r="D32" s="64" t="s">
        <v>573</v>
      </c>
      <c r="E32" s="53"/>
      <c r="F32" s="53"/>
      <c r="G32" s="53"/>
      <c r="H32" s="64" t="s">
        <v>574</v>
      </c>
    </row>
    <row r="33" spans="1:8" x14ac:dyDescent="0.35">
      <c r="A33" s="53"/>
      <c r="B33" s="48" t="s">
        <v>575</v>
      </c>
      <c r="C33" s="53"/>
      <c r="D33" s="53"/>
      <c r="E33" s="72" t="s">
        <v>685</v>
      </c>
      <c r="F33" s="53"/>
      <c r="G33" s="53"/>
      <c r="H33" s="48" t="s">
        <v>576</v>
      </c>
    </row>
    <row r="34" spans="1:8" x14ac:dyDescent="0.35">
      <c r="A34" s="53"/>
      <c r="B34" s="48" t="s">
        <v>577</v>
      </c>
      <c r="C34" s="53"/>
      <c r="D34" s="53"/>
      <c r="E34" s="53"/>
      <c r="F34" s="53"/>
      <c r="G34" s="53"/>
      <c r="H34" s="48" t="s">
        <v>578</v>
      </c>
    </row>
    <row r="35" spans="1:8" x14ac:dyDescent="0.35">
      <c r="A35" s="53"/>
      <c r="B35" s="48" t="s">
        <v>579</v>
      </c>
      <c r="C35" s="53"/>
      <c r="D35" s="53"/>
      <c r="E35" s="53"/>
      <c r="F35" s="53"/>
      <c r="G35" s="53"/>
      <c r="H35" s="48" t="s">
        <v>580</v>
      </c>
    </row>
    <row r="36" spans="1:8" x14ac:dyDescent="0.35">
      <c r="A36" s="53"/>
      <c r="B36" s="48" t="s">
        <v>581</v>
      </c>
      <c r="C36" s="53"/>
      <c r="D36" s="53"/>
      <c r="E36" s="53"/>
      <c r="F36" s="72" t="s">
        <v>686</v>
      </c>
      <c r="G36" s="53"/>
      <c r="H36" s="48" t="s">
        <v>582</v>
      </c>
    </row>
    <row r="37" spans="1:8" x14ac:dyDescent="0.35">
      <c r="A37" s="53"/>
      <c r="B37" s="48" t="s">
        <v>583</v>
      </c>
      <c r="C37" s="53"/>
      <c r="D37" s="53"/>
      <c r="E37" s="48" t="s">
        <v>584</v>
      </c>
      <c r="F37" s="53"/>
      <c r="G37" s="53"/>
      <c r="H37" s="53"/>
    </row>
    <row r="38" spans="1:8" x14ac:dyDescent="0.35">
      <c r="A38" s="53"/>
      <c r="B38" s="48" t="s">
        <v>585</v>
      </c>
      <c r="C38" s="53"/>
      <c r="D38" s="53"/>
      <c r="E38" s="53"/>
      <c r="F38" s="48" t="s">
        <v>586</v>
      </c>
      <c r="G38" s="53"/>
      <c r="H38" s="48" t="s">
        <v>587</v>
      </c>
    </row>
    <row r="39" spans="1:8" x14ac:dyDescent="0.35">
      <c r="A39" s="53"/>
      <c r="B39" s="48" t="s">
        <v>588</v>
      </c>
      <c r="C39" s="53"/>
      <c r="D39" s="53"/>
      <c r="E39" s="53"/>
      <c r="F39" s="53"/>
      <c r="G39" s="53"/>
      <c r="H39" s="48" t="s">
        <v>589</v>
      </c>
    </row>
    <row r="40" spans="1:8" x14ac:dyDescent="0.35">
      <c r="A40" s="53"/>
      <c r="B40" s="48" t="s">
        <v>583</v>
      </c>
      <c r="C40" s="53"/>
      <c r="D40" s="53"/>
      <c r="E40" s="53"/>
      <c r="F40" s="53"/>
      <c r="G40" s="53"/>
      <c r="H40" s="48" t="s">
        <v>590</v>
      </c>
    </row>
    <row r="41" spans="1:8" x14ac:dyDescent="0.35">
      <c r="A41" s="53"/>
      <c r="B41" s="48" t="s">
        <v>591</v>
      </c>
      <c r="C41" s="53"/>
      <c r="D41" s="53"/>
      <c r="E41" s="53"/>
      <c r="F41" s="53"/>
      <c r="G41" s="53"/>
      <c r="H41" s="48" t="s">
        <v>592</v>
      </c>
    </row>
    <row r="42" spans="1:8" ht="15" thickBot="1" x14ac:dyDescent="0.4">
      <c r="A42" s="63"/>
      <c r="B42" s="49" t="s">
        <v>593</v>
      </c>
      <c r="C42" s="63"/>
      <c r="D42" s="63"/>
      <c r="E42" s="63"/>
      <c r="F42" s="63"/>
      <c r="G42" s="63"/>
      <c r="H42" s="49" t="s">
        <v>594</v>
      </c>
    </row>
    <row r="43" spans="1:8" x14ac:dyDescent="0.35">
      <c r="A43" s="64" t="s">
        <v>20</v>
      </c>
      <c r="B43" s="53"/>
      <c r="C43" s="53"/>
      <c r="D43" s="53"/>
      <c r="E43" s="64" t="s">
        <v>595</v>
      </c>
      <c r="F43" s="53"/>
      <c r="G43" s="53"/>
      <c r="H43" s="53"/>
    </row>
    <row r="44" spans="1:8" x14ac:dyDescent="0.35">
      <c r="A44" s="53"/>
      <c r="B44" s="48" t="s">
        <v>596</v>
      </c>
      <c r="C44" s="53"/>
      <c r="D44" s="53"/>
      <c r="E44" s="53"/>
      <c r="F44" s="72" t="s">
        <v>684</v>
      </c>
      <c r="G44" s="53"/>
      <c r="H44" s="53"/>
    </row>
    <row r="45" spans="1:8" x14ac:dyDescent="0.35">
      <c r="A45" s="53"/>
      <c r="B45" s="48" t="s">
        <v>597</v>
      </c>
      <c r="C45" s="53"/>
      <c r="D45" s="53"/>
      <c r="E45" s="53"/>
      <c r="F45" s="48" t="s">
        <v>598</v>
      </c>
      <c r="G45" s="53"/>
      <c r="H45" s="48" t="s">
        <v>599</v>
      </c>
    </row>
    <row r="46" spans="1:8" ht="15" thickBot="1" x14ac:dyDescent="0.4">
      <c r="A46" s="63"/>
      <c r="B46" s="49" t="s">
        <v>600</v>
      </c>
      <c r="C46" s="63"/>
      <c r="D46" s="63"/>
      <c r="E46" s="63"/>
      <c r="F46" s="63"/>
      <c r="G46" s="63"/>
      <c r="H46" s="49" t="s">
        <v>601</v>
      </c>
    </row>
    <row r="47" spans="1:8" x14ac:dyDescent="0.35">
      <c r="A47" s="64" t="s">
        <v>32</v>
      </c>
      <c r="B47" s="53"/>
      <c r="C47" s="64" t="s">
        <v>602</v>
      </c>
      <c r="D47" s="53"/>
      <c r="E47" s="64" t="s">
        <v>603</v>
      </c>
      <c r="F47" s="53"/>
      <c r="G47" s="64" t="s">
        <v>604</v>
      </c>
      <c r="H47" s="64" t="s">
        <v>605</v>
      </c>
    </row>
    <row r="48" spans="1:8" x14ac:dyDescent="0.35">
      <c r="A48" s="64" t="s">
        <v>33</v>
      </c>
      <c r="B48" s="53"/>
      <c r="C48" s="64" t="s">
        <v>606</v>
      </c>
      <c r="D48" s="53"/>
      <c r="E48" s="64" t="s">
        <v>607</v>
      </c>
      <c r="F48" s="53"/>
      <c r="G48" s="64" t="s">
        <v>608</v>
      </c>
      <c r="H48" s="53"/>
    </row>
    <row r="49" spans="1:8" x14ac:dyDescent="0.35">
      <c r="A49" s="64" t="s">
        <v>34</v>
      </c>
      <c r="B49" s="53"/>
      <c r="C49" s="53"/>
      <c r="D49" s="53"/>
      <c r="E49" s="53"/>
      <c r="F49" s="53"/>
      <c r="G49" s="53"/>
      <c r="H49" s="64" t="s">
        <v>609</v>
      </c>
    </row>
    <row r="50" spans="1:8" x14ac:dyDescent="0.35">
      <c r="A50" s="64" t="s">
        <v>21</v>
      </c>
      <c r="B50" s="53"/>
      <c r="C50" s="64" t="s">
        <v>610</v>
      </c>
      <c r="D50" s="64" t="s">
        <v>611</v>
      </c>
      <c r="E50" s="64" t="s">
        <v>612</v>
      </c>
      <c r="F50" s="64" t="s">
        <v>613</v>
      </c>
      <c r="G50" s="64" t="s">
        <v>614</v>
      </c>
      <c r="H50" s="64" t="s">
        <v>615</v>
      </c>
    </row>
    <row r="51" spans="1:8" x14ac:dyDescent="0.35">
      <c r="A51" s="64" t="s">
        <v>22</v>
      </c>
      <c r="B51" s="53"/>
      <c r="C51" s="64" t="s">
        <v>616</v>
      </c>
      <c r="D51" s="64" t="s">
        <v>617</v>
      </c>
      <c r="E51" s="64" t="s">
        <v>618</v>
      </c>
      <c r="F51" s="53"/>
      <c r="G51" s="64" t="s">
        <v>619</v>
      </c>
      <c r="H51" s="64" t="s">
        <v>620</v>
      </c>
    </row>
    <row r="52" spans="1:8" ht="15" thickBot="1" x14ac:dyDescent="0.4">
      <c r="A52" s="65" t="s">
        <v>23</v>
      </c>
      <c r="B52" s="63"/>
      <c r="C52" s="65" t="s">
        <v>621</v>
      </c>
      <c r="D52" s="65" t="s">
        <v>622</v>
      </c>
      <c r="E52" s="65" t="s">
        <v>623</v>
      </c>
      <c r="F52" s="63"/>
      <c r="G52" s="65" t="s">
        <v>624</v>
      </c>
      <c r="H52" s="65" t="s">
        <v>625</v>
      </c>
    </row>
    <row r="53" spans="1:8" x14ac:dyDescent="0.35">
      <c r="A53" s="53"/>
      <c r="B53" s="48" t="s">
        <v>626</v>
      </c>
      <c r="C53" s="53"/>
      <c r="D53" s="53"/>
      <c r="E53" s="48" t="s">
        <v>627</v>
      </c>
      <c r="F53" s="48" t="s">
        <v>628</v>
      </c>
      <c r="G53" s="48" t="s">
        <v>629</v>
      </c>
      <c r="H53" s="48" t="s">
        <v>630</v>
      </c>
    </row>
    <row r="54" spans="1:8" x14ac:dyDescent="0.35">
      <c r="A54" s="53"/>
      <c r="B54" s="48" t="s">
        <v>631</v>
      </c>
      <c r="C54" s="53"/>
      <c r="D54" s="53"/>
      <c r="E54" s="53"/>
      <c r="F54" s="53"/>
      <c r="G54" s="53"/>
      <c r="H54" s="48" t="s">
        <v>632</v>
      </c>
    </row>
    <row r="55" spans="1:8" x14ac:dyDescent="0.35">
      <c r="A55" s="53"/>
      <c r="B55" s="48" t="s">
        <v>633</v>
      </c>
      <c r="C55" s="53"/>
      <c r="D55" s="53"/>
      <c r="E55" s="53"/>
      <c r="F55" s="71" t="s">
        <v>683</v>
      </c>
      <c r="G55" s="53"/>
      <c r="H55" s="53"/>
    </row>
    <row r="56" spans="1:8" ht="15" thickBot="1" x14ac:dyDescent="0.4">
      <c r="A56" s="63"/>
      <c r="B56" s="49" t="s">
        <v>634</v>
      </c>
      <c r="C56" s="63"/>
      <c r="D56" s="63"/>
      <c r="E56" s="63"/>
      <c r="F56" s="63"/>
      <c r="G56" s="63"/>
      <c r="H56" s="49" t="s">
        <v>635</v>
      </c>
    </row>
    <row r="57" spans="1:8" x14ac:dyDescent="0.35">
      <c r="A57" s="64" t="s">
        <v>24</v>
      </c>
      <c r="B57" s="53"/>
      <c r="C57" s="53"/>
      <c r="D57" s="53"/>
      <c r="E57" s="64" t="s">
        <v>636</v>
      </c>
      <c r="F57" s="64" t="s">
        <v>549</v>
      </c>
      <c r="G57" s="53"/>
      <c r="H57" s="64" t="s">
        <v>637</v>
      </c>
    </row>
    <row r="58" spans="1:8" x14ac:dyDescent="0.35">
      <c r="A58" s="64" t="s">
        <v>25</v>
      </c>
      <c r="B58" s="53"/>
      <c r="C58" s="64" t="s">
        <v>638</v>
      </c>
      <c r="D58" s="64" t="s">
        <v>639</v>
      </c>
      <c r="E58" s="64" t="s">
        <v>640</v>
      </c>
      <c r="F58" s="64" t="s">
        <v>641</v>
      </c>
      <c r="G58" s="64" t="s">
        <v>642</v>
      </c>
      <c r="H58" s="64" t="s">
        <v>643</v>
      </c>
    </row>
    <row r="59" spans="1:8" x14ac:dyDescent="0.35">
      <c r="A59" s="64" t="s">
        <v>26</v>
      </c>
      <c r="B59" s="53"/>
      <c r="C59" s="53"/>
      <c r="D59" s="64" t="s">
        <v>644</v>
      </c>
      <c r="E59" s="53"/>
      <c r="F59" s="53"/>
      <c r="G59" s="53"/>
      <c r="H59" s="64" t="s">
        <v>645</v>
      </c>
    </row>
    <row r="60" spans="1:8" ht="15" thickBot="1" x14ac:dyDescent="0.4">
      <c r="A60" s="65" t="s">
        <v>35</v>
      </c>
      <c r="B60" s="63"/>
      <c r="C60" s="63"/>
      <c r="D60" s="63"/>
      <c r="E60" s="70" t="s">
        <v>682</v>
      </c>
      <c r="F60" s="63"/>
      <c r="G60" s="63"/>
      <c r="H60" s="65" t="s">
        <v>646</v>
      </c>
    </row>
    <row r="61" spans="1:8" x14ac:dyDescent="0.35">
      <c r="A61" s="66" t="s">
        <v>647</v>
      </c>
      <c r="B61" s="53"/>
      <c r="C61" s="66" t="s">
        <v>648</v>
      </c>
      <c r="D61" s="66" t="s">
        <v>649</v>
      </c>
      <c r="E61" s="53"/>
      <c r="F61" s="53"/>
      <c r="G61" s="66" t="s">
        <v>650</v>
      </c>
      <c r="H61" s="66" t="s">
        <v>651</v>
      </c>
    </row>
    <row r="62" spans="1:8" x14ac:dyDescent="0.35">
      <c r="A62" s="66" t="s">
        <v>652</v>
      </c>
      <c r="B62" s="53"/>
      <c r="C62" s="53"/>
      <c r="D62" s="53"/>
      <c r="E62" s="53"/>
      <c r="F62" s="53"/>
      <c r="G62" s="53"/>
      <c r="H62" s="66" t="s">
        <v>653</v>
      </c>
    </row>
    <row r="63" spans="1:8" x14ac:dyDescent="0.35">
      <c r="A63" s="66" t="s">
        <v>654</v>
      </c>
      <c r="B63" s="53"/>
      <c r="C63" s="53"/>
      <c r="D63" s="66" t="s">
        <v>655</v>
      </c>
      <c r="E63" s="53"/>
      <c r="F63" s="53"/>
      <c r="G63" s="53"/>
      <c r="H63" s="66" t="s">
        <v>656</v>
      </c>
    </row>
    <row r="64" spans="1:8" x14ac:dyDescent="0.35">
      <c r="A64" s="66" t="s">
        <v>657</v>
      </c>
      <c r="B64" s="53"/>
      <c r="C64" s="66" t="s">
        <v>658</v>
      </c>
      <c r="D64" s="53"/>
      <c r="E64" s="53"/>
      <c r="F64" s="53"/>
      <c r="G64" s="66" t="s">
        <v>659</v>
      </c>
      <c r="H64" s="66" t="s">
        <v>660</v>
      </c>
    </row>
    <row r="65" spans="1:8" x14ac:dyDescent="0.35">
      <c r="A65" s="66" t="s">
        <v>661</v>
      </c>
      <c r="B65" s="53"/>
      <c r="C65" s="66" t="s">
        <v>662</v>
      </c>
      <c r="D65" s="66" t="s">
        <v>663</v>
      </c>
      <c r="E65" s="53"/>
      <c r="F65" s="53"/>
      <c r="G65" s="66">
        <f>-0.271*(0.158)</f>
        <v>-4.2818000000000002E-2</v>
      </c>
      <c r="H65" s="66" t="s">
        <v>664</v>
      </c>
    </row>
    <row r="66" spans="1:8" x14ac:dyDescent="0.35">
      <c r="A66" s="66" t="s">
        <v>665</v>
      </c>
      <c r="B66" s="53"/>
      <c r="C66" s="53"/>
      <c r="D66" s="53"/>
      <c r="E66" s="53"/>
      <c r="F66" s="53"/>
      <c r="G66" s="53"/>
      <c r="H66" s="66" t="s">
        <v>666</v>
      </c>
    </row>
    <row r="67" spans="1:8" x14ac:dyDescent="0.35">
      <c r="A67" s="66" t="s">
        <v>667</v>
      </c>
      <c r="B67" s="53"/>
      <c r="C67" s="53"/>
      <c r="D67" s="53"/>
      <c r="E67" s="53"/>
      <c r="F67" s="53"/>
      <c r="G67" s="53"/>
      <c r="H67" s="66" t="s">
        <v>668</v>
      </c>
    </row>
    <row r="68" spans="1:8" ht="15" thickBot="1" x14ac:dyDescent="0.4">
      <c r="A68" s="67" t="s">
        <v>669</v>
      </c>
      <c r="B68" s="63"/>
      <c r="C68" s="63"/>
      <c r="D68" s="63"/>
      <c r="E68" s="63"/>
      <c r="F68" s="63"/>
      <c r="G68" s="63"/>
      <c r="H68" s="67" t="s">
        <v>670</v>
      </c>
    </row>
    <row r="69" spans="1:8" x14ac:dyDescent="0.35">
      <c r="A69" s="48" t="s">
        <v>671</v>
      </c>
      <c r="B69" s="53"/>
      <c r="C69" s="74">
        <v>-3229.7350000000001</v>
      </c>
      <c r="D69" s="74">
        <v>-3234.002</v>
      </c>
      <c r="E69" s="74">
        <v>-3234.5740000000001</v>
      </c>
      <c r="F69" s="74">
        <v>-3240.998</v>
      </c>
      <c r="G69" s="74">
        <v>-3203.0410000000002</v>
      </c>
      <c r="H69" s="74">
        <v>-3712.6260000000002</v>
      </c>
    </row>
    <row r="70" spans="1:8" x14ac:dyDescent="0.35">
      <c r="A70" s="48" t="s">
        <v>672</v>
      </c>
      <c r="B70" s="53"/>
      <c r="C70" s="74">
        <v>6501.4690000000001</v>
      </c>
      <c r="D70" s="74">
        <v>6514.0039999999999</v>
      </c>
      <c r="E70" s="74">
        <v>6607.1480000000001</v>
      </c>
      <c r="F70" s="74">
        <v>6655.9960000000001</v>
      </c>
      <c r="G70" s="74">
        <v>6556.0829999999996</v>
      </c>
      <c r="H70" s="74">
        <v>7615.2510000000002</v>
      </c>
    </row>
    <row r="71" spans="1:8" x14ac:dyDescent="0.35">
      <c r="A71" s="48" t="s">
        <v>673</v>
      </c>
      <c r="B71" s="53"/>
      <c r="C71" s="57"/>
      <c r="D71" s="57"/>
      <c r="E71" s="57"/>
      <c r="F71" s="57"/>
      <c r="G71" s="57"/>
      <c r="H71" s="57"/>
    </row>
    <row r="72" spans="1:8" x14ac:dyDescent="0.35">
      <c r="A72" s="48" t="s">
        <v>674</v>
      </c>
      <c r="B72" s="53"/>
      <c r="C72" s="74">
        <v>0.42699999999999999</v>
      </c>
      <c r="D72" s="74">
        <v>0.42270000000000002</v>
      </c>
      <c r="E72" s="74">
        <v>0.42220000000000002</v>
      </c>
      <c r="F72" s="74">
        <v>0.41560000000000002</v>
      </c>
      <c r="G72" s="74">
        <v>0.45319999999999999</v>
      </c>
      <c r="H72" s="74">
        <v>-0.33160000000000001</v>
      </c>
    </row>
    <row r="73" spans="1:8" ht="15" thickBot="1" x14ac:dyDescent="0.4">
      <c r="A73" s="49" t="s">
        <v>675</v>
      </c>
      <c r="B73" s="63"/>
      <c r="C73" s="75"/>
      <c r="D73" s="75"/>
      <c r="E73" s="76" t="s">
        <v>676</v>
      </c>
      <c r="F73" s="76" t="s">
        <v>677</v>
      </c>
      <c r="G73" s="75"/>
      <c r="H73" s="75"/>
    </row>
    <row r="74" spans="1:8" x14ac:dyDescent="0.35">
      <c r="A74" s="69" t="s">
        <v>690</v>
      </c>
    </row>
  </sheetData>
  <mergeCells count="3">
    <mergeCell ref="C5:D5"/>
    <mergeCell ref="E5:F5"/>
    <mergeCell ref="G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DCD8-EA26-472D-9AD8-BF286EFF2CBF}">
  <sheetPr codeName="Feuil6"/>
  <dimension ref="A1:J37"/>
  <sheetViews>
    <sheetView workbookViewId="0">
      <selection activeCell="L25" sqref="L25"/>
    </sheetView>
  </sheetViews>
  <sheetFormatPr baseColWidth="10" defaultRowHeight="14.5" x14ac:dyDescent="0.35"/>
  <cols>
    <col min="2" max="2" width="10.08984375" bestFit="1" customWidth="1"/>
    <col min="3" max="3" width="11.26953125" bestFit="1" customWidth="1"/>
    <col min="5" max="5" width="12.54296875" bestFit="1" customWidth="1"/>
    <col min="6" max="6" width="12" bestFit="1" customWidth="1"/>
    <col min="7" max="7" width="11.26953125" bestFit="1" customWidth="1"/>
    <col min="8" max="8" width="13" bestFit="1" customWidth="1"/>
  </cols>
  <sheetData>
    <row r="1" spans="1:10" x14ac:dyDescent="0.35">
      <c r="A1" s="7" t="s">
        <v>733</v>
      </c>
    </row>
    <row r="2" spans="1:10" ht="15" thickBot="1" x14ac:dyDescent="0.4"/>
    <row r="3" spans="1:10" ht="15" thickBot="1" x14ac:dyDescent="0.4">
      <c r="A3" s="61"/>
      <c r="B3" s="131" t="s">
        <v>696</v>
      </c>
      <c r="C3" s="131"/>
      <c r="D3" s="131"/>
      <c r="E3" s="82"/>
      <c r="F3" s="61"/>
      <c r="G3" s="131" t="s">
        <v>697</v>
      </c>
      <c r="H3" s="131"/>
      <c r="I3" s="131"/>
      <c r="J3" s="82"/>
    </row>
    <row r="4" spans="1:10" ht="15" thickBot="1" x14ac:dyDescent="0.4">
      <c r="A4" s="63"/>
      <c r="B4" s="76" t="s">
        <v>671</v>
      </c>
      <c r="C4" s="76" t="s">
        <v>672</v>
      </c>
      <c r="D4" s="76" t="s">
        <v>673</v>
      </c>
      <c r="E4" s="76" t="s">
        <v>728</v>
      </c>
      <c r="F4" s="63"/>
      <c r="G4" s="76" t="s">
        <v>671</v>
      </c>
      <c r="H4" s="76" t="s">
        <v>672</v>
      </c>
      <c r="I4" s="76" t="s">
        <v>673</v>
      </c>
      <c r="J4" s="76" t="s">
        <v>727</v>
      </c>
    </row>
    <row r="5" spans="1:10" x14ac:dyDescent="0.35">
      <c r="A5" s="48" t="s">
        <v>698</v>
      </c>
      <c r="B5" s="68">
        <v>-3209.415</v>
      </c>
      <c r="C5" s="68">
        <v>6480.8310000000001</v>
      </c>
      <c r="D5" s="83">
        <v>6637.25</v>
      </c>
      <c r="E5" s="83"/>
      <c r="F5" s="48" t="s">
        <v>698</v>
      </c>
      <c r="G5" s="68">
        <v>-3215.43</v>
      </c>
      <c r="H5" s="68">
        <v>6492.8609999999999</v>
      </c>
      <c r="I5" s="83">
        <v>6649.28</v>
      </c>
    </row>
    <row r="6" spans="1:10" x14ac:dyDescent="0.35">
      <c r="A6" s="48" t="s">
        <v>699</v>
      </c>
      <c r="B6" s="68">
        <v>-3192.6680000000001</v>
      </c>
      <c r="C6" s="83">
        <v>6479.3370000000004</v>
      </c>
      <c r="D6" s="68">
        <v>6716.4880000000003</v>
      </c>
      <c r="E6" s="93" t="s">
        <v>730</v>
      </c>
      <c r="F6" s="48" t="s">
        <v>699</v>
      </c>
      <c r="G6" s="68">
        <v>-3196.895</v>
      </c>
      <c r="H6" s="83">
        <v>6487.7910000000002</v>
      </c>
      <c r="I6" s="68">
        <v>6724.942</v>
      </c>
      <c r="J6" s="93" t="s">
        <v>731</v>
      </c>
    </row>
    <row r="7" spans="1:10" ht="15" thickBot="1" x14ac:dyDescent="0.4">
      <c r="A7" s="49" t="s">
        <v>700</v>
      </c>
      <c r="B7" s="84">
        <v>-3186.9929999999999</v>
      </c>
      <c r="C7" s="84">
        <v>6499.9870000000001</v>
      </c>
      <c r="D7" s="84">
        <v>6817.8710000000001</v>
      </c>
      <c r="E7" s="84" t="s">
        <v>729</v>
      </c>
      <c r="F7" s="49" t="s">
        <v>700</v>
      </c>
      <c r="G7" s="84">
        <v>-3182.1790000000001</v>
      </c>
      <c r="H7" s="84">
        <v>6490.3590000000004</v>
      </c>
      <c r="I7" s="84">
        <v>6808.2430000000004</v>
      </c>
      <c r="J7" s="84" t="s">
        <v>732</v>
      </c>
    </row>
    <row r="9" spans="1:10" x14ac:dyDescent="0.35">
      <c r="A9" s="64" t="s">
        <v>734</v>
      </c>
    </row>
    <row r="10" spans="1:10" ht="15" thickBot="1" x14ac:dyDescent="0.4"/>
    <row r="11" spans="1:10" ht="15" thickBot="1" x14ac:dyDescent="0.4">
      <c r="A11" s="85"/>
      <c r="B11" s="128" t="s">
        <v>522</v>
      </c>
      <c r="C11" s="128"/>
      <c r="D11" s="128"/>
      <c r="E11" s="128" t="s">
        <v>523</v>
      </c>
      <c r="F11" s="128"/>
      <c r="G11" s="128"/>
      <c r="H11" s="128"/>
    </row>
    <row r="12" spans="1:10" x14ac:dyDescent="0.35">
      <c r="A12" s="129" t="s">
        <v>701</v>
      </c>
      <c r="B12" s="74" t="s">
        <v>702</v>
      </c>
      <c r="C12" s="74" t="s">
        <v>704</v>
      </c>
      <c r="D12" s="74" t="s">
        <v>702</v>
      </c>
      <c r="E12" s="74" t="s">
        <v>704</v>
      </c>
      <c r="F12" s="74" t="s">
        <v>708</v>
      </c>
      <c r="G12" s="74" t="s">
        <v>704</v>
      </c>
      <c r="H12" s="74" t="s">
        <v>710</v>
      </c>
    </row>
    <row r="13" spans="1:10" ht="15" thickBot="1" x14ac:dyDescent="0.4">
      <c r="A13" s="130"/>
      <c r="B13" s="76" t="s">
        <v>703</v>
      </c>
      <c r="C13" s="76" t="s">
        <v>705</v>
      </c>
      <c r="D13" s="76" t="s">
        <v>706</v>
      </c>
      <c r="E13" s="76" t="s">
        <v>707</v>
      </c>
      <c r="F13" s="76" t="s">
        <v>709</v>
      </c>
      <c r="G13" s="76" t="s">
        <v>705</v>
      </c>
      <c r="H13" s="76" t="s">
        <v>711</v>
      </c>
    </row>
    <row r="14" spans="1:10" x14ac:dyDescent="0.35">
      <c r="A14" s="53"/>
      <c r="B14" s="48" t="s">
        <v>712</v>
      </c>
      <c r="C14" s="86" t="s">
        <v>713</v>
      </c>
      <c r="D14" s="86" t="s">
        <v>714</v>
      </c>
      <c r="E14" s="86" t="s">
        <v>712</v>
      </c>
      <c r="F14" s="86" t="s">
        <v>713</v>
      </c>
      <c r="G14" s="86" t="s">
        <v>714</v>
      </c>
      <c r="H14" s="86" t="s">
        <v>715</v>
      </c>
    </row>
    <row r="15" spans="1:10" x14ac:dyDescent="0.35">
      <c r="A15" s="48" t="s">
        <v>12</v>
      </c>
      <c r="B15" s="83">
        <v>2.5000000000000001E-2</v>
      </c>
      <c r="C15" s="68">
        <v>3.3999999999999998E-3</v>
      </c>
      <c r="D15" s="87">
        <v>-1.9699999999999999E-2</v>
      </c>
      <c r="E15" s="68">
        <v>-5.5999999999999999E-3</v>
      </c>
      <c r="F15" s="68">
        <v>3.2500000000000001E-2</v>
      </c>
      <c r="G15" s="68">
        <v>8.3999999999999995E-3</v>
      </c>
      <c r="H15" s="68">
        <v>-2.8999999999999998E-3</v>
      </c>
    </row>
    <row r="16" spans="1:10" x14ac:dyDescent="0.35">
      <c r="A16" s="48" t="s">
        <v>716</v>
      </c>
      <c r="B16" s="87">
        <v>-7.3099999999999998E-2</v>
      </c>
      <c r="C16" s="68">
        <v>-7.9000000000000008E-3</v>
      </c>
      <c r="D16" s="83">
        <v>2.1000000000000001E-2</v>
      </c>
      <c r="E16" s="68">
        <v>1.8E-3</v>
      </c>
      <c r="F16" s="68">
        <v>-5.1499999999999997E-2</v>
      </c>
      <c r="G16" s="68">
        <v>-2.5000000000000001E-2</v>
      </c>
      <c r="H16" s="68">
        <v>4.7000000000000002E-3</v>
      </c>
    </row>
    <row r="17" spans="1:8" x14ac:dyDescent="0.35">
      <c r="A17" s="48" t="s">
        <v>16</v>
      </c>
      <c r="B17" s="83">
        <v>0.81320000000000003</v>
      </c>
      <c r="C17" s="68">
        <v>0.10440000000000001</v>
      </c>
      <c r="D17" s="83">
        <v>0.96799999999999997</v>
      </c>
      <c r="E17" s="83">
        <v>0.72289999999999999</v>
      </c>
      <c r="F17" s="68">
        <v>-3.27E-2</v>
      </c>
      <c r="G17" s="68">
        <v>-0.22220000000000001</v>
      </c>
      <c r="H17" s="68">
        <v>-8.5000999999999998</v>
      </c>
    </row>
    <row r="18" spans="1:8" x14ac:dyDescent="0.35">
      <c r="A18" s="48" t="s">
        <v>18</v>
      </c>
      <c r="B18" s="88">
        <v>-1.8125</v>
      </c>
      <c r="C18" s="87">
        <v>-0.71379999999999999</v>
      </c>
      <c r="D18" s="83">
        <v>1.4966999999999999</v>
      </c>
      <c r="E18" s="83">
        <v>2.2435999999999998</v>
      </c>
      <c r="F18" s="68">
        <v>-0.59540000000000004</v>
      </c>
      <c r="G18" s="68">
        <v>-0.81740000000000002</v>
      </c>
      <c r="H18" s="83">
        <v>9.4657</v>
      </c>
    </row>
    <row r="19" spans="1:8" x14ac:dyDescent="0.35">
      <c r="A19" s="48" t="s">
        <v>19</v>
      </c>
      <c r="B19" s="68">
        <v>-1.6299999999999999E-2</v>
      </c>
      <c r="C19" s="87">
        <v>-0.37159999999999999</v>
      </c>
      <c r="D19" s="83">
        <v>1.8683000000000001</v>
      </c>
      <c r="E19" s="83">
        <v>1.4252</v>
      </c>
      <c r="F19" s="68">
        <v>-1.2512000000000001</v>
      </c>
      <c r="G19" s="68">
        <v>-0.1048</v>
      </c>
      <c r="H19" s="83">
        <v>4.3613</v>
      </c>
    </row>
    <row r="20" spans="1:8" x14ac:dyDescent="0.35">
      <c r="A20" s="48" t="s">
        <v>20</v>
      </c>
      <c r="B20" s="83">
        <v>0.2402</v>
      </c>
      <c r="C20" s="68">
        <v>-0.82120000000000004</v>
      </c>
      <c r="D20" s="68">
        <v>-2.9455</v>
      </c>
      <c r="E20" s="68">
        <v>-6.5534999999999997</v>
      </c>
      <c r="F20" s="83">
        <v>4.9443000000000001</v>
      </c>
      <c r="G20" s="68">
        <v>-0.66879999999999995</v>
      </c>
      <c r="H20" s="83">
        <v>8.3962000000000003</v>
      </c>
    </row>
    <row r="21" spans="1:8" x14ac:dyDescent="0.35">
      <c r="A21" s="48" t="s">
        <v>32</v>
      </c>
      <c r="B21" s="88">
        <v>-6.8677999999999999</v>
      </c>
      <c r="C21" s="83">
        <v>8.5199999999999998E-2</v>
      </c>
      <c r="D21" s="68">
        <v>-0.17699999999999999</v>
      </c>
      <c r="E21" s="83">
        <v>4.7702</v>
      </c>
      <c r="F21" s="83">
        <v>2.6905999999999999</v>
      </c>
      <c r="G21" s="68">
        <v>-2.0808</v>
      </c>
      <c r="H21" s="83">
        <v>9.0893999999999995</v>
      </c>
    </row>
    <row r="22" spans="1:8" x14ac:dyDescent="0.35">
      <c r="A22" s="48" t="s">
        <v>33</v>
      </c>
      <c r="B22" s="83">
        <v>6.7382</v>
      </c>
      <c r="C22" s="68">
        <v>0.35610000000000003</v>
      </c>
      <c r="D22" s="83">
        <v>2.6696</v>
      </c>
      <c r="E22" s="53"/>
      <c r="F22" s="83"/>
      <c r="G22" s="53"/>
      <c r="H22" s="53"/>
    </row>
    <row r="23" spans="1:8" x14ac:dyDescent="0.35">
      <c r="A23" s="48" t="s">
        <v>34</v>
      </c>
      <c r="B23" s="53"/>
      <c r="C23" s="53"/>
      <c r="D23" s="53"/>
      <c r="E23" s="89">
        <v>-14.1547</v>
      </c>
      <c r="F23" s="83">
        <v>4.1113</v>
      </c>
      <c r="G23" s="83">
        <v>2.3435999999999999</v>
      </c>
      <c r="H23" s="83">
        <v>4.8680000000000003</v>
      </c>
    </row>
    <row r="24" spans="1:8" x14ac:dyDescent="0.35">
      <c r="A24" s="48" t="s">
        <v>717</v>
      </c>
      <c r="B24" s="90">
        <v>-1.7155</v>
      </c>
      <c r="C24" s="83">
        <v>5.1966000000000001</v>
      </c>
      <c r="D24" s="90">
        <v>-1.212</v>
      </c>
      <c r="E24" s="90">
        <v>-1.7884</v>
      </c>
      <c r="F24" s="68">
        <v>0.83020000000000005</v>
      </c>
      <c r="G24" s="83">
        <v>6.5072999999999999</v>
      </c>
      <c r="H24" s="83">
        <v>3.3641000000000001</v>
      </c>
    </row>
    <row r="25" spans="1:8" x14ac:dyDescent="0.35">
      <c r="A25" s="48" t="s">
        <v>21</v>
      </c>
      <c r="B25" s="83">
        <v>3.4823</v>
      </c>
      <c r="C25" s="68">
        <v>-3.9994999999999998</v>
      </c>
      <c r="D25" s="68">
        <v>-0.4859</v>
      </c>
      <c r="E25" s="68">
        <v>-1.8627</v>
      </c>
      <c r="F25" s="83">
        <v>2.4790999999999999</v>
      </c>
      <c r="G25" s="68">
        <v>-3.0131000000000001</v>
      </c>
      <c r="H25" s="68">
        <v>3.15E-2</v>
      </c>
    </row>
    <row r="26" spans="1:8" x14ac:dyDescent="0.35">
      <c r="A26" s="48" t="s">
        <v>22</v>
      </c>
      <c r="B26" s="88">
        <v>-3.9310999999999998</v>
      </c>
      <c r="C26" s="68">
        <v>-0.74660000000000004</v>
      </c>
      <c r="D26" s="88">
        <v>-4.1128999999999998</v>
      </c>
      <c r="E26" s="68">
        <v>-0.12790000000000001</v>
      </c>
      <c r="F26" s="68">
        <v>-4.0260999999999996</v>
      </c>
      <c r="G26" s="68">
        <v>-1.425</v>
      </c>
      <c r="H26" s="68">
        <v>-11.111499999999999</v>
      </c>
    </row>
    <row r="27" spans="1:8" x14ac:dyDescent="0.35">
      <c r="A27" s="48" t="s">
        <v>23</v>
      </c>
      <c r="B27" s="83">
        <v>1.7406999999999999</v>
      </c>
      <c r="C27" s="68">
        <v>6.13E-2</v>
      </c>
      <c r="D27" s="83">
        <v>2.5792000000000002</v>
      </c>
      <c r="E27" s="83">
        <v>3.8365999999999998</v>
      </c>
      <c r="F27" s="83">
        <v>4.0113000000000003</v>
      </c>
      <c r="G27" s="68">
        <v>-6.6199999999999995E-2</v>
      </c>
      <c r="H27" s="68">
        <v>-10.585699999999999</v>
      </c>
    </row>
    <row r="28" spans="1:8" x14ac:dyDescent="0.35">
      <c r="A28" s="48" t="s">
        <v>24</v>
      </c>
      <c r="B28" s="68">
        <v>1E-3</v>
      </c>
      <c r="C28" s="68">
        <v>-1.2999999999999999E-3</v>
      </c>
      <c r="D28" s="68">
        <v>2.64E-2</v>
      </c>
      <c r="E28" s="68">
        <v>8.3000000000000001E-3</v>
      </c>
      <c r="F28" s="68">
        <v>8.6999999999999994E-3</v>
      </c>
      <c r="G28" s="68">
        <v>-3.0000000000000001E-3</v>
      </c>
      <c r="H28" s="68">
        <v>-1.7399999999999999E-2</v>
      </c>
    </row>
    <row r="29" spans="1:8" x14ac:dyDescent="0.35">
      <c r="A29" s="48" t="s">
        <v>25</v>
      </c>
      <c r="B29" s="68">
        <v>0.81130000000000002</v>
      </c>
      <c r="C29" s="68">
        <v>-0.4209</v>
      </c>
      <c r="D29" s="83">
        <v>4.2842000000000002</v>
      </c>
      <c r="E29" s="68">
        <v>-3.5297999999999998</v>
      </c>
      <c r="F29" s="83">
        <v>7.6181999999999999</v>
      </c>
      <c r="G29" s="68">
        <v>-0.37440000000000001</v>
      </c>
      <c r="H29" s="68">
        <v>1.8706</v>
      </c>
    </row>
    <row r="30" spans="1:8" ht="15" thickBot="1" x14ac:dyDescent="0.4">
      <c r="A30" s="49" t="s">
        <v>26</v>
      </c>
      <c r="B30" s="84">
        <v>-8.3699999999999997E-2</v>
      </c>
      <c r="C30" s="84">
        <v>-0.1149</v>
      </c>
      <c r="D30" s="84">
        <v>-0.2117</v>
      </c>
      <c r="E30" s="84">
        <v>4.5999999999999999E-3</v>
      </c>
      <c r="F30" s="84">
        <v>-2.1738</v>
      </c>
      <c r="G30" s="84">
        <v>-8.3299999999999999E-2</v>
      </c>
      <c r="H30" s="84">
        <v>-7.2706</v>
      </c>
    </row>
    <row r="31" spans="1:8" ht="15" thickBot="1" x14ac:dyDescent="0.4">
      <c r="A31" s="49" t="s">
        <v>718</v>
      </c>
      <c r="B31" s="91">
        <v>0.19500000000000001</v>
      </c>
      <c r="C31" s="91">
        <v>0.64300000000000002</v>
      </c>
      <c r="D31" s="91">
        <v>0.16300000000000001</v>
      </c>
      <c r="E31" s="91">
        <v>0.377</v>
      </c>
      <c r="F31" s="91">
        <v>0.13800000000000001</v>
      </c>
      <c r="G31" s="91">
        <v>0.34399999999999997</v>
      </c>
      <c r="H31" s="91">
        <v>0.14199999999999999</v>
      </c>
    </row>
    <row r="32" spans="1:8" x14ac:dyDescent="0.35">
      <c r="A32" s="48" t="s">
        <v>719</v>
      </c>
      <c r="B32" s="68">
        <v>-3548.5169999999998</v>
      </c>
      <c r="C32" s="53"/>
      <c r="D32" s="53"/>
      <c r="E32" s="68">
        <v>-3548.5169999999998</v>
      </c>
      <c r="F32" s="53"/>
      <c r="G32" s="53"/>
      <c r="H32" s="53"/>
    </row>
    <row r="33" spans="1:8" x14ac:dyDescent="0.35">
      <c r="A33" s="48" t="s">
        <v>720</v>
      </c>
      <c r="B33" s="68">
        <v>-3192.6680000000001</v>
      </c>
      <c r="C33" s="53"/>
      <c r="D33" s="53"/>
      <c r="E33" s="68">
        <v>-3182.1790000000001</v>
      </c>
      <c r="F33" s="53"/>
      <c r="G33" s="53"/>
      <c r="H33" s="53"/>
    </row>
    <row r="34" spans="1:8" x14ac:dyDescent="0.35">
      <c r="A34" s="48" t="s">
        <v>721</v>
      </c>
      <c r="B34" s="68">
        <v>6479.3370000000004</v>
      </c>
      <c r="C34" s="53"/>
      <c r="D34" s="53"/>
      <c r="E34" s="68">
        <v>6490.3590000000004</v>
      </c>
      <c r="F34" s="53"/>
      <c r="G34" s="53"/>
      <c r="H34" s="53"/>
    </row>
    <row r="35" spans="1:8" x14ac:dyDescent="0.35">
      <c r="A35" s="48" t="s">
        <v>722</v>
      </c>
      <c r="B35" s="68">
        <v>6716.4880000000003</v>
      </c>
      <c r="C35" s="53"/>
      <c r="D35" s="53"/>
      <c r="E35" s="68">
        <v>6808.2430000000004</v>
      </c>
      <c r="F35" s="53"/>
      <c r="G35" s="53"/>
      <c r="H35" s="53"/>
    </row>
    <row r="36" spans="1:8" x14ac:dyDescent="0.35">
      <c r="A36" s="48" t="s">
        <v>723</v>
      </c>
      <c r="B36" s="68" t="s">
        <v>724</v>
      </c>
      <c r="C36" s="68"/>
      <c r="D36" s="92"/>
      <c r="E36" s="68" t="s">
        <v>725</v>
      </c>
      <c r="F36" s="68"/>
      <c r="G36" s="92"/>
      <c r="H36" s="92"/>
    </row>
    <row r="37" spans="1:8" ht="15" thickBot="1" x14ac:dyDescent="0.4">
      <c r="A37" s="49" t="s">
        <v>674</v>
      </c>
      <c r="B37" s="84">
        <v>0.46300000000000002</v>
      </c>
      <c r="C37" s="63"/>
      <c r="D37" s="63"/>
      <c r="E37" s="84">
        <v>0.47270000000000001</v>
      </c>
      <c r="F37" s="63"/>
      <c r="G37" s="63"/>
      <c r="H37" s="63"/>
    </row>
  </sheetData>
  <mergeCells count="5">
    <mergeCell ref="A12:A13"/>
    <mergeCell ref="B3:D3"/>
    <mergeCell ref="G3:I3"/>
    <mergeCell ref="B11:D11"/>
    <mergeCell ref="E11:H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3D42-2C22-4262-A998-FEFC8A2FE279}">
  <dimension ref="A1:S75"/>
  <sheetViews>
    <sheetView workbookViewId="0">
      <selection activeCell="H14" sqref="H14"/>
    </sheetView>
  </sheetViews>
  <sheetFormatPr baseColWidth="10" defaultRowHeight="14.5" x14ac:dyDescent="0.35"/>
  <cols>
    <col min="1" max="1" width="19.90625" style="119" customWidth="1"/>
    <col min="2" max="2" width="18.453125" style="119" customWidth="1"/>
    <col min="3" max="3" width="17.08984375" style="119" customWidth="1"/>
    <col min="4" max="4" width="16.81640625" style="119" customWidth="1"/>
    <col min="5" max="5" width="17.08984375" style="119" customWidth="1"/>
    <col min="6" max="6" width="17.1796875" style="119" customWidth="1"/>
    <col min="7" max="7" width="16.6328125" style="119" customWidth="1"/>
    <col min="8" max="8" width="17.1796875" style="119" customWidth="1"/>
    <col min="9" max="10" width="10.90625" style="119"/>
    <col min="18" max="18" width="16.26953125" customWidth="1"/>
  </cols>
  <sheetData>
    <row r="1" spans="1:10" x14ac:dyDescent="0.35">
      <c r="A1" t="s">
        <v>845</v>
      </c>
      <c r="B1"/>
      <c r="C1"/>
      <c r="D1"/>
      <c r="E1"/>
      <c r="F1"/>
      <c r="G1"/>
      <c r="H1"/>
      <c r="I1"/>
      <c r="J1"/>
    </row>
    <row r="2" spans="1:10" x14ac:dyDescent="0.35">
      <c r="A2"/>
      <c r="B2"/>
      <c r="C2"/>
      <c r="D2"/>
      <c r="E2"/>
      <c r="F2"/>
      <c r="G2"/>
      <c r="H2"/>
      <c r="I2"/>
      <c r="J2"/>
    </row>
    <row r="3" spans="1:10" x14ac:dyDescent="0.35">
      <c r="A3" s="37"/>
      <c r="B3" s="37" t="s">
        <v>843</v>
      </c>
      <c r="C3" s="37"/>
      <c r="D3" s="37" t="s">
        <v>844</v>
      </c>
      <c r="E3" s="37"/>
      <c r="F3" s="37"/>
      <c r="G3"/>
      <c r="H3"/>
      <c r="I3"/>
      <c r="J3"/>
    </row>
    <row r="4" spans="1:10" x14ac:dyDescent="0.35">
      <c r="A4"/>
      <c r="B4" t="s">
        <v>801</v>
      </c>
      <c r="C4" t="s">
        <v>802</v>
      </c>
      <c r="D4" t="s">
        <v>803</v>
      </c>
      <c r="E4" t="s">
        <v>804</v>
      </c>
      <c r="F4" t="s">
        <v>805</v>
      </c>
      <c r="G4"/>
      <c r="H4"/>
      <c r="I4"/>
      <c r="J4"/>
    </row>
    <row r="5" spans="1:10" x14ac:dyDescent="0.35">
      <c r="A5" t="s">
        <v>726</v>
      </c>
      <c r="B5" t="s">
        <v>779</v>
      </c>
      <c r="C5" t="s">
        <v>780</v>
      </c>
      <c r="D5"/>
      <c r="E5"/>
      <c r="F5"/>
      <c r="G5"/>
      <c r="H5"/>
      <c r="I5"/>
      <c r="J5"/>
    </row>
    <row r="6" spans="1:10" x14ac:dyDescent="0.35">
      <c r="A6" t="s">
        <v>831</v>
      </c>
      <c r="B6"/>
      <c r="C6" t="s">
        <v>781</v>
      </c>
      <c r="D6"/>
      <c r="E6" t="s">
        <v>782</v>
      </c>
      <c r="F6"/>
      <c r="G6"/>
      <c r="H6"/>
      <c r="I6"/>
      <c r="J6"/>
    </row>
    <row r="7" spans="1:10" x14ac:dyDescent="0.35">
      <c r="A7" t="s">
        <v>832</v>
      </c>
      <c r="B7"/>
      <c r="C7"/>
      <c r="D7"/>
      <c r="E7" t="s">
        <v>833</v>
      </c>
      <c r="F7"/>
      <c r="G7"/>
      <c r="H7"/>
      <c r="I7"/>
      <c r="J7"/>
    </row>
    <row r="8" spans="1:10" x14ac:dyDescent="0.35">
      <c r="A8" t="s">
        <v>834</v>
      </c>
      <c r="B8" t="s">
        <v>783</v>
      </c>
      <c r="C8"/>
      <c r="D8"/>
      <c r="E8"/>
      <c r="F8"/>
      <c r="G8"/>
      <c r="H8"/>
      <c r="I8"/>
      <c r="J8"/>
    </row>
    <row r="9" spans="1:10" x14ac:dyDescent="0.35">
      <c r="A9" t="s">
        <v>835</v>
      </c>
      <c r="B9" t="s">
        <v>784</v>
      </c>
      <c r="C9"/>
      <c r="D9"/>
      <c r="E9"/>
      <c r="F9"/>
      <c r="G9"/>
      <c r="H9"/>
      <c r="I9"/>
      <c r="J9"/>
    </row>
    <row r="10" spans="1:10" x14ac:dyDescent="0.35">
      <c r="A10" t="s">
        <v>836</v>
      </c>
      <c r="B10" t="s">
        <v>837</v>
      </c>
      <c r="C10"/>
      <c r="D10"/>
      <c r="E10"/>
      <c r="F10"/>
      <c r="G10"/>
      <c r="H10"/>
      <c r="I10"/>
      <c r="J10"/>
    </row>
    <row r="11" spans="1:10" x14ac:dyDescent="0.35">
      <c r="A11" t="s">
        <v>838</v>
      </c>
      <c r="B11"/>
      <c r="C11" t="s">
        <v>839</v>
      </c>
      <c r="D11" t="s">
        <v>840</v>
      </c>
      <c r="E11"/>
      <c r="F11"/>
      <c r="G11"/>
      <c r="H11"/>
      <c r="I11"/>
      <c r="J11"/>
    </row>
    <row r="12" spans="1:10" x14ac:dyDescent="0.35">
      <c r="A12" t="s">
        <v>841</v>
      </c>
      <c r="B12"/>
      <c r="C12"/>
      <c r="D12" t="s">
        <v>785</v>
      </c>
      <c r="E12" t="s">
        <v>786</v>
      </c>
      <c r="F12"/>
      <c r="G12"/>
      <c r="H12"/>
      <c r="I12"/>
      <c r="J12"/>
    </row>
    <row r="13" spans="1:10" x14ac:dyDescent="0.35">
      <c r="A13" t="s">
        <v>6</v>
      </c>
      <c r="B13"/>
      <c r="C13"/>
      <c r="D13"/>
      <c r="E13" t="s">
        <v>842</v>
      </c>
      <c r="F13"/>
      <c r="G13"/>
      <c r="H13"/>
      <c r="I13"/>
      <c r="J13"/>
    </row>
    <row r="14" spans="1:10" x14ac:dyDescent="0.35">
      <c r="A14" t="s">
        <v>769</v>
      </c>
      <c r="B14" t="s">
        <v>787</v>
      </c>
      <c r="C14"/>
      <c r="D14"/>
      <c r="E14"/>
      <c r="F14"/>
      <c r="G14"/>
      <c r="H14"/>
      <c r="I14"/>
      <c r="J14"/>
    </row>
    <row r="15" spans="1:10" x14ac:dyDescent="0.35">
      <c r="A15" t="s">
        <v>770</v>
      </c>
      <c r="B15"/>
      <c r="C15"/>
      <c r="D15" t="s">
        <v>788</v>
      </c>
      <c r="E15" t="s">
        <v>789</v>
      </c>
      <c r="F15"/>
      <c r="G15"/>
      <c r="H15"/>
      <c r="I15"/>
      <c r="J15"/>
    </row>
    <row r="16" spans="1:10" x14ac:dyDescent="0.35">
      <c r="A16" s="123" t="s">
        <v>767</v>
      </c>
      <c r="B16" s="123" t="s">
        <v>790</v>
      </c>
      <c r="C16" s="1"/>
      <c r="D16" s="1" t="s">
        <v>791</v>
      </c>
      <c r="E16" s="1" t="s">
        <v>792</v>
      </c>
      <c r="F16" s="1" t="s">
        <v>793</v>
      </c>
      <c r="G16"/>
      <c r="H16"/>
      <c r="I16"/>
      <c r="J16"/>
    </row>
    <row r="17" spans="1:19" x14ac:dyDescent="0.35">
      <c r="D17"/>
      <c r="E17"/>
      <c r="F17"/>
      <c r="G17"/>
      <c r="H17"/>
      <c r="I17"/>
      <c r="J17"/>
    </row>
    <row r="21" spans="1:19" x14ac:dyDescent="0.35">
      <c r="P21" s="7"/>
    </row>
    <row r="22" spans="1:19" x14ac:dyDescent="0.35">
      <c r="A22" s="118" t="s">
        <v>814</v>
      </c>
    </row>
    <row r="23" spans="1:19" x14ac:dyDescent="0.35">
      <c r="A23" s="118" t="s">
        <v>815</v>
      </c>
    </row>
    <row r="24" spans="1:19" x14ac:dyDescent="0.35">
      <c r="A24" s="120"/>
      <c r="B24" s="121"/>
      <c r="C24" s="121" t="s">
        <v>696</v>
      </c>
      <c r="D24" s="121" t="s">
        <v>696</v>
      </c>
      <c r="E24" s="121" t="s">
        <v>696</v>
      </c>
      <c r="F24" s="121" t="s">
        <v>697</v>
      </c>
      <c r="G24" s="121" t="s">
        <v>697</v>
      </c>
      <c r="H24" s="121" t="s">
        <v>697</v>
      </c>
      <c r="I24" s="121" t="s">
        <v>697</v>
      </c>
      <c r="P24" s="7"/>
    </row>
    <row r="25" spans="1:19" x14ac:dyDescent="0.35">
      <c r="A25" s="120" t="s">
        <v>11</v>
      </c>
      <c r="B25" s="121" t="s">
        <v>741</v>
      </c>
      <c r="C25" s="121" t="s">
        <v>742</v>
      </c>
      <c r="D25" s="121" t="s">
        <v>743</v>
      </c>
      <c r="E25" s="121" t="s">
        <v>744</v>
      </c>
      <c r="F25" s="121" t="s">
        <v>742</v>
      </c>
      <c r="G25" s="121" t="s">
        <v>743</v>
      </c>
      <c r="H25" s="121" t="s">
        <v>744</v>
      </c>
      <c r="I25" s="121" t="s">
        <v>745</v>
      </c>
    </row>
    <row r="26" spans="1:19" x14ac:dyDescent="0.35">
      <c r="A26" s="118" t="s">
        <v>55</v>
      </c>
      <c r="B26" s="119">
        <v>115</v>
      </c>
      <c r="C26" s="119">
        <v>0.114</v>
      </c>
      <c r="D26" s="119">
        <v>0.59</v>
      </c>
      <c r="E26" s="119">
        <v>0.29499999999999998</v>
      </c>
      <c r="F26" s="119">
        <v>0.81799999999999995</v>
      </c>
      <c r="G26" s="119">
        <v>6.4000000000000001E-2</v>
      </c>
      <c r="H26" s="119">
        <v>0.11700000000000001</v>
      </c>
      <c r="I26" s="119">
        <v>0</v>
      </c>
    </row>
    <row r="27" spans="1:19" x14ac:dyDescent="0.35">
      <c r="A27" s="118" t="s">
        <v>62</v>
      </c>
      <c r="B27" s="119">
        <v>93</v>
      </c>
      <c r="C27" s="119">
        <v>0.10100000000000001</v>
      </c>
      <c r="D27" s="119">
        <v>0.89900000000000002</v>
      </c>
      <c r="E27" s="119">
        <v>0</v>
      </c>
      <c r="F27" s="119">
        <v>0.54400000000000004</v>
      </c>
      <c r="G27" s="119">
        <v>0</v>
      </c>
      <c r="H27" s="119">
        <v>0.35199999999999998</v>
      </c>
      <c r="I27" s="119">
        <v>0.104</v>
      </c>
    </row>
    <row r="28" spans="1:19" x14ac:dyDescent="0.35">
      <c r="A28" s="118" t="s">
        <v>47</v>
      </c>
      <c r="B28" s="119">
        <v>93</v>
      </c>
      <c r="C28" s="119">
        <v>8.2000000000000003E-2</v>
      </c>
      <c r="D28" s="119">
        <v>2E-3</v>
      </c>
      <c r="E28" s="119">
        <v>0.91600000000000004</v>
      </c>
      <c r="F28" s="119">
        <v>0.39600000000000002</v>
      </c>
      <c r="G28" s="119">
        <v>0.60399999999999998</v>
      </c>
      <c r="H28" s="119">
        <v>0</v>
      </c>
      <c r="I28" s="119">
        <v>0</v>
      </c>
    </row>
    <row r="29" spans="1:19" x14ac:dyDescent="0.35">
      <c r="A29" s="118" t="s">
        <v>72</v>
      </c>
      <c r="B29" s="119">
        <v>84</v>
      </c>
      <c r="C29" s="119">
        <v>6.3E-2</v>
      </c>
      <c r="D29" s="119">
        <v>0.93700000000000006</v>
      </c>
      <c r="E29" s="119">
        <v>0</v>
      </c>
      <c r="F29" s="119">
        <v>0</v>
      </c>
      <c r="G29" s="119">
        <v>0</v>
      </c>
      <c r="H29" s="119">
        <v>0.72799999999999998</v>
      </c>
      <c r="I29" s="119">
        <v>0.27200000000000002</v>
      </c>
      <c r="S29" s="7"/>
    </row>
    <row r="30" spans="1:19" x14ac:dyDescent="0.35">
      <c r="A30" s="118" t="s">
        <v>60</v>
      </c>
      <c r="B30" s="119">
        <v>78</v>
      </c>
      <c r="C30" s="119">
        <v>6.8000000000000005E-2</v>
      </c>
      <c r="D30" s="119">
        <v>0.93200000000000005</v>
      </c>
      <c r="E30" s="119">
        <v>0</v>
      </c>
      <c r="F30" s="119">
        <v>0</v>
      </c>
      <c r="G30" s="119">
        <v>0.50800000000000001</v>
      </c>
      <c r="H30" s="119">
        <v>0.21099999999999999</v>
      </c>
      <c r="I30" s="119">
        <v>0.28100000000000003</v>
      </c>
      <c r="Q30" s="7"/>
    </row>
    <row r="31" spans="1:19" x14ac:dyDescent="0.35">
      <c r="A31" s="118" t="s">
        <v>65</v>
      </c>
      <c r="B31" s="119">
        <v>75</v>
      </c>
      <c r="C31" s="119">
        <v>0.13500000000000001</v>
      </c>
      <c r="D31" s="119">
        <v>0.86499999999999999</v>
      </c>
      <c r="E31" s="119">
        <v>0</v>
      </c>
      <c r="F31" s="119">
        <v>0</v>
      </c>
      <c r="G31" s="119">
        <v>0.72399999999999998</v>
      </c>
      <c r="H31" s="119">
        <v>0.27600000000000002</v>
      </c>
      <c r="I31" s="119">
        <v>0</v>
      </c>
      <c r="R31" s="7"/>
    </row>
    <row r="32" spans="1:19" x14ac:dyDescent="0.35">
      <c r="A32" s="118" t="s">
        <v>59</v>
      </c>
      <c r="B32" s="119">
        <v>60</v>
      </c>
      <c r="C32" s="119">
        <v>0.33900000000000002</v>
      </c>
      <c r="D32" s="119">
        <v>0.66100000000000003</v>
      </c>
      <c r="E32" s="119">
        <v>0</v>
      </c>
      <c r="F32" s="119">
        <v>0.61699999999999999</v>
      </c>
      <c r="G32" s="119">
        <v>0</v>
      </c>
      <c r="H32" s="119">
        <v>0.38300000000000001</v>
      </c>
      <c r="I32" s="119">
        <v>0</v>
      </c>
      <c r="Q32" s="7"/>
    </row>
    <row r="33" spans="1:19" x14ac:dyDescent="0.35">
      <c r="A33" s="118" t="s">
        <v>57</v>
      </c>
      <c r="B33" s="119">
        <v>58</v>
      </c>
      <c r="C33" s="119">
        <v>0.13300000000000001</v>
      </c>
      <c r="D33" s="119">
        <v>0.86699999999999999</v>
      </c>
      <c r="E33" s="119">
        <v>0</v>
      </c>
      <c r="F33" s="119">
        <v>0</v>
      </c>
      <c r="G33" s="119">
        <v>0</v>
      </c>
      <c r="H33" s="119">
        <v>1</v>
      </c>
      <c r="I33" s="119">
        <v>0</v>
      </c>
      <c r="R33" s="7"/>
    </row>
    <row r="34" spans="1:19" x14ac:dyDescent="0.35">
      <c r="A34" s="118" t="s">
        <v>71</v>
      </c>
      <c r="B34" s="119">
        <v>57</v>
      </c>
      <c r="C34" s="119">
        <v>0.159</v>
      </c>
      <c r="D34" s="119">
        <v>0.84099999999999997</v>
      </c>
      <c r="E34" s="119">
        <v>0</v>
      </c>
      <c r="F34" s="119">
        <v>0</v>
      </c>
      <c r="G34" s="119">
        <v>0</v>
      </c>
      <c r="H34" s="119">
        <v>0.45</v>
      </c>
      <c r="I34" s="119">
        <v>0.55000000000000004</v>
      </c>
      <c r="S34" s="7"/>
    </row>
    <row r="35" spans="1:19" x14ac:dyDescent="0.35">
      <c r="A35" s="118" t="s">
        <v>76</v>
      </c>
      <c r="B35" s="119">
        <v>56</v>
      </c>
      <c r="C35" s="119">
        <v>0.56599999999999995</v>
      </c>
      <c r="D35" s="119">
        <v>0.434</v>
      </c>
      <c r="E35" s="119">
        <v>0</v>
      </c>
      <c r="F35" s="119">
        <v>0.27800000000000002</v>
      </c>
      <c r="G35" s="119">
        <v>0</v>
      </c>
      <c r="H35" s="119">
        <v>0.72199999999999998</v>
      </c>
      <c r="I35" s="119">
        <v>0</v>
      </c>
      <c r="S35" s="7"/>
    </row>
    <row r="36" spans="1:19" x14ac:dyDescent="0.35">
      <c r="A36" s="118" t="s">
        <v>77</v>
      </c>
      <c r="B36" s="119">
        <v>53</v>
      </c>
      <c r="C36" s="119">
        <v>0.70199999999999996</v>
      </c>
      <c r="D36" s="119">
        <v>1.9E-2</v>
      </c>
      <c r="E36" s="119">
        <v>0.27900000000000003</v>
      </c>
      <c r="F36" s="119">
        <v>0.997</v>
      </c>
      <c r="G36" s="119">
        <v>2E-3</v>
      </c>
      <c r="H36" s="119">
        <v>1E-3</v>
      </c>
      <c r="I36" s="119">
        <v>0</v>
      </c>
    </row>
    <row r="37" spans="1:19" x14ac:dyDescent="0.35">
      <c r="A37" s="118" t="s">
        <v>51</v>
      </c>
      <c r="B37" s="119">
        <v>44</v>
      </c>
      <c r="C37" s="119">
        <v>0.71599999999999997</v>
      </c>
      <c r="D37" s="119">
        <v>0.28399999999999997</v>
      </c>
      <c r="E37" s="119">
        <v>0</v>
      </c>
      <c r="F37" s="119">
        <v>0</v>
      </c>
      <c r="G37" s="119">
        <v>0</v>
      </c>
      <c r="H37" s="119">
        <v>0.90600000000000003</v>
      </c>
      <c r="I37" s="119">
        <v>9.4E-2</v>
      </c>
      <c r="Q37" s="7"/>
      <c r="R37" s="7"/>
      <c r="S37" s="7"/>
    </row>
    <row r="38" spans="1:19" x14ac:dyDescent="0.35">
      <c r="A38" s="118" t="s">
        <v>69</v>
      </c>
      <c r="B38" s="119">
        <v>40</v>
      </c>
      <c r="C38" s="119">
        <v>0.26800000000000002</v>
      </c>
      <c r="D38" s="119">
        <v>0.73199999999999998</v>
      </c>
      <c r="E38" s="119">
        <v>0</v>
      </c>
      <c r="F38" s="119">
        <v>0.28699999999999998</v>
      </c>
      <c r="G38" s="119">
        <v>0</v>
      </c>
      <c r="H38" s="119">
        <v>0.71299999999999997</v>
      </c>
      <c r="I38" s="119">
        <v>0</v>
      </c>
      <c r="Q38" s="7"/>
    </row>
    <row r="39" spans="1:19" x14ac:dyDescent="0.35">
      <c r="A39" s="118" t="s">
        <v>58</v>
      </c>
      <c r="B39" s="119">
        <v>36</v>
      </c>
      <c r="C39" s="119">
        <v>4.2999999999999997E-2</v>
      </c>
      <c r="D39" s="119">
        <v>0.95699999999999996</v>
      </c>
      <c r="E39" s="119">
        <v>0</v>
      </c>
      <c r="F39" s="119">
        <v>0</v>
      </c>
      <c r="G39" s="119">
        <v>0</v>
      </c>
      <c r="H39" s="119">
        <v>0.17599999999999999</v>
      </c>
      <c r="I39" s="119">
        <v>0.82399999999999995</v>
      </c>
    </row>
    <row r="40" spans="1:19" x14ac:dyDescent="0.35">
      <c r="A40" s="118" t="s">
        <v>70</v>
      </c>
      <c r="B40" s="119">
        <v>33</v>
      </c>
      <c r="C40" s="119">
        <v>9.6000000000000002E-2</v>
      </c>
      <c r="D40" s="119">
        <v>0.18099999999999999</v>
      </c>
      <c r="E40" s="119">
        <v>0.72299999999999998</v>
      </c>
      <c r="F40" s="119">
        <v>0.88700000000000001</v>
      </c>
      <c r="G40" s="119">
        <v>1.0999999999999999E-2</v>
      </c>
      <c r="H40" s="119">
        <v>0.10199999999999999</v>
      </c>
      <c r="I40" s="119">
        <v>0</v>
      </c>
      <c r="R40" s="7"/>
    </row>
    <row r="41" spans="1:19" x14ac:dyDescent="0.35">
      <c r="A41" s="118" t="s">
        <v>73</v>
      </c>
      <c r="B41" s="119">
        <v>30</v>
      </c>
      <c r="C41" s="119">
        <v>0.13100000000000001</v>
      </c>
      <c r="D41" s="119">
        <v>0.40200000000000002</v>
      </c>
      <c r="E41" s="119">
        <v>0.46600000000000003</v>
      </c>
      <c r="F41" s="119">
        <v>0.88600000000000001</v>
      </c>
      <c r="G41" s="119">
        <v>0</v>
      </c>
      <c r="H41" s="119">
        <v>0.114</v>
      </c>
      <c r="I41" s="119">
        <v>0</v>
      </c>
    </row>
    <row r="42" spans="1:19" x14ac:dyDescent="0.35">
      <c r="A42" s="118" t="s">
        <v>74</v>
      </c>
      <c r="B42" s="119">
        <v>30</v>
      </c>
      <c r="C42" s="119">
        <v>0.108</v>
      </c>
      <c r="D42" s="119">
        <v>0.89200000000000002</v>
      </c>
      <c r="E42" s="119">
        <v>0</v>
      </c>
      <c r="F42" s="119">
        <v>0</v>
      </c>
      <c r="G42" s="119">
        <v>0</v>
      </c>
      <c r="H42" s="119">
        <v>0.29399999999999998</v>
      </c>
      <c r="I42" s="119">
        <v>0.70499999999999996</v>
      </c>
    </row>
    <row r="43" spans="1:19" x14ac:dyDescent="0.35">
      <c r="A43" s="118" t="s">
        <v>79</v>
      </c>
      <c r="B43" s="119">
        <v>26</v>
      </c>
      <c r="C43" s="119">
        <v>2.1999999999999999E-2</v>
      </c>
      <c r="D43" s="119">
        <v>0.97799999999999998</v>
      </c>
      <c r="E43" s="119">
        <v>0</v>
      </c>
      <c r="F43" s="119">
        <v>0</v>
      </c>
      <c r="G43" s="119">
        <v>0</v>
      </c>
      <c r="H43" s="119">
        <v>0.16300000000000001</v>
      </c>
      <c r="I43" s="119">
        <v>0.83699999999999997</v>
      </c>
    </row>
    <row r="44" spans="1:19" x14ac:dyDescent="0.35">
      <c r="A44" s="118" t="s">
        <v>816</v>
      </c>
      <c r="B44" s="119">
        <v>24</v>
      </c>
      <c r="C44" s="119">
        <v>0.19900000000000001</v>
      </c>
      <c r="D44" s="119">
        <v>0.16800000000000001</v>
      </c>
      <c r="E44" s="119">
        <v>0.63300000000000001</v>
      </c>
      <c r="F44" s="119">
        <v>0.96099999999999997</v>
      </c>
      <c r="G44" s="119">
        <v>0</v>
      </c>
      <c r="H44" s="119">
        <v>3.9E-2</v>
      </c>
      <c r="I44" s="119">
        <v>0</v>
      </c>
    </row>
    <row r="45" spans="1:19" x14ac:dyDescent="0.35">
      <c r="A45" s="118" t="s">
        <v>817</v>
      </c>
      <c r="B45" s="119">
        <v>23</v>
      </c>
      <c r="C45" s="119">
        <v>0.13500000000000001</v>
      </c>
      <c r="D45" s="119">
        <v>0.86499999999999999</v>
      </c>
      <c r="E45" s="119">
        <v>0</v>
      </c>
      <c r="F45" s="119">
        <v>0.95399999999999996</v>
      </c>
      <c r="G45" s="119">
        <v>0</v>
      </c>
      <c r="H45" s="119">
        <v>4.5999999999999999E-2</v>
      </c>
      <c r="I45" s="119">
        <v>0</v>
      </c>
      <c r="R45" s="7"/>
      <c r="S45" s="7"/>
    </row>
    <row r="46" spans="1:19" x14ac:dyDescent="0.35">
      <c r="A46" s="118" t="s">
        <v>818</v>
      </c>
      <c r="B46" s="119">
        <v>21</v>
      </c>
      <c r="C46" s="119">
        <v>8.9999999999999993E-3</v>
      </c>
      <c r="D46" s="119">
        <v>0.99099999999999999</v>
      </c>
      <c r="E46" s="119">
        <v>0</v>
      </c>
      <c r="F46" s="119">
        <v>0.90400000000000003</v>
      </c>
      <c r="G46" s="119">
        <v>0</v>
      </c>
      <c r="H46" s="119">
        <v>9.6000000000000002E-2</v>
      </c>
      <c r="I46" s="119">
        <v>0</v>
      </c>
    </row>
    <row r="47" spans="1:19" x14ac:dyDescent="0.35">
      <c r="A47" s="122" t="s">
        <v>819</v>
      </c>
      <c r="B47" s="123">
        <v>19</v>
      </c>
      <c r="C47" s="123">
        <v>0.193</v>
      </c>
      <c r="D47" s="123">
        <v>0.80700000000000005</v>
      </c>
      <c r="E47" s="123">
        <v>0</v>
      </c>
      <c r="F47" s="123">
        <v>0.77200000000000002</v>
      </c>
      <c r="G47" s="123">
        <v>0</v>
      </c>
      <c r="H47" s="123">
        <v>0.22800000000000001</v>
      </c>
      <c r="I47" s="123">
        <v>0</v>
      </c>
      <c r="R47" s="7"/>
    </row>
    <row r="48" spans="1:19" x14ac:dyDescent="0.35">
      <c r="A48" s="118"/>
    </row>
    <row r="49" spans="1:2" x14ac:dyDescent="0.35">
      <c r="B49" s="118"/>
    </row>
    <row r="50" spans="1:2" x14ac:dyDescent="0.35">
      <c r="A50" s="118"/>
    </row>
    <row r="51" spans="1:2" x14ac:dyDescent="0.35">
      <c r="A51" s="118"/>
    </row>
    <row r="52" spans="1:2" x14ac:dyDescent="0.35">
      <c r="A52" s="118"/>
    </row>
    <row r="53" spans="1:2" x14ac:dyDescent="0.35">
      <c r="A53" s="118"/>
    </row>
    <row r="54" spans="1:2" x14ac:dyDescent="0.35">
      <c r="A54" s="118"/>
    </row>
    <row r="55" spans="1:2" x14ac:dyDescent="0.35">
      <c r="A55" s="118"/>
    </row>
    <row r="56" spans="1:2" x14ac:dyDescent="0.35">
      <c r="A56" s="118"/>
    </row>
    <row r="57" spans="1:2" x14ac:dyDescent="0.35">
      <c r="A57" s="118"/>
    </row>
    <row r="58" spans="1:2" x14ac:dyDescent="0.35">
      <c r="A58" s="118"/>
    </row>
    <row r="59" spans="1:2" x14ac:dyDescent="0.35">
      <c r="A59" s="118"/>
    </row>
    <row r="60" spans="1:2" x14ac:dyDescent="0.35">
      <c r="A60" s="118"/>
    </row>
    <row r="61" spans="1:2" x14ac:dyDescent="0.35">
      <c r="A61" s="118"/>
    </row>
    <row r="62" spans="1:2" x14ac:dyDescent="0.35">
      <c r="A62" s="118"/>
    </row>
    <row r="63" spans="1:2" x14ac:dyDescent="0.35">
      <c r="A63" s="118"/>
    </row>
    <row r="64" spans="1:2" x14ac:dyDescent="0.35">
      <c r="A64" s="118"/>
    </row>
    <row r="65" spans="1:1" x14ac:dyDescent="0.35">
      <c r="A65" s="118"/>
    </row>
    <row r="66" spans="1:1" x14ac:dyDescent="0.35">
      <c r="A66" s="118"/>
    </row>
    <row r="67" spans="1:1" x14ac:dyDescent="0.35">
      <c r="A67" s="118"/>
    </row>
    <row r="68" spans="1:1" x14ac:dyDescent="0.35">
      <c r="A68" s="118"/>
    </row>
    <row r="69" spans="1:1" x14ac:dyDescent="0.35">
      <c r="A69" s="118"/>
    </row>
    <row r="70" spans="1:1" x14ac:dyDescent="0.35">
      <c r="A70" s="118"/>
    </row>
    <row r="71" spans="1:1" x14ac:dyDescent="0.35">
      <c r="A71" s="118"/>
    </row>
    <row r="72" spans="1:1" x14ac:dyDescent="0.35">
      <c r="A72" s="118"/>
    </row>
    <row r="73" spans="1:1" x14ac:dyDescent="0.35">
      <c r="A73" s="118"/>
    </row>
    <row r="74" spans="1:1" x14ac:dyDescent="0.35">
      <c r="A74" s="118"/>
    </row>
    <row r="75" spans="1:1" ht="16" x14ac:dyDescent="0.35">
      <c r="A75" s="124"/>
    </row>
  </sheetData>
  <phoneticPr fontId="2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90B0-C48C-4924-9788-441F86B63539}">
  <sheetPr codeName="Feuil9"/>
  <dimension ref="A1:M65"/>
  <sheetViews>
    <sheetView workbookViewId="0">
      <selection activeCell="N15" sqref="N15"/>
    </sheetView>
  </sheetViews>
  <sheetFormatPr baseColWidth="10" defaultRowHeight="14.5" x14ac:dyDescent="0.35"/>
  <sheetData>
    <row r="1" spans="1:10" x14ac:dyDescent="0.35">
      <c r="A1" s="103" t="s">
        <v>846</v>
      </c>
      <c r="B1" s="103"/>
      <c r="C1" s="103"/>
      <c r="D1" s="103"/>
      <c r="E1" s="103"/>
      <c r="F1" s="103"/>
      <c r="G1" s="103"/>
      <c r="H1" s="103"/>
      <c r="I1" s="103"/>
    </row>
    <row r="2" spans="1:10" x14ac:dyDescent="0.35">
      <c r="A2" s="7" t="s">
        <v>733</v>
      </c>
    </row>
    <row r="3" spans="1:10" ht="15" thickBot="1" x14ac:dyDescent="0.4"/>
    <row r="4" spans="1:10" ht="15" thickBot="1" x14ac:dyDescent="0.4">
      <c r="A4" s="61"/>
      <c r="B4" s="131" t="s">
        <v>696</v>
      </c>
      <c r="C4" s="131"/>
      <c r="D4" s="131"/>
      <c r="E4" s="82"/>
      <c r="F4" s="61"/>
      <c r="G4" s="131" t="s">
        <v>697</v>
      </c>
      <c r="H4" s="131"/>
      <c r="I4" s="131"/>
      <c r="J4" s="82"/>
    </row>
    <row r="5" spans="1:10" ht="15" thickBot="1" x14ac:dyDescent="0.4">
      <c r="A5" s="63"/>
      <c r="B5" s="76" t="s">
        <v>671</v>
      </c>
      <c r="C5" s="76" t="s">
        <v>672</v>
      </c>
      <c r="D5" s="76" t="s">
        <v>673</v>
      </c>
      <c r="E5" s="76" t="s">
        <v>728</v>
      </c>
      <c r="F5" s="63"/>
      <c r="G5" s="76" t="s">
        <v>671</v>
      </c>
      <c r="H5" s="76" t="s">
        <v>672</v>
      </c>
      <c r="I5" s="76" t="s">
        <v>673</v>
      </c>
      <c r="J5" s="76" t="s">
        <v>727</v>
      </c>
    </row>
    <row r="6" spans="1:10" x14ac:dyDescent="0.35">
      <c r="A6" s="48" t="s">
        <v>698</v>
      </c>
      <c r="B6" s="68">
        <v>-3213.3380000000002</v>
      </c>
      <c r="C6" s="68">
        <v>6488.6760000000004</v>
      </c>
      <c r="D6" s="83">
        <v>6645.0950000000003</v>
      </c>
      <c r="E6" s="83"/>
      <c r="F6" s="48" t="s">
        <v>698</v>
      </c>
      <c r="G6" s="68">
        <v>-3213.6309999999999</v>
      </c>
      <c r="H6" s="68">
        <v>6489.2619999999997</v>
      </c>
      <c r="I6" s="83">
        <v>6645.6809999999996</v>
      </c>
    </row>
    <row r="7" spans="1:10" x14ac:dyDescent="0.35">
      <c r="A7" s="48" t="s">
        <v>699</v>
      </c>
      <c r="B7" s="68">
        <v>-3204.5340000000001</v>
      </c>
      <c r="C7" s="83">
        <v>6503.0690000000004</v>
      </c>
      <c r="D7" s="68">
        <v>6740.22</v>
      </c>
      <c r="E7" s="93" t="s">
        <v>735</v>
      </c>
      <c r="F7" s="48" t="s">
        <v>699</v>
      </c>
      <c r="G7" s="68">
        <v>-3204.518</v>
      </c>
      <c r="H7" s="83">
        <v>6503.0349999999999</v>
      </c>
      <c r="I7" s="68">
        <v>6740.1869999999999</v>
      </c>
      <c r="J7" s="93" t="s">
        <v>737</v>
      </c>
    </row>
    <row r="8" spans="1:10" ht="15" thickBot="1" x14ac:dyDescent="0.4">
      <c r="A8" s="49" t="s">
        <v>700</v>
      </c>
      <c r="B8" s="84">
        <v>-3188.4479999999999</v>
      </c>
      <c r="C8" s="84">
        <v>6502.8969999999999</v>
      </c>
      <c r="D8" s="84">
        <v>6820.7809999999999</v>
      </c>
      <c r="E8" s="94" t="s">
        <v>736</v>
      </c>
      <c r="F8" s="49" t="s">
        <v>700</v>
      </c>
      <c r="G8" s="84">
        <v>-3186.0120000000002</v>
      </c>
      <c r="H8" s="84">
        <v>6498.0249999999996</v>
      </c>
      <c r="I8" s="84">
        <v>6815.9089999999997</v>
      </c>
      <c r="J8" s="94" t="s">
        <v>738</v>
      </c>
    </row>
    <row r="10" spans="1:10" x14ac:dyDescent="0.35">
      <c r="A10" s="64" t="s">
        <v>734</v>
      </c>
    </row>
    <row r="11" spans="1:10" ht="15" thickBot="1" x14ac:dyDescent="0.4">
      <c r="A11" s="64"/>
    </row>
    <row r="12" spans="1:10" ht="15" thickBot="1" x14ac:dyDescent="0.4">
      <c r="A12" s="85"/>
      <c r="B12" s="128" t="s">
        <v>522</v>
      </c>
      <c r="C12" s="128"/>
      <c r="D12" s="128"/>
      <c r="E12" s="62"/>
      <c r="F12" s="128" t="s">
        <v>523</v>
      </c>
      <c r="G12" s="128"/>
      <c r="H12" s="128"/>
      <c r="I12" s="128"/>
    </row>
    <row r="13" spans="1:10" ht="15" thickBot="1" x14ac:dyDescent="0.4">
      <c r="A13" s="49"/>
      <c r="B13" s="76"/>
      <c r="C13" s="76"/>
      <c r="D13" s="76"/>
      <c r="E13" s="76"/>
      <c r="F13" s="76"/>
      <c r="G13" s="76"/>
      <c r="H13" s="76"/>
      <c r="I13" s="76"/>
    </row>
    <row r="14" spans="1:10" x14ac:dyDescent="0.35">
      <c r="A14" s="125"/>
      <c r="B14" s="126" t="s">
        <v>712</v>
      </c>
      <c r="C14" s="127" t="s">
        <v>713</v>
      </c>
      <c r="D14" s="127" t="s">
        <v>714</v>
      </c>
      <c r="E14" s="127"/>
      <c r="F14" s="127" t="s">
        <v>712</v>
      </c>
      <c r="G14" s="127" t="s">
        <v>713</v>
      </c>
      <c r="H14" s="127" t="s">
        <v>714</v>
      </c>
      <c r="I14" s="127" t="s">
        <v>715</v>
      </c>
    </row>
    <row r="15" spans="1:10" x14ac:dyDescent="0.35">
      <c r="A15" s="48" t="s">
        <v>12</v>
      </c>
      <c r="B15">
        <v>-7.3000000000000001E-3</v>
      </c>
      <c r="C15">
        <v>5.7999999999999996E-3</v>
      </c>
      <c r="D15">
        <v>-3.9399999999999998E-2</v>
      </c>
      <c r="F15">
        <v>-5.9999999999999995E-4</v>
      </c>
      <c r="G15">
        <v>3.49E-2</v>
      </c>
      <c r="H15">
        <v>-9.4999999999999998E-3</v>
      </c>
      <c r="I15">
        <v>5.5999999999999999E-3</v>
      </c>
    </row>
    <row r="16" spans="1:10" x14ac:dyDescent="0.35">
      <c r="A16" s="48" t="s">
        <v>716</v>
      </c>
      <c r="B16">
        <v>2.0999999999999999E-3</v>
      </c>
      <c r="C16">
        <v>-1.34E-2</v>
      </c>
      <c r="D16">
        <v>4.2799999999999998E-2</v>
      </c>
      <c r="F16">
        <v>-4.5999999999999999E-3</v>
      </c>
      <c r="G16">
        <v>-5.3400000000000003E-2</v>
      </c>
      <c r="H16">
        <v>-3.3999999999999998E-3</v>
      </c>
      <c r="I16">
        <v>-7.7999999999999996E-3</v>
      </c>
    </row>
    <row r="17" spans="1:13" x14ac:dyDescent="0.35">
      <c r="A17" s="48" t="s">
        <v>16</v>
      </c>
      <c r="B17">
        <v>-7.4894999999999996</v>
      </c>
      <c r="C17">
        <v>0.50849999999999995</v>
      </c>
      <c r="D17">
        <v>1.145</v>
      </c>
      <c r="F17" s="77">
        <v>2.0874000000000001</v>
      </c>
      <c r="G17">
        <v>0.94920000000000004</v>
      </c>
      <c r="H17">
        <v>0.27750000000000002</v>
      </c>
      <c r="I17">
        <v>-1.0029999999999999</v>
      </c>
    </row>
    <row r="18" spans="1:13" x14ac:dyDescent="0.35">
      <c r="A18" s="48" t="s">
        <v>18</v>
      </c>
      <c r="B18">
        <v>8.3362999999999996</v>
      </c>
      <c r="C18">
        <v>-1.4646999999999999</v>
      </c>
      <c r="D18">
        <v>3.6476999999999999</v>
      </c>
      <c r="F18" s="77">
        <v>1.2303999999999999</v>
      </c>
      <c r="G18">
        <v>3.0244</v>
      </c>
      <c r="H18">
        <v>-0.2485</v>
      </c>
      <c r="I18">
        <v>-11.5883</v>
      </c>
      <c r="K18" s="95"/>
    </row>
    <row r="19" spans="1:13" x14ac:dyDescent="0.35">
      <c r="A19" s="48" t="s">
        <v>19</v>
      </c>
      <c r="B19">
        <v>6.3136999999999999</v>
      </c>
      <c r="C19">
        <v>-0.53879999999999995</v>
      </c>
      <c r="D19">
        <v>4.0869999999999997</v>
      </c>
      <c r="F19" s="77">
        <v>-2.4026999999999998</v>
      </c>
      <c r="G19">
        <v>0.34370000000000001</v>
      </c>
      <c r="H19">
        <v>-0.48970000000000002</v>
      </c>
      <c r="I19">
        <v>1.2281</v>
      </c>
      <c r="K19" s="95"/>
      <c r="M19" s="95"/>
    </row>
    <row r="20" spans="1:13" x14ac:dyDescent="0.35">
      <c r="A20" s="48" t="s">
        <v>20</v>
      </c>
      <c r="B20">
        <v>7.8696000000000002</v>
      </c>
      <c r="C20">
        <v>-4.9700000000000001E-2</v>
      </c>
      <c r="D20">
        <v>0.37140000000000001</v>
      </c>
      <c r="F20" s="77">
        <v>-3.0512999999999999</v>
      </c>
      <c r="G20">
        <v>2.7763</v>
      </c>
      <c r="H20">
        <v>-4.4900000000000002E-2</v>
      </c>
      <c r="I20">
        <v>0.92759999999999998</v>
      </c>
      <c r="K20" s="95"/>
    </row>
    <row r="21" spans="1:13" x14ac:dyDescent="0.35">
      <c r="A21" s="48" t="s">
        <v>32</v>
      </c>
      <c r="B21">
        <v>6.7422000000000004</v>
      </c>
      <c r="C21">
        <v>0.1163</v>
      </c>
      <c r="D21">
        <v>-5.7000000000000002E-2</v>
      </c>
      <c r="F21">
        <v>13.410299999999999</v>
      </c>
      <c r="G21">
        <v>9.7531999999999996</v>
      </c>
      <c r="H21">
        <v>2.3746</v>
      </c>
      <c r="I21">
        <v>2.8283</v>
      </c>
    </row>
    <row r="22" spans="1:13" x14ac:dyDescent="0.35">
      <c r="A22" s="48" t="s">
        <v>33</v>
      </c>
      <c r="B22">
        <v>-4.2991000000000001</v>
      </c>
      <c r="C22">
        <v>-4.1000000000000003E-3</v>
      </c>
      <c r="D22">
        <v>1.1194999999999999</v>
      </c>
    </row>
    <row r="23" spans="1:13" x14ac:dyDescent="0.35">
      <c r="A23" s="48" t="s">
        <v>34</v>
      </c>
      <c r="F23">
        <v>-12.067</v>
      </c>
      <c r="G23">
        <v>-1.9585999999999999</v>
      </c>
      <c r="H23">
        <v>-2.3730000000000002</v>
      </c>
      <c r="I23">
        <v>12.252599999999999</v>
      </c>
    </row>
    <row r="24" spans="1:13" x14ac:dyDescent="0.35">
      <c r="A24" s="48" t="s">
        <v>717</v>
      </c>
      <c r="B24">
        <v>-12.2601</v>
      </c>
      <c r="C24">
        <v>1.6008</v>
      </c>
      <c r="D24">
        <v>4.6436999999999999</v>
      </c>
      <c r="F24">
        <v>6.4218000000000002</v>
      </c>
      <c r="G24">
        <v>-0.80359999999999998</v>
      </c>
      <c r="H24">
        <v>1.3355999999999999</v>
      </c>
      <c r="I24">
        <v>11.7667</v>
      </c>
    </row>
    <row r="25" spans="1:13" x14ac:dyDescent="0.35">
      <c r="A25" s="48" t="s">
        <v>21</v>
      </c>
      <c r="B25">
        <v>6.0351999999999997</v>
      </c>
      <c r="C25">
        <v>0.69010000000000005</v>
      </c>
      <c r="D25">
        <v>1.2049000000000001</v>
      </c>
      <c r="F25">
        <v>-13.501099999999999</v>
      </c>
      <c r="G25">
        <v>2.4091</v>
      </c>
      <c r="H25">
        <v>0.85740000000000005</v>
      </c>
      <c r="I25">
        <v>-4.7005999999999997</v>
      </c>
    </row>
    <row r="26" spans="1:13" x14ac:dyDescent="0.35">
      <c r="A26" s="48" t="s">
        <v>22</v>
      </c>
      <c r="B26">
        <v>13.173400000000001</v>
      </c>
      <c r="C26">
        <v>-1.8527</v>
      </c>
      <c r="D26">
        <v>-4.0613000000000001</v>
      </c>
      <c r="F26">
        <v>2.1589</v>
      </c>
      <c r="G26">
        <v>2.0501999999999998</v>
      </c>
      <c r="H26">
        <v>-2.2490999999999999</v>
      </c>
      <c r="I26">
        <v>-5.0095000000000001</v>
      </c>
    </row>
    <row r="27" spans="1:13" x14ac:dyDescent="0.35">
      <c r="A27" s="48" t="s">
        <v>23</v>
      </c>
      <c r="B27">
        <v>-0.98299999999999998</v>
      </c>
      <c r="C27">
        <v>0.79969999999999997</v>
      </c>
      <c r="D27">
        <v>1.8614999999999999</v>
      </c>
      <c r="F27">
        <v>3.7719999999999998</v>
      </c>
      <c r="G27">
        <v>1.6869000000000001</v>
      </c>
      <c r="H27">
        <v>0.68779999999999997</v>
      </c>
      <c r="I27">
        <v>-20.398700000000002</v>
      </c>
    </row>
    <row r="28" spans="1:13" x14ac:dyDescent="0.35">
      <c r="A28" s="48" t="s">
        <v>24</v>
      </c>
      <c r="B28">
        <v>1.6000000000000001E-3</v>
      </c>
      <c r="C28">
        <v>-1.5E-3</v>
      </c>
      <c r="D28">
        <v>2.2700000000000001E-2</v>
      </c>
      <c r="F28">
        <v>6.8999999999999999E-3</v>
      </c>
      <c r="G28">
        <v>1.35E-2</v>
      </c>
      <c r="H28">
        <v>-1.2999999999999999E-3</v>
      </c>
      <c r="I28">
        <v>-5.62E-2</v>
      </c>
    </row>
    <row r="29" spans="1:13" x14ac:dyDescent="0.35">
      <c r="A29" s="48" t="s">
        <v>25</v>
      </c>
      <c r="B29">
        <v>7.2945000000000002</v>
      </c>
      <c r="C29">
        <v>-0.13370000000000001</v>
      </c>
      <c r="D29">
        <v>4.5476999999999999</v>
      </c>
      <c r="F29">
        <v>-3.9279999999999999</v>
      </c>
      <c r="G29">
        <v>4.3513000000000002</v>
      </c>
      <c r="H29">
        <v>-0.29210000000000003</v>
      </c>
      <c r="I29">
        <v>-1.8635999999999999</v>
      </c>
    </row>
    <row r="30" spans="1:13" x14ac:dyDescent="0.35">
      <c r="A30" s="96" t="s">
        <v>26</v>
      </c>
      <c r="B30" s="1">
        <v>0.97</v>
      </c>
      <c r="C30" s="1">
        <v>-0.1396</v>
      </c>
      <c r="D30" s="1">
        <v>-4.1822999999999997</v>
      </c>
      <c r="E30" s="1"/>
      <c r="F30" s="1">
        <v>0.1535</v>
      </c>
      <c r="G30" s="1">
        <v>-5.7282999999999999</v>
      </c>
      <c r="H30" s="1">
        <v>0.26600000000000001</v>
      </c>
      <c r="I30" s="1">
        <v>-7.1432000000000002</v>
      </c>
    </row>
    <row r="31" spans="1:13" x14ac:dyDescent="0.35">
      <c r="A31" s="97" t="s">
        <v>718</v>
      </c>
      <c r="B31" s="98">
        <v>0.249</v>
      </c>
      <c r="C31" s="98">
        <v>0.64</v>
      </c>
      <c r="D31" s="98">
        <v>0.111</v>
      </c>
      <c r="E31" s="98"/>
      <c r="F31" s="98">
        <v>0.29199999999999998</v>
      </c>
      <c r="G31" s="98">
        <v>0.123</v>
      </c>
      <c r="H31" s="98">
        <v>0.374</v>
      </c>
      <c r="I31" s="98">
        <v>0.21099999999999999</v>
      </c>
    </row>
    <row r="32" spans="1:13" x14ac:dyDescent="0.35">
      <c r="A32" s="48" t="s">
        <v>719</v>
      </c>
      <c r="B32">
        <v>-3548.5169999999998</v>
      </c>
      <c r="D32" s="53"/>
      <c r="E32" s="53"/>
      <c r="F32">
        <v>-3548.5169999999998</v>
      </c>
      <c r="G32" s="53"/>
      <c r="H32" s="53"/>
      <c r="I32" s="53"/>
    </row>
    <row r="33" spans="1:11" x14ac:dyDescent="0.35">
      <c r="A33" s="48" t="s">
        <v>720</v>
      </c>
      <c r="B33">
        <v>-3204.5340000000001</v>
      </c>
      <c r="D33" s="53"/>
      <c r="E33" s="53"/>
      <c r="F33">
        <v>-3186.0120000000002</v>
      </c>
      <c r="G33" s="53"/>
      <c r="H33" s="53"/>
      <c r="I33" s="53"/>
    </row>
    <row r="34" spans="1:11" x14ac:dyDescent="0.35">
      <c r="A34" s="48" t="s">
        <v>721</v>
      </c>
      <c r="B34">
        <v>6503.0690000000004</v>
      </c>
      <c r="D34" s="53"/>
      <c r="E34" s="53"/>
      <c r="F34">
        <v>6498.0249999999996</v>
      </c>
      <c r="G34" s="53"/>
      <c r="H34" s="53"/>
      <c r="I34" s="53"/>
    </row>
    <row r="35" spans="1:11" x14ac:dyDescent="0.35">
      <c r="A35" s="48" t="s">
        <v>722</v>
      </c>
      <c r="B35">
        <v>6740.22</v>
      </c>
      <c r="D35" s="53"/>
      <c r="E35" s="53"/>
      <c r="F35">
        <v>6815.9089999999997</v>
      </c>
      <c r="G35" s="53"/>
      <c r="H35" s="53"/>
      <c r="I35" s="53"/>
    </row>
    <row r="36" spans="1:11" x14ac:dyDescent="0.35">
      <c r="A36" s="48" t="s">
        <v>723</v>
      </c>
      <c r="B36" t="s">
        <v>739</v>
      </c>
      <c r="D36" s="92"/>
      <c r="E36" s="92"/>
      <c r="F36" t="s">
        <v>740</v>
      </c>
      <c r="G36" s="68"/>
      <c r="H36" s="92"/>
      <c r="I36" s="92"/>
    </row>
    <row r="37" spans="1:11" x14ac:dyDescent="0.35">
      <c r="A37" s="96" t="s">
        <v>674</v>
      </c>
      <c r="B37" s="1">
        <v>0.45169999999999999</v>
      </c>
      <c r="C37" s="1"/>
      <c r="D37" s="99"/>
      <c r="E37" s="99"/>
      <c r="F37" s="1">
        <v>0.46920000000000001</v>
      </c>
      <c r="G37" s="99"/>
      <c r="H37" s="99"/>
      <c r="I37" s="99"/>
    </row>
    <row r="40" spans="1:11" x14ac:dyDescent="0.35">
      <c r="A40" s="7" t="s">
        <v>746</v>
      </c>
    </row>
    <row r="41" spans="1:11" x14ac:dyDescent="0.35">
      <c r="A41" t="s">
        <v>747</v>
      </c>
      <c r="B41" s="37"/>
      <c r="C41" s="37"/>
      <c r="D41" s="37"/>
      <c r="E41" s="37" t="s">
        <v>696</v>
      </c>
      <c r="F41" s="37"/>
      <c r="G41" s="37"/>
      <c r="H41" s="37"/>
      <c r="I41" s="37" t="s">
        <v>697</v>
      </c>
      <c r="J41" s="37"/>
      <c r="K41" s="37"/>
    </row>
    <row r="42" spans="1:11" x14ac:dyDescent="0.35">
      <c r="B42" s="37" t="s">
        <v>11</v>
      </c>
      <c r="C42" s="37" t="s">
        <v>741</v>
      </c>
      <c r="D42" s="37" t="s">
        <v>742</v>
      </c>
      <c r="E42" s="37" t="s">
        <v>743</v>
      </c>
      <c r="F42" s="37" t="s">
        <v>744</v>
      </c>
      <c r="G42" s="37"/>
      <c r="H42" s="37" t="s">
        <v>742</v>
      </c>
      <c r="I42" s="37" t="s">
        <v>743</v>
      </c>
      <c r="J42" s="37" t="s">
        <v>744</v>
      </c>
      <c r="K42" s="37" t="s">
        <v>745</v>
      </c>
    </row>
    <row r="43" spans="1:11" x14ac:dyDescent="0.35">
      <c r="B43" t="s">
        <v>55</v>
      </c>
      <c r="C43">
        <v>115</v>
      </c>
      <c r="D43" s="7">
        <v>0.187</v>
      </c>
      <c r="E43" s="7">
        <v>0.63600000000000001</v>
      </c>
      <c r="F43" s="7">
        <v>0.17699999999999999</v>
      </c>
      <c r="H43" s="7">
        <v>0.79700000000000004</v>
      </c>
      <c r="I43">
        <v>4.5999999999999999E-2</v>
      </c>
      <c r="J43" s="7">
        <v>0.158</v>
      </c>
      <c r="K43">
        <v>0</v>
      </c>
    </row>
    <row r="44" spans="1:11" x14ac:dyDescent="0.35">
      <c r="B44" t="s">
        <v>62</v>
      </c>
      <c r="C44">
        <v>93</v>
      </c>
      <c r="D44" s="7">
        <v>0.79500000000000004</v>
      </c>
      <c r="E44">
        <v>0.20499999999999999</v>
      </c>
      <c r="F44">
        <v>0</v>
      </c>
      <c r="H44">
        <v>2.5999999999999999E-2</v>
      </c>
      <c r="I44">
        <v>0</v>
      </c>
      <c r="J44" s="7">
        <v>0.72</v>
      </c>
      <c r="K44" s="7">
        <v>0.254</v>
      </c>
    </row>
    <row r="45" spans="1:11" x14ac:dyDescent="0.35">
      <c r="B45" t="s">
        <v>47</v>
      </c>
      <c r="C45">
        <v>93</v>
      </c>
      <c r="D45">
        <v>0.13100000000000001</v>
      </c>
      <c r="E45">
        <v>1.0999999999999999E-2</v>
      </c>
      <c r="F45" s="7">
        <v>0.85699999999999998</v>
      </c>
      <c r="H45">
        <v>0.11600000000000001</v>
      </c>
      <c r="I45" s="7">
        <v>0.754</v>
      </c>
      <c r="J45">
        <v>0.13</v>
      </c>
      <c r="K45">
        <v>0</v>
      </c>
    </row>
    <row r="46" spans="1:11" x14ac:dyDescent="0.35">
      <c r="B46" t="s">
        <v>72</v>
      </c>
      <c r="C46">
        <v>84</v>
      </c>
      <c r="D46">
        <v>0</v>
      </c>
      <c r="E46" s="7">
        <v>1</v>
      </c>
      <c r="F46">
        <v>0</v>
      </c>
      <c r="H46">
        <v>0</v>
      </c>
      <c r="I46">
        <v>0</v>
      </c>
      <c r="J46" s="7">
        <v>0.224</v>
      </c>
      <c r="K46" s="7">
        <v>0.77600000000000002</v>
      </c>
    </row>
    <row r="47" spans="1:11" x14ac:dyDescent="0.35">
      <c r="B47" t="s">
        <v>60</v>
      </c>
      <c r="C47">
        <v>78</v>
      </c>
      <c r="D47">
        <v>0</v>
      </c>
      <c r="E47" s="7">
        <v>1</v>
      </c>
      <c r="F47">
        <v>0</v>
      </c>
      <c r="H47">
        <v>0</v>
      </c>
      <c r="I47">
        <v>0</v>
      </c>
      <c r="J47">
        <v>0.10100000000000001</v>
      </c>
      <c r="K47" s="7">
        <v>0.89900000000000002</v>
      </c>
    </row>
    <row r="48" spans="1:11" x14ac:dyDescent="0.35">
      <c r="B48" t="s">
        <v>65</v>
      </c>
      <c r="C48">
        <v>75</v>
      </c>
      <c r="D48">
        <v>0.01</v>
      </c>
      <c r="E48" s="7">
        <v>0.99</v>
      </c>
      <c r="F48">
        <v>0</v>
      </c>
      <c r="H48" s="7">
        <v>0.13800000000000001</v>
      </c>
      <c r="I48" s="7">
        <v>0.68700000000000006</v>
      </c>
      <c r="J48" s="7">
        <v>0.17499999999999999</v>
      </c>
      <c r="K48">
        <v>0</v>
      </c>
    </row>
    <row r="49" spans="2:11" x14ac:dyDescent="0.35">
      <c r="B49" t="s">
        <v>59</v>
      </c>
      <c r="C49">
        <v>60</v>
      </c>
      <c r="D49">
        <v>0</v>
      </c>
      <c r="E49" s="7">
        <v>1</v>
      </c>
      <c r="F49">
        <v>0</v>
      </c>
      <c r="H49" s="7">
        <v>0.57799999999999996</v>
      </c>
      <c r="I49">
        <v>0</v>
      </c>
      <c r="J49" s="7">
        <v>0.42199999999999999</v>
      </c>
      <c r="K49">
        <v>0</v>
      </c>
    </row>
    <row r="50" spans="2:11" x14ac:dyDescent="0.35">
      <c r="B50" t="s">
        <v>57</v>
      </c>
      <c r="C50">
        <v>58</v>
      </c>
      <c r="D50" s="7">
        <v>0.38500000000000001</v>
      </c>
      <c r="E50" s="7">
        <v>0.61499999999999999</v>
      </c>
      <c r="F50">
        <v>0</v>
      </c>
      <c r="H50">
        <v>1E-3</v>
      </c>
      <c r="I50">
        <v>0</v>
      </c>
      <c r="J50" s="7">
        <v>0.999</v>
      </c>
      <c r="K50">
        <v>0</v>
      </c>
    </row>
    <row r="51" spans="2:11" x14ac:dyDescent="0.35">
      <c r="B51" t="s">
        <v>71</v>
      </c>
      <c r="C51">
        <v>57</v>
      </c>
      <c r="D51">
        <v>0</v>
      </c>
      <c r="E51">
        <v>1</v>
      </c>
      <c r="F51">
        <v>0</v>
      </c>
      <c r="H51">
        <v>0</v>
      </c>
      <c r="I51">
        <v>0</v>
      </c>
      <c r="J51" s="7">
        <v>0.248</v>
      </c>
      <c r="K51" s="7">
        <v>0.752</v>
      </c>
    </row>
    <row r="52" spans="2:11" x14ac:dyDescent="0.35">
      <c r="B52" t="s">
        <v>76</v>
      </c>
      <c r="C52">
        <v>56</v>
      </c>
      <c r="D52">
        <v>0</v>
      </c>
      <c r="E52">
        <v>1</v>
      </c>
      <c r="F52">
        <v>0</v>
      </c>
      <c r="H52">
        <v>0</v>
      </c>
      <c r="I52">
        <v>0</v>
      </c>
      <c r="J52" s="7">
        <v>1</v>
      </c>
      <c r="K52">
        <v>0</v>
      </c>
    </row>
    <row r="53" spans="2:11" x14ac:dyDescent="0.35">
      <c r="B53" t="s">
        <v>77</v>
      </c>
      <c r="C53">
        <v>53</v>
      </c>
      <c r="D53" s="7">
        <v>0.97499999999999998</v>
      </c>
      <c r="E53">
        <v>2.5000000000000001E-2</v>
      </c>
      <c r="F53">
        <v>0</v>
      </c>
      <c r="H53" s="7">
        <v>0.89300000000000002</v>
      </c>
      <c r="I53">
        <v>0</v>
      </c>
      <c r="J53">
        <v>0.107</v>
      </c>
      <c r="K53">
        <v>0</v>
      </c>
    </row>
    <row r="54" spans="2:11" x14ac:dyDescent="0.35">
      <c r="B54" t="s">
        <v>51</v>
      </c>
      <c r="C54">
        <v>44</v>
      </c>
      <c r="D54">
        <v>1.4999999999999999E-2</v>
      </c>
      <c r="E54" s="7">
        <v>0.98499999999999999</v>
      </c>
      <c r="F54">
        <v>0</v>
      </c>
      <c r="H54">
        <v>0</v>
      </c>
      <c r="I54">
        <v>0</v>
      </c>
      <c r="J54" s="7">
        <v>0.92</v>
      </c>
      <c r="K54">
        <v>0.08</v>
      </c>
    </row>
    <row r="55" spans="2:11" x14ac:dyDescent="0.35">
      <c r="B55" t="s">
        <v>69</v>
      </c>
      <c r="C55">
        <v>40</v>
      </c>
      <c r="D55">
        <v>8.7999999999999995E-2</v>
      </c>
      <c r="E55" s="7">
        <v>0.91200000000000003</v>
      </c>
      <c r="F55">
        <v>0</v>
      </c>
      <c r="H55">
        <v>1E-3</v>
      </c>
      <c r="I55">
        <v>0</v>
      </c>
      <c r="J55" s="7">
        <v>0.999</v>
      </c>
      <c r="K55">
        <v>0</v>
      </c>
    </row>
    <row r="56" spans="2:11" x14ac:dyDescent="0.35">
      <c r="B56" t="s">
        <v>58</v>
      </c>
      <c r="C56">
        <v>36</v>
      </c>
      <c r="D56" s="7">
        <v>0.995</v>
      </c>
      <c r="E56">
        <v>5.0000000000000001E-3</v>
      </c>
      <c r="F56">
        <v>0</v>
      </c>
      <c r="H56" s="7">
        <v>0.98799999999999999</v>
      </c>
      <c r="I56">
        <v>0</v>
      </c>
      <c r="J56">
        <v>1.2E-2</v>
      </c>
      <c r="K56">
        <v>0</v>
      </c>
    </row>
    <row r="57" spans="2:11" x14ac:dyDescent="0.35">
      <c r="B57" t="s">
        <v>70</v>
      </c>
      <c r="C57">
        <v>33</v>
      </c>
      <c r="D57">
        <v>2.8000000000000001E-2</v>
      </c>
      <c r="E57" s="7">
        <v>0.51800000000000002</v>
      </c>
      <c r="F57" s="7">
        <v>0.45300000000000001</v>
      </c>
      <c r="H57">
        <v>2.7E-2</v>
      </c>
      <c r="I57" s="7">
        <v>0.41899999999999998</v>
      </c>
      <c r="J57" s="7">
        <v>0.55400000000000005</v>
      </c>
      <c r="K57">
        <v>0</v>
      </c>
    </row>
    <row r="58" spans="2:11" x14ac:dyDescent="0.35">
      <c r="B58" t="s">
        <v>73</v>
      </c>
      <c r="C58">
        <v>30</v>
      </c>
      <c r="D58" s="7">
        <v>0.83099999999999996</v>
      </c>
      <c r="E58" s="7">
        <v>0.16800000000000001</v>
      </c>
      <c r="F58">
        <v>1E-3</v>
      </c>
      <c r="H58" s="7">
        <v>0.84699999999999998</v>
      </c>
      <c r="I58">
        <v>0</v>
      </c>
      <c r="J58">
        <v>0.153</v>
      </c>
      <c r="K58">
        <v>0</v>
      </c>
    </row>
    <row r="59" spans="2:11" x14ac:dyDescent="0.35">
      <c r="B59" t="s">
        <v>74</v>
      </c>
      <c r="C59">
        <v>30</v>
      </c>
      <c r="D59" s="7">
        <v>0.24399999999999999</v>
      </c>
      <c r="E59" s="7">
        <v>0.75600000000000001</v>
      </c>
      <c r="F59">
        <v>0</v>
      </c>
      <c r="H59">
        <v>0</v>
      </c>
      <c r="I59">
        <v>0</v>
      </c>
      <c r="J59" s="7">
        <v>0.59099999999999997</v>
      </c>
      <c r="K59" s="7">
        <v>0.40899999999999997</v>
      </c>
    </row>
    <row r="60" spans="2:11" x14ac:dyDescent="0.35">
      <c r="B60" t="s">
        <v>79</v>
      </c>
      <c r="C60">
        <v>26</v>
      </c>
      <c r="D60">
        <v>2E-3</v>
      </c>
      <c r="E60" s="7">
        <v>0.998</v>
      </c>
      <c r="F60">
        <v>0</v>
      </c>
      <c r="H60">
        <v>0</v>
      </c>
      <c r="I60">
        <v>0</v>
      </c>
      <c r="J60">
        <v>6.5000000000000002E-2</v>
      </c>
      <c r="K60" s="7">
        <v>0.93500000000000005</v>
      </c>
    </row>
    <row r="61" spans="2:11" x14ac:dyDescent="0.35">
      <c r="B61" t="s">
        <v>54</v>
      </c>
      <c r="C61">
        <v>24</v>
      </c>
      <c r="D61">
        <v>6.8000000000000005E-2</v>
      </c>
      <c r="E61" s="7">
        <v>0.4</v>
      </c>
      <c r="F61" s="7">
        <v>0.53200000000000003</v>
      </c>
      <c r="H61" s="7">
        <v>0.78700000000000003</v>
      </c>
      <c r="I61">
        <v>0</v>
      </c>
      <c r="J61" s="7">
        <v>0.21299999999999999</v>
      </c>
      <c r="K61">
        <v>0</v>
      </c>
    </row>
    <row r="62" spans="2:11" x14ac:dyDescent="0.35">
      <c r="B62" t="s">
        <v>67</v>
      </c>
      <c r="C62">
        <v>23</v>
      </c>
      <c r="D62" s="7">
        <v>0.68400000000000005</v>
      </c>
      <c r="E62" s="7">
        <v>0.316</v>
      </c>
      <c r="F62">
        <v>0</v>
      </c>
      <c r="H62" s="7">
        <v>0.96499999999999997</v>
      </c>
      <c r="I62">
        <v>0</v>
      </c>
      <c r="J62">
        <v>3.5000000000000003E-2</v>
      </c>
      <c r="K62">
        <v>0</v>
      </c>
    </row>
    <row r="63" spans="2:11" x14ac:dyDescent="0.35">
      <c r="B63" t="s">
        <v>83</v>
      </c>
      <c r="C63">
        <v>21</v>
      </c>
      <c r="D63" s="7">
        <v>0.60099999999999998</v>
      </c>
      <c r="E63" s="7">
        <v>0.39900000000000002</v>
      </c>
      <c r="F63">
        <v>0</v>
      </c>
      <c r="H63" s="7">
        <v>0.96299999999999997</v>
      </c>
      <c r="I63">
        <v>0</v>
      </c>
      <c r="J63">
        <v>3.6999999999999998E-2</v>
      </c>
      <c r="K63">
        <v>0</v>
      </c>
    </row>
    <row r="64" spans="2:11" x14ac:dyDescent="0.35">
      <c r="B64" t="s">
        <v>75</v>
      </c>
      <c r="C64">
        <v>19</v>
      </c>
      <c r="D64">
        <v>0</v>
      </c>
      <c r="E64" s="7">
        <v>1</v>
      </c>
      <c r="F64">
        <v>0</v>
      </c>
      <c r="H64" s="7">
        <v>0.80500000000000005</v>
      </c>
      <c r="I64">
        <v>0</v>
      </c>
      <c r="J64" s="7">
        <v>0.19500000000000001</v>
      </c>
      <c r="K64">
        <v>0</v>
      </c>
    </row>
    <row r="65" spans="2:11" x14ac:dyDescent="0.35">
      <c r="B65" s="104"/>
      <c r="C65" s="104"/>
      <c r="D65" s="104"/>
      <c r="E65" s="104"/>
      <c r="F65" s="104"/>
      <c r="G65" s="104"/>
      <c r="H65" s="104"/>
      <c r="I65" s="104"/>
      <c r="J65" s="104"/>
      <c r="K65" s="104"/>
    </row>
  </sheetData>
  <mergeCells count="4">
    <mergeCell ref="B4:D4"/>
    <mergeCell ref="G4:I4"/>
    <mergeCell ref="B12:D12"/>
    <mergeCell ref="F12:I12"/>
  </mergeCells>
  <phoneticPr fontId="2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44A2-EC3D-469D-911A-6ED966D61ED7}">
  <dimension ref="A1:F32"/>
  <sheetViews>
    <sheetView tabSelected="1" workbookViewId="0">
      <selection activeCell="K14" sqref="K14"/>
    </sheetView>
  </sheetViews>
  <sheetFormatPr baseColWidth="10" defaultRowHeight="14.5" x14ac:dyDescent="0.35"/>
  <sheetData>
    <row r="1" spans="1:6" x14ac:dyDescent="0.35">
      <c r="A1" t="s">
        <v>809</v>
      </c>
    </row>
    <row r="2" spans="1:6" x14ac:dyDescent="0.35">
      <c r="A2" s="112"/>
      <c r="B2" s="112" t="s">
        <v>696</v>
      </c>
      <c r="C2" s="112" t="s">
        <v>807</v>
      </c>
      <c r="D2" s="112" t="s">
        <v>697</v>
      </c>
      <c r="E2" s="113" t="s">
        <v>697</v>
      </c>
      <c r="F2" s="113" t="s">
        <v>697</v>
      </c>
    </row>
    <row r="3" spans="1:6" x14ac:dyDescent="0.35">
      <c r="A3" s="113"/>
      <c r="B3" s="112" t="s">
        <v>794</v>
      </c>
      <c r="C3" s="112" t="s">
        <v>795</v>
      </c>
      <c r="D3" s="112" t="s">
        <v>794</v>
      </c>
      <c r="E3" s="112" t="s">
        <v>795</v>
      </c>
      <c r="F3" s="113" t="s">
        <v>806</v>
      </c>
    </row>
    <row r="4" spans="1:6" x14ac:dyDescent="0.35">
      <c r="A4" s="106" t="s">
        <v>12</v>
      </c>
      <c r="B4" s="108">
        <v>-2.3E-3</v>
      </c>
      <c r="C4" s="108">
        <v>6.3E-3</v>
      </c>
      <c r="D4" s="108">
        <v>-1.1599999999999999E-2</v>
      </c>
      <c r="E4" s="108">
        <v>1.3100000000000001E-2</v>
      </c>
      <c r="F4" s="107">
        <v>4.1999999999999997E-3</v>
      </c>
    </row>
    <row r="5" spans="1:6" x14ac:dyDescent="0.35">
      <c r="A5" s="106" t="s">
        <v>14</v>
      </c>
      <c r="B5" s="108">
        <v>-2.9999999999999997E-4</v>
      </c>
      <c r="C5" s="108">
        <v>-1.95E-2</v>
      </c>
      <c r="D5" s="108">
        <v>7.0000000000000001E-3</v>
      </c>
      <c r="E5" s="108">
        <v>-2.7900000000000001E-2</v>
      </c>
      <c r="F5" s="107">
        <v>-1.15E-2</v>
      </c>
    </row>
    <row r="6" spans="1:6" x14ac:dyDescent="0.35">
      <c r="A6" s="106" t="s">
        <v>16</v>
      </c>
      <c r="B6" s="108">
        <v>8.6499999999999994E-2</v>
      </c>
      <c r="C6" s="109">
        <v>0.6724</v>
      </c>
      <c r="D6" s="109">
        <v>-0.11600000000000001</v>
      </c>
      <c r="E6" s="108">
        <v>2.5242</v>
      </c>
      <c r="F6" s="107">
        <v>-1.8499999999999999E-2</v>
      </c>
    </row>
    <row r="7" spans="1:6" x14ac:dyDescent="0.35">
      <c r="A7" s="106" t="s">
        <v>18</v>
      </c>
      <c r="B7" s="108">
        <v>-4.2999999999999997E-2</v>
      </c>
      <c r="C7" s="109">
        <v>-2.8561000000000001</v>
      </c>
      <c r="D7" s="109">
        <v>0.6502</v>
      </c>
      <c r="E7" s="108">
        <v>6.6673</v>
      </c>
      <c r="F7" s="107">
        <v>-0.9607</v>
      </c>
    </row>
    <row r="8" spans="1:6" x14ac:dyDescent="0.35">
      <c r="A8" s="106" t="s">
        <v>19</v>
      </c>
      <c r="B8" s="109">
        <v>0.1585</v>
      </c>
      <c r="C8" s="108">
        <v>-1.6329</v>
      </c>
      <c r="D8" s="108">
        <v>-0.64659999999999995</v>
      </c>
      <c r="E8" s="108">
        <v>3.8033999999999999</v>
      </c>
      <c r="F8" s="107">
        <v>3.6900000000000002E-2</v>
      </c>
    </row>
    <row r="9" spans="1:6" x14ac:dyDescent="0.35">
      <c r="A9" s="106" t="s">
        <v>20</v>
      </c>
      <c r="B9" s="108">
        <v>-1.4E-3</v>
      </c>
      <c r="C9" s="109">
        <v>-1.1932</v>
      </c>
      <c r="D9" s="108">
        <v>-0.52980000000000005</v>
      </c>
      <c r="E9" s="108">
        <v>5.6540999999999997</v>
      </c>
      <c r="F9" s="107">
        <v>-3.0599999999999999E-2</v>
      </c>
    </row>
    <row r="10" spans="1:6" x14ac:dyDescent="0.35">
      <c r="A10" s="106" t="s">
        <v>32</v>
      </c>
      <c r="B10" s="108">
        <v>-0.61439999999999995</v>
      </c>
      <c r="C10" s="109">
        <v>3.6497999999999999</v>
      </c>
      <c r="D10" s="109">
        <v>7.0721999999999996</v>
      </c>
      <c r="E10" s="108">
        <v>-7.1513</v>
      </c>
      <c r="F10" s="107">
        <v>-1.258</v>
      </c>
    </row>
    <row r="11" spans="1:6" x14ac:dyDescent="0.35">
      <c r="A11" s="106" t="s">
        <v>33</v>
      </c>
      <c r="B11" s="109">
        <v>1.1391</v>
      </c>
      <c r="C11" s="109">
        <v>-3.9801000000000002</v>
      </c>
      <c r="D11" s="108">
        <v>-8.1178000000000008</v>
      </c>
      <c r="E11" s="109">
        <v>13.068300000000001</v>
      </c>
      <c r="F11" s="107">
        <v>1.6375999999999999</v>
      </c>
    </row>
    <row r="12" spans="1:6" x14ac:dyDescent="0.35">
      <c r="A12" s="106" t="s">
        <v>35</v>
      </c>
      <c r="B12" s="108">
        <v>-1.1407</v>
      </c>
      <c r="C12" s="109">
        <v>12.475199999999999</v>
      </c>
      <c r="D12" s="109">
        <v>3.2646999999999999</v>
      </c>
      <c r="E12" s="109">
        <v>1.9467000000000001</v>
      </c>
      <c r="F12" s="107">
        <v>1.5951</v>
      </c>
    </row>
    <row r="13" spans="1:6" x14ac:dyDescent="0.35">
      <c r="A13" s="106" t="s">
        <v>21</v>
      </c>
      <c r="B13" s="108">
        <v>0.93740000000000001</v>
      </c>
      <c r="C13" s="109">
        <v>-6.5945</v>
      </c>
      <c r="D13" s="108">
        <v>-4.2918000000000003</v>
      </c>
      <c r="E13" s="108">
        <v>-0.88249999999999995</v>
      </c>
      <c r="F13" s="107">
        <v>0.52429999999999999</v>
      </c>
    </row>
    <row r="14" spans="1:6" x14ac:dyDescent="0.35">
      <c r="A14" s="106" t="s">
        <v>22</v>
      </c>
      <c r="B14" s="108">
        <v>-0.37659999999999999</v>
      </c>
      <c r="C14" s="108">
        <v>-1.9160999999999999</v>
      </c>
      <c r="D14" s="108">
        <v>7.3599999999999999E-2</v>
      </c>
      <c r="E14" s="108">
        <v>-2.0333000000000001</v>
      </c>
      <c r="F14" s="107">
        <v>-1.6892</v>
      </c>
    </row>
    <row r="15" spans="1:6" x14ac:dyDescent="0.35">
      <c r="A15" s="106" t="s">
        <v>23</v>
      </c>
      <c r="B15" s="109">
        <v>0.40289999999999998</v>
      </c>
      <c r="C15" s="108">
        <v>0.20330000000000001</v>
      </c>
      <c r="D15" s="109">
        <v>0.84219999999999995</v>
      </c>
      <c r="E15" s="108">
        <v>7.6356000000000002</v>
      </c>
      <c r="F15" s="107">
        <v>0.3624</v>
      </c>
    </row>
    <row r="16" spans="1:6" x14ac:dyDescent="0.35">
      <c r="A16" s="106" t="s">
        <v>24</v>
      </c>
      <c r="B16" s="108">
        <v>5.9999999999999995E-4</v>
      </c>
      <c r="C16" s="108">
        <v>-5.7999999999999996E-3</v>
      </c>
      <c r="D16" s="108">
        <v>1.6999999999999999E-3</v>
      </c>
      <c r="E16" s="108">
        <v>7.6E-3</v>
      </c>
      <c r="F16" s="107">
        <v>-1.5E-3</v>
      </c>
    </row>
    <row r="17" spans="1:6" x14ac:dyDescent="0.35">
      <c r="A17" s="106" t="s">
        <v>25</v>
      </c>
      <c r="B17" s="109">
        <v>0.44119999999999998</v>
      </c>
      <c r="C17" s="109">
        <v>-2.0226000000000002</v>
      </c>
      <c r="D17" s="108">
        <v>-0.31669999999999998</v>
      </c>
      <c r="E17" s="108">
        <v>-2.3292999999999999</v>
      </c>
      <c r="F17" s="107">
        <v>-0.16520000000000001</v>
      </c>
    </row>
    <row r="18" spans="1:6" x14ac:dyDescent="0.35">
      <c r="A18" s="110" t="s">
        <v>26</v>
      </c>
      <c r="B18" s="114">
        <v>1.5800000000000002E-2</v>
      </c>
      <c r="C18" s="115">
        <v>0.45129999999999998</v>
      </c>
      <c r="D18" s="115">
        <v>0.84830000000000005</v>
      </c>
      <c r="E18" s="114">
        <v>-8.1484000000000005</v>
      </c>
      <c r="F18" s="111">
        <v>-0.90569999999999995</v>
      </c>
    </row>
    <row r="19" spans="1:6" x14ac:dyDescent="0.35">
      <c r="A19" s="113" t="s">
        <v>808</v>
      </c>
      <c r="B19" s="116">
        <v>0.64300000000000002</v>
      </c>
      <c r="C19" s="116">
        <v>0.35699999999999998</v>
      </c>
      <c r="D19" s="117">
        <v>0.29699999999999999</v>
      </c>
      <c r="E19" s="117">
        <v>0.16600000000000001</v>
      </c>
      <c r="F19" s="117">
        <v>0.53700000000000003</v>
      </c>
    </row>
    <row r="20" spans="1:6" x14ac:dyDescent="0.35">
      <c r="A20" s="106" t="s">
        <v>796</v>
      </c>
      <c r="B20" s="108">
        <v>-3548.5169999999998</v>
      </c>
      <c r="C20" s="107"/>
      <c r="D20" s="108">
        <v>-3548.5169999999998</v>
      </c>
      <c r="E20" s="107"/>
      <c r="F20" s="107"/>
    </row>
    <row r="21" spans="1:6" x14ac:dyDescent="0.35">
      <c r="A21" s="106" t="s">
        <v>797</v>
      </c>
      <c r="B21" s="108">
        <v>-3209.415</v>
      </c>
      <c r="C21" s="107"/>
      <c r="D21" s="108">
        <v>-3196.895</v>
      </c>
      <c r="E21" s="107"/>
      <c r="F21" s="107"/>
    </row>
    <row r="22" spans="1:6" x14ac:dyDescent="0.35">
      <c r="A22" s="106" t="s">
        <v>798</v>
      </c>
      <c r="B22" s="108">
        <v>6480.8310000000001</v>
      </c>
      <c r="C22" s="107"/>
      <c r="D22" s="108">
        <v>6487.7910000000002</v>
      </c>
      <c r="E22" s="107"/>
      <c r="F22" s="107"/>
    </row>
    <row r="23" spans="1:6" x14ac:dyDescent="0.35">
      <c r="A23" s="106" t="s">
        <v>799</v>
      </c>
      <c r="B23" s="108">
        <v>6637.25</v>
      </c>
      <c r="C23" s="107"/>
      <c r="D23" s="108">
        <v>6724.942</v>
      </c>
      <c r="E23" s="107"/>
      <c r="F23" s="107"/>
    </row>
    <row r="24" spans="1:6" x14ac:dyDescent="0.35">
      <c r="A24" s="110" t="s">
        <v>800</v>
      </c>
      <c r="B24" s="114">
        <v>0.44700000000000001</v>
      </c>
      <c r="C24" s="111"/>
      <c r="D24" s="114">
        <v>0.45900000000000002</v>
      </c>
      <c r="E24" s="111"/>
      <c r="F24" s="111"/>
    </row>
    <row r="26" spans="1:6" ht="15.5" x14ac:dyDescent="0.35">
      <c r="A26" s="105"/>
    </row>
    <row r="28" spans="1:6" ht="15.5" x14ac:dyDescent="0.35">
      <c r="A28" s="105"/>
    </row>
    <row r="30" spans="1:6" ht="15.5" x14ac:dyDescent="0.35">
      <c r="A30" s="105"/>
    </row>
    <row r="32" spans="1:6" ht="15.5" x14ac:dyDescent="0.35">
      <c r="A32" s="105"/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File comments</vt:lpstr>
      <vt:lpstr>DATAOP3</vt:lpstr>
      <vt:lpstr>Wine Reputation data</vt:lpstr>
      <vt:lpstr>Wine tourism services data</vt:lpstr>
      <vt:lpstr>Distances</vt:lpstr>
      <vt:lpstr>Territorial data&amp; scale</vt:lpstr>
      <vt:lpstr>Motivation scales</vt:lpstr>
      <vt:lpstr>Descriptive stat</vt:lpstr>
      <vt:lpstr>Results step 1 to 3</vt:lpstr>
      <vt:lpstr>Step 4 latent classes</vt:lpstr>
      <vt:lpstr>MAP</vt:lpstr>
      <vt:lpstr>Robustness</vt:lpstr>
      <vt:lpstr>M1K2 M2K3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FAYE Benoit</dc:creator>
  <cp:lastModifiedBy>FAYE Benoit</cp:lastModifiedBy>
  <dcterms:created xsi:type="dcterms:W3CDTF">2026-03-04T09:39:38Z</dcterms:created>
  <dcterms:modified xsi:type="dcterms:W3CDTF">2026-05-26T16:13:29Z</dcterms:modified>
</cp:coreProperties>
</file>